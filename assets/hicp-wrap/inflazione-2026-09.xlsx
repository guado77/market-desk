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Riepilogo" sheetId="2" state="visible" r:id="rId2"/>
    <sheet name="EA" sheetId="3" state="visible" r:id="rId3"/>
    <sheet name="IT" sheetId="4" state="visible" r:id="rId4"/>
    <sheet name="DE" sheetId="5" state="visible" r:id="rId5"/>
    <sheet name="FR" sheetId="6" state="visible" r:id="rId6"/>
    <sheet name="ES" sheetId="7" state="visible" r:id="rId7"/>
    <sheet name="Potere acquisto" sheetId="8" state="visible" r:id="rId8"/>
    <sheet name="Proiezioni" sheetId="9" state="visible" r:id="rId9"/>
    <sheet name="Distribuzione" sheetId="10" state="visible" r:id="rId10"/>
    <sheet name="Sottostanti" sheetId="11" state="visible" r:id="rId11"/>
    <sheet name="Salari" sheetId="12" state="visible" r:id="rId12"/>
    <sheet name="Voc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 yyyy"/>
    <numFmt numFmtId="166" formatCode="0.0%;-0.0%;0.0%"/>
  </numFmts>
  <fonts count="9">
    <font>
      <name val="Calibri"/>
      <family val="2"/>
      <color theme="1"/>
      <sz val="11"/>
      <scheme val="minor"/>
    </font>
    <font>
      <name val="Arial"/>
      <b val="1"/>
      <color rgb="0008306B"/>
      <sz val="16"/>
    </font>
    <font>
      <name val="Arial"/>
      <b val="1"/>
      <sz val="12"/>
    </font>
    <font>
      <name val="Arial"/>
      <color rgb="00000000"/>
      <sz val="12"/>
    </font>
    <font>
      <name val="Arial"/>
      <i val="1"/>
      <sz val="11"/>
    </font>
    <font>
      <name val="Arial"/>
      <b val="1"/>
      <color rgb="00FFFFFF"/>
      <sz val="12"/>
    </font>
    <font>
      <name val="Arial"/>
      <color rgb="000000FF"/>
      <sz val="12"/>
    </font>
    <font>
      <name val="Arial"/>
      <color rgb="00008000"/>
      <sz val="12"/>
    </font>
    <font>
      <name val="Arial"/>
      <b val="1"/>
      <color rgb="0008306B"/>
      <sz val="13"/>
    </font>
  </fonts>
  <fills count="3">
    <fill>
      <patternFill/>
    </fill>
    <fill>
      <patternFill patternType="gray125"/>
    </fill>
    <fill>
      <patternFill patternType="solid">
        <fgColor rgb="00083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165" fontId="3" fillId="0" borderId="0" pivotButton="0" quotePrefix="0" xfId="0"/>
    <xf numFmtId="2" fontId="6" fillId="0" borderId="0" pivotButton="0" quotePrefix="0" xfId="0"/>
    <xf numFmtId="2" fontId="3" fillId="0" borderId="0" pivotButton="0" quotePrefix="0" xfId="0"/>
    <xf numFmtId="166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Inflazione area euro - storico e foglio di aggiornamento</t>
        </is>
      </c>
    </row>
    <row r="2">
      <c r="A2" s="2" t="inlineStr">
        <is>
          <t>Ultimo dato: 2026-09</t>
        </is>
      </c>
    </row>
    <row r="3">
      <c r="A3" s="3" t="inlineStr"/>
    </row>
    <row r="4">
      <c r="A4" s="3" t="inlineStr">
        <is>
          <t>Fogli EA, IT, DE, FR, ES: indici di fonte (blu) e trasformazioni (formule, nero):</t>
        </is>
      </c>
    </row>
    <row r="5">
      <c r="A5" s="3" t="inlineStr">
        <is>
          <t xml:space="preserve">  base gennaio 2020 = 100, variazione mensile, annua, 3m/3m annualizzato su serie destagionalizzata.</t>
        </is>
      </c>
    </row>
    <row r="6">
      <c r="A6" s="3" t="inlineStr">
        <is>
          <t xml:space="preserve">  Indice SA in blu = pubblicato dalla BCE; in nero = destagionalizzazione interna (STL).</t>
        </is>
      </c>
    </row>
    <row r="7">
      <c r="A7" s="3" t="inlineStr">
        <is>
          <t>Riepilogo e Potere acquisto: formule che leggono i fogli area (verde).</t>
        </is>
      </c>
    </row>
    <row r="8">
      <c r="A8" s="3" t="inlineStr">
        <is>
          <t>Proiezioni, Distribuzione, Sottostanti, Salari, Voci: calcoli del motore (valori).</t>
        </is>
      </c>
    </row>
    <row r="9">
      <c r="A9" s="3" t="inlineStr"/>
    </row>
    <row r="10">
      <c r="A10" s="3" t="inlineStr">
        <is>
          <t>Per correggere o aggiungere un dato: scrivilo nella colonna 'Indice fonte' del foglio area;</t>
        </is>
      </c>
    </row>
    <row r="11">
      <c r="A11" s="3" t="inlineStr">
        <is>
          <t>le formule della riga e il Riepilogo si aggiornano da soli.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Riepilogo - ultimo dato 2026-09</t>
        </is>
      </c>
    </row>
    <row r="2">
      <c r="A2" s="4" t="inlineStr">
        <is>
          <t>Formule collegate ai fogli area: si aggiornano con i dati.</t>
        </is>
      </c>
    </row>
    <row r="4">
      <c r="A4" s="5" t="inlineStr">
        <is>
          <t>Area</t>
        </is>
      </c>
      <c r="B4" s="5" t="inlineStr">
        <is>
          <t>Misura</t>
        </is>
      </c>
      <c r="C4" s="5" t="inlineStr">
        <is>
          <t>Mese</t>
        </is>
      </c>
      <c r="D4" s="5" t="inlineStr">
        <is>
          <t>Indice gen20=100</t>
        </is>
      </c>
      <c r="E4" s="5" t="inlineStr">
        <is>
          <t>m/m</t>
        </is>
      </c>
      <c r="F4" s="5" t="inlineStr">
        <is>
          <t>a/a</t>
        </is>
      </c>
      <c r="G4" s="5" t="inlineStr">
        <is>
          <t>3m/3m ann.</t>
        </is>
      </c>
    </row>
    <row r="5">
      <c r="A5" s="3" t="inlineStr">
        <is>
          <t>Area euro</t>
        </is>
      </c>
      <c r="B5" s="3" t="inlineStr">
        <is>
          <t>HICP generale</t>
        </is>
      </c>
      <c r="C5" s="6">
        <f>'EA'!A145</f>
        <v/>
      </c>
      <c r="D5" s="7">
        <f>'EA'!C145</f>
        <v/>
      </c>
      <c r="E5" s="8">
        <f>'EA'!D145</f>
        <v/>
      </c>
      <c r="F5" s="8">
        <f>'EA'!E145</f>
        <v/>
      </c>
      <c r="G5" s="8">
        <f>'EA'!G145</f>
        <v/>
      </c>
    </row>
    <row r="6">
      <c r="A6" s="3" t="inlineStr">
        <is>
          <t>Area euro</t>
        </is>
      </c>
      <c r="B6" s="3" t="inlineStr">
        <is>
          <t>Core (escl. energia, alimentari, alcol e tabacchi)</t>
        </is>
      </c>
      <c r="C6" s="6">
        <f>'EA'!A145</f>
        <v/>
      </c>
      <c r="D6" s="7">
        <f>'EA'!I145</f>
        <v/>
      </c>
      <c r="E6" s="8">
        <f>'EA'!J145</f>
        <v/>
      </c>
      <c r="F6" s="8">
        <f>'EA'!K145</f>
        <v/>
      </c>
      <c r="G6" s="8">
        <f>'EA'!M145</f>
        <v/>
      </c>
    </row>
    <row r="7">
      <c r="A7" s="3" t="inlineStr">
        <is>
          <t>Area euro</t>
        </is>
      </c>
      <c r="B7" s="3" t="inlineStr">
        <is>
          <t>Al netto degli energetici</t>
        </is>
      </c>
      <c r="C7" s="6">
        <f>'EA'!A145</f>
        <v/>
      </c>
      <c r="D7" s="7">
        <f>'EA'!O145</f>
        <v/>
      </c>
      <c r="E7" s="8">
        <f>'EA'!P145</f>
        <v/>
      </c>
      <c r="F7" s="8">
        <f>'EA'!Q145</f>
        <v/>
      </c>
      <c r="G7" s="8">
        <f>'EA'!S145</f>
        <v/>
      </c>
    </row>
    <row r="8">
      <c r="A8" s="3" t="inlineStr">
        <is>
          <t>Area euro</t>
        </is>
      </c>
      <c r="B8" s="3" t="inlineStr">
        <is>
          <t>Beni</t>
        </is>
      </c>
      <c r="C8" s="6">
        <f>'EA'!A145</f>
        <v/>
      </c>
      <c r="D8" s="7">
        <f>'EA'!U145</f>
        <v/>
      </c>
      <c r="E8" s="8">
        <f>'EA'!V145</f>
        <v/>
      </c>
      <c r="F8" s="8">
        <f>'EA'!W145</f>
        <v/>
      </c>
      <c r="G8" s="8">
        <f>'EA'!Y145</f>
        <v/>
      </c>
    </row>
    <row r="9">
      <c r="A9" s="3" t="inlineStr">
        <is>
          <t>Area euro</t>
        </is>
      </c>
      <c r="B9" s="3" t="inlineStr">
        <is>
          <t>Servizi</t>
        </is>
      </c>
      <c r="C9" s="6">
        <f>'EA'!A145</f>
        <v/>
      </c>
      <c r="D9" s="7">
        <f>'EA'!AA145</f>
        <v/>
      </c>
      <c r="E9" s="8">
        <f>'EA'!AB145</f>
        <v/>
      </c>
      <c r="F9" s="8">
        <f>'EA'!AC145</f>
        <v/>
      </c>
      <c r="G9" s="8">
        <f>'EA'!AE145</f>
        <v/>
      </c>
    </row>
    <row r="10">
      <c r="A10" s="3" t="inlineStr">
        <is>
          <t>Area euro</t>
        </is>
      </c>
      <c r="B10" s="3" t="inlineStr">
        <is>
          <t>Alimentari (incl. alcol e tabacchi)</t>
        </is>
      </c>
      <c r="C10" s="6">
        <f>'EA'!A145</f>
        <v/>
      </c>
      <c r="D10" s="7">
        <f>'EA'!AG145</f>
        <v/>
      </c>
      <c r="E10" s="8">
        <f>'EA'!AH145</f>
        <v/>
      </c>
      <c r="F10" s="8">
        <f>'EA'!AI145</f>
        <v/>
      </c>
      <c r="G10" s="8">
        <f>'EA'!AK145</f>
        <v/>
      </c>
    </row>
    <row r="11">
      <c r="A11" s="3" t="inlineStr">
        <is>
          <t>Area euro</t>
        </is>
      </c>
      <c r="B11" s="3" t="inlineStr">
        <is>
          <t>Energia</t>
        </is>
      </c>
      <c r="C11" s="6">
        <f>'EA'!A145</f>
        <v/>
      </c>
      <c r="D11" s="7">
        <f>'EA'!AM145</f>
        <v/>
      </c>
      <c r="E11" s="8">
        <f>'EA'!AN145</f>
        <v/>
      </c>
      <c r="F11" s="8">
        <f>'EA'!AO145</f>
        <v/>
      </c>
      <c r="G11" s="8">
        <f>'EA'!AQ145</f>
        <v/>
      </c>
    </row>
    <row r="12">
      <c r="A12" s="3" t="inlineStr">
        <is>
          <t>Area euro</t>
        </is>
      </c>
      <c r="B12" s="3" t="inlineStr">
        <is>
          <t>Trasporti</t>
        </is>
      </c>
      <c r="C12" s="6">
        <f>'EA'!A145</f>
        <v/>
      </c>
      <c r="D12" s="7">
        <f>'EA'!AS145</f>
        <v/>
      </c>
      <c r="E12" s="8">
        <f>'EA'!AT145</f>
        <v/>
      </c>
      <c r="F12" s="8">
        <f>'EA'!AU145</f>
        <v/>
      </c>
      <c r="G12" s="8">
        <f>'EA'!AW145</f>
        <v/>
      </c>
    </row>
    <row r="13">
      <c r="A13" s="3" t="inlineStr">
        <is>
          <t>Italia</t>
        </is>
      </c>
      <c r="B13" s="3" t="inlineStr">
        <is>
          <t>HICP generale</t>
        </is>
      </c>
      <c r="C13" s="6">
        <f>'IT'!A145</f>
        <v/>
      </c>
      <c r="D13" s="7">
        <f>'IT'!C145</f>
        <v/>
      </c>
      <c r="E13" s="8">
        <f>'IT'!D145</f>
        <v/>
      </c>
      <c r="F13" s="8">
        <f>'IT'!E145</f>
        <v/>
      </c>
      <c r="G13" s="8">
        <f>'IT'!G145</f>
        <v/>
      </c>
    </row>
    <row r="14">
      <c r="A14" s="3" t="inlineStr">
        <is>
          <t>Italia</t>
        </is>
      </c>
      <c r="B14" s="3" t="inlineStr">
        <is>
          <t>Core (escl. energia, alimentari, alcol e tabacchi)</t>
        </is>
      </c>
      <c r="C14" s="6">
        <f>'IT'!A145</f>
        <v/>
      </c>
      <c r="D14" s="7">
        <f>'IT'!I145</f>
        <v/>
      </c>
      <c r="E14" s="8">
        <f>'IT'!J145</f>
        <v/>
      </c>
      <c r="F14" s="8">
        <f>'IT'!K145</f>
        <v/>
      </c>
      <c r="G14" s="8">
        <f>'IT'!M145</f>
        <v/>
      </c>
    </row>
    <row r="15">
      <c r="A15" s="3" t="inlineStr">
        <is>
          <t>Italia</t>
        </is>
      </c>
      <c r="B15" s="3" t="inlineStr">
        <is>
          <t>Al netto degli energetici</t>
        </is>
      </c>
      <c r="C15" s="6">
        <f>'IT'!A145</f>
        <v/>
      </c>
      <c r="D15" s="7">
        <f>'IT'!O145</f>
        <v/>
      </c>
      <c r="E15" s="8">
        <f>'IT'!P145</f>
        <v/>
      </c>
      <c r="F15" s="8">
        <f>'IT'!Q145</f>
        <v/>
      </c>
      <c r="G15" s="8">
        <f>'IT'!S145</f>
        <v/>
      </c>
    </row>
    <row r="16">
      <c r="A16" s="3" t="inlineStr">
        <is>
          <t>Italia</t>
        </is>
      </c>
      <c r="B16" s="3" t="inlineStr">
        <is>
          <t>Beni</t>
        </is>
      </c>
      <c r="C16" s="6">
        <f>'IT'!A145</f>
        <v/>
      </c>
      <c r="D16" s="7">
        <f>'IT'!U145</f>
        <v/>
      </c>
      <c r="E16" s="8">
        <f>'IT'!V145</f>
        <v/>
      </c>
      <c r="F16" s="8">
        <f>'IT'!W145</f>
        <v/>
      </c>
      <c r="G16" s="8">
        <f>'IT'!Y145</f>
        <v/>
      </c>
    </row>
    <row r="17">
      <c r="A17" s="3" t="inlineStr">
        <is>
          <t>Italia</t>
        </is>
      </c>
      <c r="B17" s="3" t="inlineStr">
        <is>
          <t>Servizi</t>
        </is>
      </c>
      <c r="C17" s="6">
        <f>'IT'!A145</f>
        <v/>
      </c>
      <c r="D17" s="7">
        <f>'IT'!AA145</f>
        <v/>
      </c>
      <c r="E17" s="8">
        <f>'IT'!AB145</f>
        <v/>
      </c>
      <c r="F17" s="8">
        <f>'IT'!AC145</f>
        <v/>
      </c>
      <c r="G17" s="8">
        <f>'IT'!AE145</f>
        <v/>
      </c>
    </row>
    <row r="18">
      <c r="A18" s="3" t="inlineStr">
        <is>
          <t>Italia</t>
        </is>
      </c>
      <c r="B18" s="3" t="inlineStr">
        <is>
          <t>Alimentari (incl. alcol e tabacchi)</t>
        </is>
      </c>
      <c r="C18" s="6">
        <f>'IT'!A145</f>
        <v/>
      </c>
      <c r="D18" s="7">
        <f>'IT'!AG145</f>
        <v/>
      </c>
      <c r="E18" s="8">
        <f>'IT'!AH145</f>
        <v/>
      </c>
      <c r="F18" s="8">
        <f>'IT'!AI145</f>
        <v/>
      </c>
      <c r="G18" s="8">
        <f>'IT'!AK145</f>
        <v/>
      </c>
    </row>
    <row r="19">
      <c r="A19" s="3" t="inlineStr">
        <is>
          <t>Italia</t>
        </is>
      </c>
      <c r="B19" s="3" t="inlineStr">
        <is>
          <t>Energia</t>
        </is>
      </c>
      <c r="C19" s="6">
        <f>'IT'!A145</f>
        <v/>
      </c>
      <c r="D19" s="7">
        <f>'IT'!AM145</f>
        <v/>
      </c>
      <c r="E19" s="8">
        <f>'IT'!AN145</f>
        <v/>
      </c>
      <c r="F19" s="8">
        <f>'IT'!AO145</f>
        <v/>
      </c>
      <c r="G19" s="8">
        <f>'IT'!AQ145</f>
        <v/>
      </c>
    </row>
    <row r="20">
      <c r="A20" s="3" t="inlineStr">
        <is>
          <t>Italia</t>
        </is>
      </c>
      <c r="B20" s="3" t="inlineStr">
        <is>
          <t>Trasporti</t>
        </is>
      </c>
      <c r="C20" s="6">
        <f>'IT'!A145</f>
        <v/>
      </c>
      <c r="D20" s="7">
        <f>'IT'!AS145</f>
        <v/>
      </c>
      <c r="E20" s="8">
        <f>'IT'!AT145</f>
        <v/>
      </c>
      <c r="F20" s="8">
        <f>'IT'!AU145</f>
        <v/>
      </c>
      <c r="G20" s="8">
        <f>'IT'!AW145</f>
        <v/>
      </c>
    </row>
    <row r="21">
      <c r="A21" s="3" t="inlineStr">
        <is>
          <t>Germania</t>
        </is>
      </c>
      <c r="B21" s="3" t="inlineStr">
        <is>
          <t>HICP generale</t>
        </is>
      </c>
      <c r="C21" s="6">
        <f>'DE'!A145</f>
        <v/>
      </c>
      <c r="D21" s="7">
        <f>'DE'!C145</f>
        <v/>
      </c>
      <c r="E21" s="8">
        <f>'DE'!D145</f>
        <v/>
      </c>
      <c r="F21" s="8">
        <f>'DE'!E145</f>
        <v/>
      </c>
      <c r="G21" s="8">
        <f>'DE'!G145</f>
        <v/>
      </c>
    </row>
    <row r="22">
      <c r="A22" s="3" t="inlineStr">
        <is>
          <t>Germania</t>
        </is>
      </c>
      <c r="B22" s="3" t="inlineStr">
        <is>
          <t>Core (escl. energia, alimentari, alcol e tabacchi)</t>
        </is>
      </c>
      <c r="C22" s="6">
        <f>'DE'!A145</f>
        <v/>
      </c>
      <c r="D22" s="7">
        <f>'DE'!I145</f>
        <v/>
      </c>
      <c r="E22" s="8">
        <f>'DE'!J145</f>
        <v/>
      </c>
      <c r="F22" s="8">
        <f>'DE'!K145</f>
        <v/>
      </c>
      <c r="G22" s="8">
        <f>'DE'!M145</f>
        <v/>
      </c>
    </row>
    <row r="23">
      <c r="A23" s="3" t="inlineStr">
        <is>
          <t>Germania</t>
        </is>
      </c>
      <c r="B23" s="3" t="inlineStr">
        <is>
          <t>Al netto degli energetici</t>
        </is>
      </c>
      <c r="C23" s="6">
        <f>'DE'!A145</f>
        <v/>
      </c>
      <c r="D23" s="7">
        <f>'DE'!O145</f>
        <v/>
      </c>
      <c r="E23" s="8">
        <f>'DE'!P145</f>
        <v/>
      </c>
      <c r="F23" s="8">
        <f>'DE'!Q145</f>
        <v/>
      </c>
      <c r="G23" s="8">
        <f>'DE'!S145</f>
        <v/>
      </c>
    </row>
    <row r="24">
      <c r="A24" s="3" t="inlineStr">
        <is>
          <t>Germania</t>
        </is>
      </c>
      <c r="B24" s="3" t="inlineStr">
        <is>
          <t>Beni</t>
        </is>
      </c>
      <c r="C24" s="6">
        <f>'DE'!A145</f>
        <v/>
      </c>
      <c r="D24" s="7">
        <f>'DE'!U145</f>
        <v/>
      </c>
      <c r="E24" s="8">
        <f>'DE'!V145</f>
        <v/>
      </c>
      <c r="F24" s="8">
        <f>'DE'!W145</f>
        <v/>
      </c>
      <c r="G24" s="8">
        <f>'DE'!Y145</f>
        <v/>
      </c>
    </row>
    <row r="25">
      <c r="A25" s="3" t="inlineStr">
        <is>
          <t>Germania</t>
        </is>
      </c>
      <c r="B25" s="3" t="inlineStr">
        <is>
          <t>Servizi</t>
        </is>
      </c>
      <c r="C25" s="6">
        <f>'DE'!A145</f>
        <v/>
      </c>
      <c r="D25" s="7">
        <f>'DE'!AA145</f>
        <v/>
      </c>
      <c r="E25" s="8">
        <f>'DE'!AB145</f>
        <v/>
      </c>
      <c r="F25" s="8">
        <f>'DE'!AC145</f>
        <v/>
      </c>
      <c r="G25" s="8">
        <f>'DE'!AE145</f>
        <v/>
      </c>
    </row>
    <row r="26">
      <c r="A26" s="3" t="inlineStr">
        <is>
          <t>Germania</t>
        </is>
      </c>
      <c r="B26" s="3" t="inlineStr">
        <is>
          <t>Alimentari (incl. alcol e tabacchi)</t>
        </is>
      </c>
      <c r="C26" s="6">
        <f>'DE'!A145</f>
        <v/>
      </c>
      <c r="D26" s="7">
        <f>'DE'!AG145</f>
        <v/>
      </c>
      <c r="E26" s="8">
        <f>'DE'!AH145</f>
        <v/>
      </c>
      <c r="F26" s="8">
        <f>'DE'!AI145</f>
        <v/>
      </c>
      <c r="G26" s="8">
        <f>'DE'!AK145</f>
        <v/>
      </c>
    </row>
    <row r="27">
      <c r="A27" s="3" t="inlineStr">
        <is>
          <t>Germania</t>
        </is>
      </c>
      <c r="B27" s="3" t="inlineStr">
        <is>
          <t>Energia</t>
        </is>
      </c>
      <c r="C27" s="6">
        <f>'DE'!A145</f>
        <v/>
      </c>
      <c r="D27" s="7">
        <f>'DE'!AM145</f>
        <v/>
      </c>
      <c r="E27" s="8">
        <f>'DE'!AN145</f>
        <v/>
      </c>
      <c r="F27" s="8">
        <f>'DE'!AO145</f>
        <v/>
      </c>
      <c r="G27" s="8">
        <f>'DE'!AQ145</f>
        <v/>
      </c>
    </row>
    <row r="28">
      <c r="A28" s="3" t="inlineStr">
        <is>
          <t>Germania</t>
        </is>
      </c>
      <c r="B28" s="3" t="inlineStr">
        <is>
          <t>Trasporti</t>
        </is>
      </c>
      <c r="C28" s="6">
        <f>'DE'!A145</f>
        <v/>
      </c>
      <c r="D28" s="7">
        <f>'DE'!AS145</f>
        <v/>
      </c>
      <c r="E28" s="8">
        <f>'DE'!AT145</f>
        <v/>
      </c>
      <c r="F28" s="8">
        <f>'DE'!AU145</f>
        <v/>
      </c>
      <c r="G28" s="8">
        <f>'DE'!AW145</f>
        <v/>
      </c>
    </row>
    <row r="29">
      <c r="A29" s="3" t="inlineStr">
        <is>
          <t>Francia</t>
        </is>
      </c>
      <c r="B29" s="3" t="inlineStr">
        <is>
          <t>HICP generale</t>
        </is>
      </c>
      <c r="C29" s="6">
        <f>'FR'!A145</f>
        <v/>
      </c>
      <c r="D29" s="7">
        <f>'FR'!C145</f>
        <v/>
      </c>
      <c r="E29" s="8">
        <f>'FR'!D145</f>
        <v/>
      </c>
      <c r="F29" s="8">
        <f>'FR'!E145</f>
        <v/>
      </c>
      <c r="G29" s="8">
        <f>'FR'!G145</f>
        <v/>
      </c>
    </row>
    <row r="30">
      <c r="A30" s="3" t="inlineStr">
        <is>
          <t>Francia</t>
        </is>
      </c>
      <c r="B30" s="3" t="inlineStr">
        <is>
          <t>Core (escl. energia, alimentari, alcol e tabacchi)</t>
        </is>
      </c>
      <c r="C30" s="6">
        <f>'FR'!A145</f>
        <v/>
      </c>
      <c r="D30" s="7">
        <f>'FR'!I145</f>
        <v/>
      </c>
      <c r="E30" s="8">
        <f>'FR'!J145</f>
        <v/>
      </c>
      <c r="F30" s="8">
        <f>'FR'!K145</f>
        <v/>
      </c>
      <c r="G30" s="8">
        <f>'FR'!M145</f>
        <v/>
      </c>
    </row>
    <row r="31">
      <c r="A31" s="3" t="inlineStr">
        <is>
          <t>Francia</t>
        </is>
      </c>
      <c r="B31" s="3" t="inlineStr">
        <is>
          <t>Al netto degli energetici</t>
        </is>
      </c>
      <c r="C31" s="6">
        <f>'FR'!A145</f>
        <v/>
      </c>
      <c r="D31" s="7">
        <f>'FR'!O145</f>
        <v/>
      </c>
      <c r="E31" s="8">
        <f>'FR'!P145</f>
        <v/>
      </c>
      <c r="F31" s="8">
        <f>'FR'!Q145</f>
        <v/>
      </c>
      <c r="G31" s="8">
        <f>'FR'!S145</f>
        <v/>
      </c>
    </row>
    <row r="32">
      <c r="A32" s="3" t="inlineStr">
        <is>
          <t>Francia</t>
        </is>
      </c>
      <c r="B32" s="3" t="inlineStr">
        <is>
          <t>Beni</t>
        </is>
      </c>
      <c r="C32" s="6">
        <f>'FR'!A145</f>
        <v/>
      </c>
      <c r="D32" s="7">
        <f>'FR'!U145</f>
        <v/>
      </c>
      <c r="E32" s="8">
        <f>'FR'!V145</f>
        <v/>
      </c>
      <c r="F32" s="8">
        <f>'FR'!W145</f>
        <v/>
      </c>
      <c r="G32" s="8">
        <f>'FR'!Y145</f>
        <v/>
      </c>
    </row>
    <row r="33">
      <c r="A33" s="3" t="inlineStr">
        <is>
          <t>Francia</t>
        </is>
      </c>
      <c r="B33" s="3" t="inlineStr">
        <is>
          <t>Servizi</t>
        </is>
      </c>
      <c r="C33" s="6">
        <f>'FR'!A145</f>
        <v/>
      </c>
      <c r="D33" s="7">
        <f>'FR'!AA145</f>
        <v/>
      </c>
      <c r="E33" s="8">
        <f>'FR'!AB145</f>
        <v/>
      </c>
      <c r="F33" s="8">
        <f>'FR'!AC145</f>
        <v/>
      </c>
      <c r="G33" s="8">
        <f>'FR'!AE145</f>
        <v/>
      </c>
    </row>
    <row r="34">
      <c r="A34" s="3" t="inlineStr">
        <is>
          <t>Francia</t>
        </is>
      </c>
      <c r="B34" s="3" t="inlineStr">
        <is>
          <t>Alimentari (incl. alcol e tabacchi)</t>
        </is>
      </c>
      <c r="C34" s="6">
        <f>'FR'!A145</f>
        <v/>
      </c>
      <c r="D34" s="7">
        <f>'FR'!AG145</f>
        <v/>
      </c>
      <c r="E34" s="8">
        <f>'FR'!AH145</f>
        <v/>
      </c>
      <c r="F34" s="8">
        <f>'FR'!AI145</f>
        <v/>
      </c>
      <c r="G34" s="8">
        <f>'FR'!AK145</f>
        <v/>
      </c>
    </row>
    <row r="35">
      <c r="A35" s="3" t="inlineStr">
        <is>
          <t>Francia</t>
        </is>
      </c>
      <c r="B35" s="3" t="inlineStr">
        <is>
          <t>Energia</t>
        </is>
      </c>
      <c r="C35" s="6">
        <f>'FR'!A145</f>
        <v/>
      </c>
      <c r="D35" s="7">
        <f>'FR'!AM145</f>
        <v/>
      </c>
      <c r="E35" s="8">
        <f>'FR'!AN145</f>
        <v/>
      </c>
      <c r="F35" s="8">
        <f>'FR'!AO145</f>
        <v/>
      </c>
      <c r="G35" s="8">
        <f>'FR'!AQ145</f>
        <v/>
      </c>
    </row>
    <row r="36">
      <c r="A36" s="3" t="inlineStr">
        <is>
          <t>Francia</t>
        </is>
      </c>
      <c r="B36" s="3" t="inlineStr">
        <is>
          <t>Trasporti</t>
        </is>
      </c>
      <c r="C36" s="6">
        <f>'FR'!A145</f>
        <v/>
      </c>
      <c r="D36" s="7">
        <f>'FR'!AS145</f>
        <v/>
      </c>
      <c r="E36" s="8">
        <f>'FR'!AT145</f>
        <v/>
      </c>
      <c r="F36" s="8">
        <f>'FR'!AU145</f>
        <v/>
      </c>
      <c r="G36" s="8">
        <f>'FR'!AW145</f>
        <v/>
      </c>
    </row>
    <row r="37">
      <c r="A37" s="3" t="inlineStr">
        <is>
          <t>Francia</t>
        </is>
      </c>
      <c r="B37" s="3" t="inlineStr">
        <is>
          <t>CPI nazionale generale</t>
        </is>
      </c>
      <c r="C37" s="6">
        <f>'FR'!A145</f>
        <v/>
      </c>
      <c r="D37" s="7">
        <f>'FR'!AY145</f>
        <v/>
      </c>
      <c r="E37" s="8">
        <f>'FR'!AZ145</f>
        <v/>
      </c>
      <c r="F37" s="8">
        <f>'FR'!BA145</f>
        <v/>
      </c>
      <c r="G37" s="8">
        <f>'FR'!BC145</f>
        <v/>
      </c>
    </row>
    <row r="38">
      <c r="A38" s="3" t="inlineStr">
        <is>
          <t>Spagna</t>
        </is>
      </c>
      <c r="B38" s="3" t="inlineStr">
        <is>
          <t>HICP generale</t>
        </is>
      </c>
      <c r="C38" s="6">
        <f>'ES'!A145</f>
        <v/>
      </c>
      <c r="D38" s="7">
        <f>'ES'!C145</f>
        <v/>
      </c>
      <c r="E38" s="8">
        <f>'ES'!D145</f>
        <v/>
      </c>
      <c r="F38" s="8">
        <f>'ES'!E145</f>
        <v/>
      </c>
      <c r="G38" s="8">
        <f>'ES'!G145</f>
        <v/>
      </c>
    </row>
    <row r="39">
      <c r="A39" s="3" t="inlineStr">
        <is>
          <t>Spagna</t>
        </is>
      </c>
      <c r="B39" s="3" t="inlineStr">
        <is>
          <t>Core (escl. energia, alimentari, alcol e tabacchi)</t>
        </is>
      </c>
      <c r="C39" s="6">
        <f>'ES'!A145</f>
        <v/>
      </c>
      <c r="D39" s="7">
        <f>'ES'!I145</f>
        <v/>
      </c>
      <c r="E39" s="8">
        <f>'ES'!J145</f>
        <v/>
      </c>
      <c r="F39" s="8">
        <f>'ES'!K145</f>
        <v/>
      </c>
      <c r="G39" s="8">
        <f>'ES'!M145</f>
        <v/>
      </c>
    </row>
    <row r="40">
      <c r="A40" s="3" t="inlineStr">
        <is>
          <t>Spagna</t>
        </is>
      </c>
      <c r="B40" s="3" t="inlineStr">
        <is>
          <t>Al netto degli energetici</t>
        </is>
      </c>
      <c r="C40" s="6">
        <f>'ES'!A145</f>
        <v/>
      </c>
      <c r="D40" s="7">
        <f>'ES'!O145</f>
        <v/>
      </c>
      <c r="E40" s="8">
        <f>'ES'!P145</f>
        <v/>
      </c>
      <c r="F40" s="8">
        <f>'ES'!Q145</f>
        <v/>
      </c>
      <c r="G40" s="8">
        <f>'ES'!S145</f>
        <v/>
      </c>
    </row>
    <row r="41">
      <c r="A41" s="3" t="inlineStr">
        <is>
          <t>Spagna</t>
        </is>
      </c>
      <c r="B41" s="3" t="inlineStr">
        <is>
          <t>Beni</t>
        </is>
      </c>
      <c r="C41" s="6">
        <f>'ES'!A145</f>
        <v/>
      </c>
      <c r="D41" s="7">
        <f>'ES'!U145</f>
        <v/>
      </c>
      <c r="E41" s="8">
        <f>'ES'!V145</f>
        <v/>
      </c>
      <c r="F41" s="8">
        <f>'ES'!W145</f>
        <v/>
      </c>
      <c r="G41" s="8">
        <f>'ES'!Y145</f>
        <v/>
      </c>
    </row>
    <row r="42">
      <c r="A42" s="3" t="inlineStr">
        <is>
          <t>Spagna</t>
        </is>
      </c>
      <c r="B42" s="3" t="inlineStr">
        <is>
          <t>Servizi</t>
        </is>
      </c>
      <c r="C42" s="6">
        <f>'ES'!A145</f>
        <v/>
      </c>
      <c r="D42" s="7">
        <f>'ES'!AA145</f>
        <v/>
      </c>
      <c r="E42" s="8">
        <f>'ES'!AB145</f>
        <v/>
      </c>
      <c r="F42" s="8">
        <f>'ES'!AC145</f>
        <v/>
      </c>
      <c r="G42" s="8">
        <f>'ES'!AE145</f>
        <v/>
      </c>
    </row>
    <row r="43">
      <c r="A43" s="3" t="inlineStr">
        <is>
          <t>Spagna</t>
        </is>
      </c>
      <c r="B43" s="3" t="inlineStr">
        <is>
          <t>Alimentari (incl. alcol e tabacchi)</t>
        </is>
      </c>
      <c r="C43" s="6">
        <f>'ES'!A145</f>
        <v/>
      </c>
      <c r="D43" s="7">
        <f>'ES'!AG145</f>
        <v/>
      </c>
      <c r="E43" s="8">
        <f>'ES'!AH145</f>
        <v/>
      </c>
      <c r="F43" s="8">
        <f>'ES'!AI145</f>
        <v/>
      </c>
      <c r="G43" s="8">
        <f>'ES'!AK145</f>
        <v/>
      </c>
    </row>
    <row r="44">
      <c r="A44" s="3" t="inlineStr">
        <is>
          <t>Spagna</t>
        </is>
      </c>
      <c r="B44" s="3" t="inlineStr">
        <is>
          <t>Energia</t>
        </is>
      </c>
      <c r="C44" s="6">
        <f>'ES'!A145</f>
        <v/>
      </c>
      <c r="D44" s="7">
        <f>'ES'!AM145</f>
        <v/>
      </c>
      <c r="E44" s="8">
        <f>'ES'!AN145</f>
        <v/>
      </c>
      <c r="F44" s="8">
        <f>'ES'!AO145</f>
        <v/>
      </c>
      <c r="G44" s="8">
        <f>'ES'!AQ145</f>
        <v/>
      </c>
    </row>
    <row r="45">
      <c r="A45" s="3" t="inlineStr">
        <is>
          <t>Spagna</t>
        </is>
      </c>
      <c r="B45" s="3" t="inlineStr">
        <is>
          <t>Trasporti</t>
        </is>
      </c>
      <c r="C45" s="6">
        <f>'ES'!A145</f>
        <v/>
      </c>
      <c r="D45" s="7">
        <f>'ES'!AS145</f>
        <v/>
      </c>
      <c r="E45" s="8">
        <f>'ES'!AT145</f>
        <v/>
      </c>
      <c r="F45" s="8">
        <f>'ES'!AU145</f>
        <v/>
      </c>
      <c r="G45" s="8">
        <f>'ES'!AW145</f>
        <v/>
      </c>
    </row>
    <row r="46">
      <c r="A46" s="3" t="inlineStr">
        <is>
          <t>Spagna</t>
        </is>
      </c>
      <c r="B46" s="3" t="inlineStr">
        <is>
          <t>CPI nazionale generale</t>
        </is>
      </c>
      <c r="C46" s="6">
        <f>'ES'!A145</f>
        <v/>
      </c>
      <c r="D46" s="7">
        <f>'ES'!AY145</f>
        <v/>
      </c>
      <c r="E46" s="8">
        <f>'ES'!AZ145</f>
        <v/>
      </c>
      <c r="F46" s="8">
        <f>'ES'!BA145</f>
        <v/>
      </c>
      <c r="G46" s="8">
        <f>'ES'!BC145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Area euro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</row>
    <row r="5">
      <c r="A5" s="9" t="n">
        <v>42005</v>
      </c>
      <c r="B5" s="10" t="n">
        <v>76.3</v>
      </c>
      <c r="C5" s="11">
        <f>IF(ISNUMBER(B5),B5/B$65*100,"")</f>
        <v/>
      </c>
      <c r="D5" s="12" t="n"/>
      <c r="E5" s="12" t="n"/>
      <c r="F5" s="10" t="n">
        <v>77.18000000000001</v>
      </c>
      <c r="G5" s="12" t="n"/>
      <c r="H5" s="10" t="n">
        <v>80.2</v>
      </c>
      <c r="I5" s="11">
        <f>IF(ISNUMBER(H5),H5/H$65*100,"")</f>
        <v/>
      </c>
      <c r="J5" s="12" t="n"/>
      <c r="K5" s="12" t="n"/>
      <c r="L5" s="10" t="n">
        <v>81.56999999999999</v>
      </c>
      <c r="M5" s="12" t="n"/>
      <c r="N5" s="10" t="n">
        <v>77.7</v>
      </c>
      <c r="O5" s="11">
        <f>IF(ISNUMBER(N5),N5/N$65*100,"")</f>
        <v/>
      </c>
      <c r="P5" s="12" t="n"/>
      <c r="Q5" s="12" t="n"/>
      <c r="R5" s="10" t="n">
        <v>78.7</v>
      </c>
      <c r="S5" s="12" t="n"/>
      <c r="T5" s="10" t="n">
        <v>75.65000000000001</v>
      </c>
      <c r="U5" s="11">
        <f>IF(ISNUMBER(T5),T5/T$65*100,"")</f>
        <v/>
      </c>
      <c r="V5" s="12" t="n"/>
      <c r="W5" s="12" t="n"/>
      <c r="X5" s="10" t="n">
        <v>76.54000000000001</v>
      </c>
      <c r="Y5" s="12" t="n"/>
      <c r="Z5" s="10" t="n">
        <v>77.94</v>
      </c>
      <c r="AA5" s="11">
        <f>IF(ISNUMBER(Z5),Z5/Z$65*100,"")</f>
        <v/>
      </c>
      <c r="AB5" s="12" t="n"/>
      <c r="AC5" s="12" t="n"/>
      <c r="AD5" s="10" t="n">
        <v>78.77</v>
      </c>
      <c r="AE5" s="12" t="n"/>
      <c r="AF5" s="10" t="n">
        <v>69.98999999999999</v>
      </c>
      <c r="AG5" s="11">
        <f>IF(ISNUMBER(AF5),AF5/AF$65*100,"")</f>
        <v/>
      </c>
      <c r="AH5" s="12" t="n"/>
      <c r="AI5" s="12" t="n"/>
      <c r="AJ5" s="10" t="n">
        <v>69.86</v>
      </c>
      <c r="AK5" s="12" t="n"/>
      <c r="AL5" s="10" t="n">
        <v>67.54000000000001</v>
      </c>
      <c r="AM5" s="11">
        <f>IF(ISNUMBER(AL5),AL5/AL$65*100,"")</f>
        <v/>
      </c>
      <c r="AN5" s="12" t="n"/>
      <c r="AO5" s="12" t="n"/>
      <c r="AP5" s="10" t="n">
        <v>67.54000000000001</v>
      </c>
      <c r="AQ5" s="12" t="n"/>
      <c r="AR5" s="10" t="n">
        <v>76.23999999999999</v>
      </c>
      <c r="AS5" s="11">
        <f>IF(ISNUMBER(AR5),AR5/AR$65*100,"")</f>
        <v/>
      </c>
      <c r="AT5" s="12" t="n"/>
      <c r="AU5" s="12" t="n"/>
      <c r="AV5" s="11" t="n">
        <v>76.51220000000001</v>
      </c>
      <c r="AW5" s="12" t="n"/>
    </row>
    <row r="6">
      <c r="A6" s="9" t="n">
        <v>42036</v>
      </c>
      <c r="B6" s="10" t="n">
        <v>76.78</v>
      </c>
      <c r="C6" s="11">
        <f>IF(ISNUMBER(B6),B6/B$65*100,"")</f>
        <v/>
      </c>
      <c r="D6" s="12">
        <f>IF(AND(ISNUMBER(B6),ISNUMBER(B5)),B6/B5-1,"")</f>
        <v/>
      </c>
      <c r="E6" s="12" t="n"/>
      <c r="F6" s="10" t="n">
        <v>77.48</v>
      </c>
      <c r="G6" s="12" t="n"/>
      <c r="H6" s="10" t="n">
        <v>80.62</v>
      </c>
      <c r="I6" s="11">
        <f>IF(ISNUMBER(H6),H6/H$65*100,"")</f>
        <v/>
      </c>
      <c r="J6" s="12">
        <f>IF(AND(ISNUMBER(H6),ISNUMBER(H5)),H6/H5-1,"")</f>
        <v/>
      </c>
      <c r="K6" s="12" t="n"/>
      <c r="L6" s="10" t="n">
        <v>81.73999999999999</v>
      </c>
      <c r="M6" s="12" t="n"/>
      <c r="N6" s="10" t="n">
        <v>78.09999999999999</v>
      </c>
      <c r="O6" s="11">
        <f>IF(ISNUMBER(N6),N6/N$65*100,"")</f>
        <v/>
      </c>
      <c r="P6" s="12">
        <f>IF(AND(ISNUMBER(N6),ISNUMBER(N5)),N6/N5-1,"")</f>
        <v/>
      </c>
      <c r="Q6" s="12" t="n"/>
      <c r="R6" s="10" t="n">
        <v>78.90000000000001</v>
      </c>
      <c r="S6" s="12" t="n"/>
      <c r="T6" s="10" t="n">
        <v>76.12</v>
      </c>
      <c r="U6" s="11">
        <f>IF(ISNUMBER(T6),T6/T$65*100,"")</f>
        <v/>
      </c>
      <c r="V6" s="12">
        <f>IF(AND(ISNUMBER(T6),ISNUMBER(T5)),T6/T5-1,"")</f>
        <v/>
      </c>
      <c r="W6" s="12" t="n"/>
      <c r="X6" s="10" t="n">
        <v>76.93000000000001</v>
      </c>
      <c r="Y6" s="12" t="n"/>
      <c r="Z6" s="10" t="n">
        <v>78.41</v>
      </c>
      <c r="AA6" s="11">
        <f>IF(ISNUMBER(Z6),Z6/Z$65*100,"")</f>
        <v/>
      </c>
      <c r="AB6" s="12">
        <f>IF(AND(ISNUMBER(Z6),ISNUMBER(Z5)),Z6/Z5-1,"")</f>
        <v/>
      </c>
      <c r="AC6" s="12" t="n"/>
      <c r="AD6" s="10" t="n">
        <v>78.95999999999999</v>
      </c>
      <c r="AE6" s="12" t="n"/>
      <c r="AF6" s="10" t="n">
        <v>70.3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0" t="n">
        <v>70.14</v>
      </c>
      <c r="AK6" s="12" t="n"/>
      <c r="AL6" s="10" t="n">
        <v>68.59999999999999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0" t="n">
        <v>68.59999999999999</v>
      </c>
      <c r="AQ6" s="12" t="n"/>
      <c r="AR6" s="10" t="n">
        <v>77.15000000000001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77.1859</v>
      </c>
      <c r="AW6" s="12" t="n"/>
    </row>
    <row r="7">
      <c r="A7" s="9" t="n">
        <v>42064</v>
      </c>
      <c r="B7" s="10" t="n">
        <v>77.67</v>
      </c>
      <c r="C7" s="11">
        <f>IF(ISNUMBER(B7),B7/B$65*100,"")</f>
        <v/>
      </c>
      <c r="D7" s="12">
        <f>IF(AND(ISNUMBER(B7),ISNUMBER(B6)),B7/B6-1,"")</f>
        <v/>
      </c>
      <c r="E7" s="12" t="n"/>
      <c r="F7" s="10" t="n">
        <v>77.62</v>
      </c>
      <c r="G7" s="12" t="n"/>
      <c r="H7" s="10" t="n">
        <v>81.76000000000001</v>
      </c>
      <c r="I7" s="11">
        <f>IF(ISNUMBER(H7),H7/H$65*100,"")</f>
        <v/>
      </c>
      <c r="J7" s="12">
        <f>IF(AND(ISNUMBER(H7),ISNUMBER(H6)),H7/H6-1,"")</f>
        <v/>
      </c>
      <c r="K7" s="12" t="n"/>
      <c r="L7" s="10" t="n">
        <v>81.73</v>
      </c>
      <c r="M7" s="12" t="n"/>
      <c r="N7" s="10" t="n">
        <v>78.95</v>
      </c>
      <c r="O7" s="11">
        <f>IF(ISNUMBER(N7),N7/N$65*100,"")</f>
        <v/>
      </c>
      <c r="P7" s="12">
        <f>IF(AND(ISNUMBER(N7),ISNUMBER(N6)),N7/N6-1,"")</f>
        <v/>
      </c>
      <c r="Q7" s="12" t="n"/>
      <c r="R7" s="10" t="n">
        <v>78.89</v>
      </c>
      <c r="S7" s="12" t="n"/>
      <c r="T7" s="10" t="n">
        <v>77.64</v>
      </c>
      <c r="U7" s="11">
        <f>IF(ISNUMBER(T7),T7/T$65*100,"")</f>
        <v/>
      </c>
      <c r="V7" s="12">
        <f>IF(AND(ISNUMBER(T7),ISNUMBER(T6)),T7/T6-1,"")</f>
        <v/>
      </c>
      <c r="W7" s="12" t="n"/>
      <c r="X7" s="10" t="n">
        <v>77.22</v>
      </c>
      <c r="Y7" s="12" t="n"/>
      <c r="Z7" s="10" t="n">
        <v>78.5</v>
      </c>
      <c r="AA7" s="11">
        <f>IF(ISNUMBER(Z7),Z7/Z$65*100,"")</f>
        <v/>
      </c>
      <c r="AB7" s="12">
        <f>IF(AND(ISNUMBER(Z7),ISNUMBER(Z6)),Z7/Z6-1,"")</f>
        <v/>
      </c>
      <c r="AC7" s="12" t="n"/>
      <c r="AD7" s="10" t="n">
        <v>78.89</v>
      </c>
      <c r="AE7" s="12" t="n"/>
      <c r="AF7" s="10" t="n">
        <v>70.31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0" t="n">
        <v>70.14</v>
      </c>
      <c r="AK7" s="12" t="n"/>
      <c r="AL7" s="10" t="n">
        <v>69.79000000000001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0" t="n">
        <v>69.79000000000001</v>
      </c>
      <c r="AQ7" s="12" t="n"/>
      <c r="AR7" s="10" t="n">
        <v>78.17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78.482</v>
      </c>
      <c r="AW7" s="12" t="n"/>
    </row>
    <row r="8">
      <c r="A8" s="9" t="n">
        <v>42095</v>
      </c>
      <c r="B8" s="10" t="n">
        <v>78</v>
      </c>
      <c r="C8" s="11">
        <f>IF(ISNUMBER(B8),B8/B$65*100,"")</f>
        <v/>
      </c>
      <c r="D8" s="12">
        <f>IF(AND(ISNUMBER(B8),ISNUMBER(B7)),B8/B7-1,"")</f>
        <v/>
      </c>
      <c r="E8" s="12" t="n"/>
      <c r="F8" s="10" t="n">
        <v>77.70999999999999</v>
      </c>
      <c r="G8" s="12" t="n"/>
      <c r="H8" s="10" t="n">
        <v>82.19</v>
      </c>
      <c r="I8" s="11">
        <f>IF(ISNUMBER(H8),H8/H$65*100,"")</f>
        <v/>
      </c>
      <c r="J8" s="12">
        <f>IF(AND(ISNUMBER(H8),ISNUMBER(H7)),H8/H7-1,"")</f>
        <v/>
      </c>
      <c r="K8" s="12" t="n"/>
      <c r="L8" s="10" t="n">
        <v>81.8</v>
      </c>
      <c r="M8" s="12" t="n"/>
      <c r="N8" s="10" t="n">
        <v>79.31999999999999</v>
      </c>
      <c r="O8" s="11">
        <f>IF(ISNUMBER(N8),N8/N$65*100,"")</f>
        <v/>
      </c>
      <c r="P8" s="12">
        <f>IF(AND(ISNUMBER(N8),ISNUMBER(N7)),N8/N7-1,"")</f>
        <v/>
      </c>
      <c r="Q8" s="12" t="n"/>
      <c r="R8" s="10" t="n">
        <v>78.98999999999999</v>
      </c>
      <c r="S8" s="12" t="n"/>
      <c r="T8" s="10" t="n">
        <v>77.93000000000001</v>
      </c>
      <c r="U8" s="11">
        <f>IF(ISNUMBER(T8),T8/T$65*100,"")</f>
        <v/>
      </c>
      <c r="V8" s="12">
        <f>IF(AND(ISNUMBER(T8),ISNUMBER(T7)),T8/T7-1,"")</f>
        <v/>
      </c>
      <c r="W8" s="12" t="n"/>
      <c r="X8" s="10" t="n">
        <v>77.31999999999999</v>
      </c>
      <c r="Y8" s="12" t="n"/>
      <c r="Z8" s="10" t="n">
        <v>78.89</v>
      </c>
      <c r="AA8" s="11">
        <f>IF(ISNUMBER(Z8),Z8/Z$65*100,"")</f>
        <v/>
      </c>
      <c r="AB8" s="12">
        <f>IF(AND(ISNUMBER(Z8),ISNUMBER(Z7)),Z8/Z7-1,"")</f>
        <v/>
      </c>
      <c r="AC8" s="12" t="n"/>
      <c r="AD8" s="10" t="n">
        <v>78.97</v>
      </c>
      <c r="AE8" s="12" t="n"/>
      <c r="AF8" s="10" t="n">
        <v>70.48999999999999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0" t="n">
        <v>70.31999999999999</v>
      </c>
      <c r="AK8" s="12" t="n"/>
      <c r="AL8" s="10" t="n">
        <v>69.86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0" t="n">
        <v>69.86</v>
      </c>
      <c r="AQ8" s="12" t="n"/>
      <c r="AR8" s="10" t="n">
        <v>78.64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78.4516</v>
      </c>
      <c r="AW8" s="12" t="n"/>
    </row>
    <row r="9">
      <c r="A9" s="9" t="n">
        <v>42125</v>
      </c>
      <c r="B9" s="10" t="n">
        <v>78.22</v>
      </c>
      <c r="C9" s="11">
        <f>IF(ISNUMBER(B9),B9/B$65*100,"")</f>
        <v/>
      </c>
      <c r="D9" s="12">
        <f>IF(AND(ISNUMBER(B9),ISNUMBER(B8)),B9/B8-1,"")</f>
        <v/>
      </c>
      <c r="E9" s="12" t="n"/>
      <c r="F9" s="10" t="n">
        <v>77.84</v>
      </c>
      <c r="G9" s="12" t="n"/>
      <c r="H9" s="10" t="n">
        <v>82.37</v>
      </c>
      <c r="I9" s="11">
        <f>IF(ISNUMBER(H9),H9/H$65*100,"")</f>
        <v/>
      </c>
      <c r="J9" s="12">
        <f>IF(AND(ISNUMBER(H9),ISNUMBER(H8)),H9/H8-1,"")</f>
        <v/>
      </c>
      <c r="K9" s="12" t="n"/>
      <c r="L9" s="10" t="n">
        <v>81.88</v>
      </c>
      <c r="M9" s="12" t="n"/>
      <c r="N9" s="10" t="n">
        <v>79.48</v>
      </c>
      <c r="O9" s="11">
        <f>IF(ISNUMBER(N9),N9/N$65*100,"")</f>
        <v/>
      </c>
      <c r="P9" s="12">
        <f>IF(AND(ISNUMBER(N9),ISNUMBER(N8)),N9/N8-1,"")</f>
        <v/>
      </c>
      <c r="Q9" s="12" t="n"/>
      <c r="R9" s="10" t="n">
        <v>79.05</v>
      </c>
      <c r="S9" s="12" t="n"/>
      <c r="T9" s="10" t="n">
        <v>78.11</v>
      </c>
      <c r="U9" s="11">
        <f>IF(ISNUMBER(T9),T9/T$65*100,"")</f>
        <v/>
      </c>
      <c r="V9" s="12">
        <f>IF(AND(ISNUMBER(T9),ISNUMBER(T8)),T9/T8-1,"")</f>
        <v/>
      </c>
      <c r="W9" s="12" t="n"/>
      <c r="X9" s="10" t="n">
        <v>77.47</v>
      </c>
      <c r="Y9" s="12" t="n"/>
      <c r="Z9" s="10" t="n">
        <v>79.16</v>
      </c>
      <c r="AA9" s="11">
        <f>IF(ISNUMBER(Z9),Z9/Z$65*100,"")</f>
        <v/>
      </c>
      <c r="AB9" s="12">
        <f>IF(AND(ISNUMBER(Z9),ISNUMBER(Z8)),Z9/Z8-1,"")</f>
        <v/>
      </c>
      <c r="AC9" s="12" t="n"/>
      <c r="AD9" s="10" t="n">
        <v>79.08</v>
      </c>
      <c r="AE9" s="12" t="n"/>
      <c r="AF9" s="10" t="n">
        <v>70.59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0" t="n">
        <v>70.34</v>
      </c>
      <c r="AK9" s="12" t="n"/>
      <c r="AL9" s="10" t="n">
        <v>70.52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0" t="n">
        <v>70.52</v>
      </c>
      <c r="AQ9" s="12" t="n"/>
      <c r="AR9" s="10" t="n">
        <v>79.22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79.10299999999999</v>
      </c>
      <c r="AW9" s="12" t="n"/>
    </row>
    <row r="10">
      <c r="A10" s="9" t="n">
        <v>42156</v>
      </c>
      <c r="B10" s="10" t="n">
        <v>78.23</v>
      </c>
      <c r="C10" s="11">
        <f>IF(ISNUMBER(B10),B10/B$65*100,"")</f>
        <v/>
      </c>
      <c r="D10" s="12">
        <f>IF(AND(ISNUMBER(B10),ISNUMBER(B9)),B10/B9-1,"")</f>
        <v/>
      </c>
      <c r="E10" s="12" t="n"/>
      <c r="F10" s="10" t="n">
        <v>77.88</v>
      </c>
      <c r="G10" s="12">
        <f>IF(COUNT(F5:F10)=6,(AVERAGE(F8:F10)/AVERAGE(F5:F7))^4-1,"")</f>
        <v/>
      </c>
      <c r="H10" s="10" t="n">
        <v>82.41</v>
      </c>
      <c r="I10" s="11">
        <f>IF(ISNUMBER(H10),H10/H$65*100,"")</f>
        <v/>
      </c>
      <c r="J10" s="12">
        <f>IF(AND(ISNUMBER(H10),ISNUMBER(H9)),H10/H9-1,"")</f>
        <v/>
      </c>
      <c r="K10" s="12" t="n"/>
      <c r="L10" s="10" t="n">
        <v>81.92</v>
      </c>
      <c r="M10" s="12">
        <f>IF(COUNT(L5:L10)=6,(AVERAGE(L8:L10)/AVERAGE(L5:L7))^4-1,"")</f>
        <v/>
      </c>
      <c r="N10" s="10" t="n">
        <v>79.5</v>
      </c>
      <c r="O10" s="11">
        <f>IF(ISNUMBER(N10),N10/N$65*100,"")</f>
        <v/>
      </c>
      <c r="P10" s="12">
        <f>IF(AND(ISNUMBER(N10),ISNUMBER(N9)),N10/N9-1,"")</f>
        <v/>
      </c>
      <c r="Q10" s="12" t="n"/>
      <c r="R10" s="10" t="n">
        <v>79.09999999999999</v>
      </c>
      <c r="S10" s="12">
        <f>IF(COUNT(R5:R10)=6,(AVERAGE(R8:R10)/AVERAGE(R5:R7))^4-1,"")</f>
        <v/>
      </c>
      <c r="T10" s="10" t="n">
        <v>77.95999999999999</v>
      </c>
      <c r="U10" s="11">
        <f>IF(ISNUMBER(T10),T10/T$65*100,"")</f>
        <v/>
      </c>
      <c r="V10" s="12">
        <f>IF(AND(ISNUMBER(T10),ISNUMBER(T9)),T10/T9-1,"")</f>
        <v/>
      </c>
      <c r="W10" s="12" t="n"/>
      <c r="X10" s="10" t="n">
        <v>77.5</v>
      </c>
      <c r="Y10" s="12">
        <f>IF(COUNT(X5:X10)=6,(AVERAGE(X8:X10)/AVERAGE(X5:X7))^4-1,"")</f>
        <v/>
      </c>
      <c r="Z10" s="10" t="n">
        <v>79.38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0" t="n">
        <v>79.11</v>
      </c>
      <c r="AE10" s="12">
        <f>IF(COUNT(AD5:AD10)=6,(AVERAGE(AD8:AD10)/AVERAGE(AD5:AD7))^4-1,"")</f>
        <v/>
      </c>
      <c r="AF10" s="10" t="n">
        <v>70.55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0" t="n">
        <v>70.39</v>
      </c>
      <c r="AK10" s="12">
        <f>IF(COUNT(AJ5:AJ10)=6,(AVERAGE(AJ8:AJ10)/AVERAGE(AJ5:AJ7))^4-1,"")</f>
        <v/>
      </c>
      <c r="AL10" s="10" t="n">
        <v>70.44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0" t="n">
        <v>70.44</v>
      </c>
      <c r="AQ10" s="12">
        <f>IF(COUNT(AP5:AP10)=6,(AVERAGE(AP8:AP10)/AVERAGE(AP5:AP7))^4-1,"")</f>
        <v/>
      </c>
      <c r="AR10" s="10" t="n">
        <v>79.34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79.1045</v>
      </c>
      <c r="AW10" s="12">
        <f>IF(COUNT(AV5:AV10)=6,(AVERAGE(AV8:AV10)/AVERAGE(AV5:AV7))^4-1,"")</f>
        <v/>
      </c>
    </row>
    <row r="11">
      <c r="A11" s="9" t="n">
        <v>42186</v>
      </c>
      <c r="B11" s="10" t="n">
        <v>77.76000000000001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0" t="n">
        <v>77.79000000000001</v>
      </c>
      <c r="G11" s="12">
        <f>IF(COUNT(F6:F11)=6,(AVERAGE(F9:F11)/AVERAGE(F6:F8))^4-1,"")</f>
        <v/>
      </c>
      <c r="H11" s="10" t="n">
        <v>81.89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0" t="n">
        <v>81.93000000000001</v>
      </c>
      <c r="M11" s="12">
        <f>IF(COUNT(L6:L11)=6,(AVERAGE(L9:L11)/AVERAGE(L6:L8))^4-1,"")</f>
        <v/>
      </c>
      <c r="N11" s="10" t="n">
        <v>79.03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0" t="n">
        <v>79.06999999999999</v>
      </c>
      <c r="S11" s="12">
        <f>IF(COUNT(R6:R11)=6,(AVERAGE(R9:R11)/AVERAGE(R6:R8))^4-1,"")</f>
        <v/>
      </c>
      <c r="T11" s="10" t="n">
        <v>76.45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0" t="n">
        <v>77.37</v>
      </c>
      <c r="Y11" s="12">
        <f>IF(COUNT(X6:X11)=6,(AVERAGE(X9:X11)/AVERAGE(X6:X8))^4-1,"")</f>
        <v/>
      </c>
      <c r="Z11" s="10" t="n">
        <v>80.27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0" t="n">
        <v>79.09</v>
      </c>
      <c r="AE11" s="12">
        <f>IF(COUNT(AD6:AD11)=6,(AVERAGE(AD9:AD11)/AVERAGE(AD6:AD8))^4-1,"")</f>
        <v/>
      </c>
      <c r="AF11" s="10" t="n">
        <v>70.22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0" t="n">
        <v>70.26000000000001</v>
      </c>
      <c r="AK11" s="12">
        <f>IF(COUNT(AJ6:AJ11)=6,(AVERAGE(AJ9:AJ11)/AVERAGE(AJ6:AJ8))^4-1,"")</f>
        <v/>
      </c>
      <c r="AL11" s="10" t="n">
        <v>69.95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0" t="n">
        <v>69.95</v>
      </c>
      <c r="AQ11" s="12">
        <f>IF(COUNT(AP6:AP11)=6,(AVERAGE(AP9:AP11)/AVERAGE(AP6:AP8))^4-1,"")</f>
        <v/>
      </c>
      <c r="AR11" s="10" t="n">
        <v>79.79000000000001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79.15300000000001</v>
      </c>
      <c r="AW11" s="12">
        <f>IF(COUNT(AV6:AV11)=6,(AVERAGE(AV9:AV11)/AVERAGE(AV6:AV8))^4-1,"")</f>
        <v/>
      </c>
    </row>
    <row r="12">
      <c r="A12" s="9" t="n">
        <v>42217</v>
      </c>
      <c r="B12" s="10" t="n">
        <v>77.76000000000001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0" t="n">
        <v>77.75</v>
      </c>
      <c r="G12" s="12">
        <f>IF(COUNT(F7:F12)=6,(AVERAGE(F10:F12)/AVERAGE(F7:F9))^4-1,"")</f>
        <v/>
      </c>
      <c r="H12" s="10" t="n">
        <v>82.14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0" t="n">
        <v>82.03</v>
      </c>
      <c r="M12" s="12">
        <f>IF(COUNT(L7:L12)=6,(AVERAGE(L10:L12)/AVERAGE(L7:L9))^4-1,"")</f>
        <v/>
      </c>
      <c r="N12" s="10" t="n">
        <v>79.23999999999999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0" t="n">
        <v>79.22</v>
      </c>
      <c r="S12" s="12">
        <f>IF(COUNT(R7:R12)=6,(AVERAGE(R10:R12)/AVERAGE(R7:R9))^4-1,"")</f>
        <v/>
      </c>
      <c r="T12" s="10" t="n">
        <v>76.28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0" t="n">
        <v>77.20999999999999</v>
      </c>
      <c r="Y12" s="12">
        <f>IF(COUNT(X7:X12)=6,(AVERAGE(X10:X12)/AVERAGE(X7:X9))^4-1,"")</f>
        <v/>
      </c>
      <c r="Z12" s="10" t="n">
        <v>80.5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0" t="n">
        <v>79.2</v>
      </c>
      <c r="AE12" s="12">
        <f>IF(COUNT(AD7:AD12)=6,(AVERAGE(AD10:AD12)/AVERAGE(AD7:AD9))^4-1,"")</f>
        <v/>
      </c>
      <c r="AF12" s="10" t="n">
        <v>70.3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0" t="n">
        <v>70.56999999999999</v>
      </c>
      <c r="AK12" s="12">
        <f>IF(COUNT(AJ7:AJ12)=6,(AVERAGE(AJ10:AJ12)/AVERAGE(AJ7:AJ9))^4-1,"")</f>
        <v/>
      </c>
      <c r="AL12" s="10" t="n">
        <v>68.41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0" t="n">
        <v>68.41</v>
      </c>
      <c r="AQ12" s="12">
        <f>IF(COUNT(AP7:AP12)=6,(AVERAGE(AP10:AP12)/AVERAGE(AP7:AP9))^4-1,"")</f>
        <v/>
      </c>
      <c r="AR12" s="10" t="n">
        <v>79.01000000000001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78.22929999999999</v>
      </c>
      <c r="AW12" s="12">
        <f>IF(COUNT(AV7:AV12)=6,(AVERAGE(AV10:AV12)/AVERAGE(AV7:AV9))^4-1,"")</f>
        <v/>
      </c>
    </row>
    <row r="13">
      <c r="A13" s="9" t="n">
        <v>42248</v>
      </c>
      <c r="B13" s="10" t="n">
        <v>77.92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0" t="n">
        <v>77.69</v>
      </c>
      <c r="G13" s="12">
        <f>IF(COUNT(F8:F13)=6,(AVERAGE(F11:F13)/AVERAGE(F8:F10))^4-1,"")</f>
        <v/>
      </c>
      <c r="H13" s="10" t="n">
        <v>82.53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0" t="n">
        <v>82.09</v>
      </c>
      <c r="M13" s="12">
        <f>IF(COUNT(L8:L13)=6,(AVERAGE(L11:L13)/AVERAGE(L8:L10))^4-1,"")</f>
        <v/>
      </c>
      <c r="N13" s="10" t="n">
        <v>79.58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0" t="n">
        <v>79.31999999999999</v>
      </c>
      <c r="S13" s="12">
        <f>IF(COUNT(R8:R13)=6,(AVERAGE(R11:R13)/AVERAGE(R8:R10))^4-1,"")</f>
        <v/>
      </c>
      <c r="T13" s="10" t="n">
        <v>77.22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0" t="n">
        <v>77.04000000000001</v>
      </c>
      <c r="Y13" s="12">
        <f>IF(COUNT(X8:X13)=6,(AVERAGE(X11:X13)/AVERAGE(X8:X10))^4-1,"")</f>
        <v/>
      </c>
      <c r="Z13" s="10" t="n">
        <v>79.63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0" t="n">
        <v>79.3</v>
      </c>
      <c r="AE13" s="12">
        <f>IF(COUNT(AD8:AD13)=6,(AVERAGE(AD11:AD13)/AVERAGE(AD8:AD10))^4-1,"")</f>
        <v/>
      </c>
      <c r="AF13" s="10" t="n">
        <v>70.48999999999999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0" t="n">
        <v>70.77</v>
      </c>
      <c r="AK13" s="12">
        <f>IF(COUNT(AJ8:AJ13)=6,(AVERAGE(AJ11:AJ13)/AVERAGE(AJ8:AJ10))^4-1,"")</f>
        <v/>
      </c>
      <c r="AL13" s="10" t="n">
        <v>67.25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0" t="n">
        <v>67.25</v>
      </c>
      <c r="AQ13" s="12">
        <f>IF(COUNT(AP8:AP13)=6,(AVERAGE(AP11:AP13)/AVERAGE(AP8:AP10))^4-1,"")</f>
        <v/>
      </c>
      <c r="AR13" s="10" t="n">
        <v>77.37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77.3626</v>
      </c>
      <c r="AW13" s="12">
        <f>IF(COUNT(AV8:AV13)=6,(AVERAGE(AV11:AV13)/AVERAGE(AV8:AV10))^4-1,"")</f>
        <v/>
      </c>
    </row>
    <row r="14">
      <c r="A14" s="9" t="n">
        <v>42278</v>
      </c>
      <c r="B14" s="10" t="n">
        <v>78.02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0" t="n">
        <v>77.75</v>
      </c>
      <c r="G14" s="12">
        <f>IF(COUNT(F9:F14)=6,(AVERAGE(F12:F14)/AVERAGE(F9:F11))^4-1,"")</f>
        <v/>
      </c>
      <c r="H14" s="10" t="n">
        <v>82.65000000000001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0" t="n">
        <v>82.20999999999999</v>
      </c>
      <c r="M14" s="12">
        <f>IF(COUNT(L9:L14)=6,(AVERAGE(L12:L14)/AVERAGE(L9:L11))^4-1,"")</f>
        <v/>
      </c>
      <c r="N14" s="10" t="n">
        <v>79.73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0" t="n">
        <v>79.43000000000001</v>
      </c>
      <c r="S14" s="12">
        <f>IF(COUNT(R9:R14)=6,(AVERAGE(R12:R14)/AVERAGE(R9:R11))^4-1,"")</f>
        <v/>
      </c>
      <c r="T14" s="10" t="n">
        <v>77.48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0" t="n">
        <v>77.04000000000001</v>
      </c>
      <c r="Y14" s="12">
        <f>IF(COUNT(X9:X14)=6,(AVERAGE(X12:X14)/AVERAGE(X9:X11))^4-1,"")</f>
        <v/>
      </c>
      <c r="Z14" s="10" t="n">
        <v>79.52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0" t="n">
        <v>79.43000000000001</v>
      </c>
      <c r="AE14" s="12">
        <f>IF(COUNT(AD9:AD14)=6,(AVERAGE(AD12:AD14)/AVERAGE(AD9:AD11))^4-1,"")</f>
        <v/>
      </c>
      <c r="AF14" s="10" t="n">
        <v>70.73999999999999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0" t="n">
        <v>70.86</v>
      </c>
      <c r="AK14" s="12">
        <f>IF(COUNT(AJ9:AJ14)=6,(AVERAGE(AJ12:AJ14)/AVERAGE(AJ9:AJ11))^4-1,"")</f>
        <v/>
      </c>
      <c r="AL14" s="10" t="n">
        <v>66.89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0" t="n">
        <v>66.89</v>
      </c>
      <c r="AQ14" s="12">
        <f>IF(COUNT(AP9:AP14)=6,(AVERAGE(AP12:AP14)/AVERAGE(AP9:AP11))^4-1,"")</f>
        <v/>
      </c>
      <c r="AR14" s="10" t="n">
        <v>77.13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77.2885</v>
      </c>
      <c r="AW14" s="12">
        <f>IF(COUNT(AV9:AV14)=6,(AVERAGE(AV12:AV14)/AVERAGE(AV9:AV11))^4-1,"")</f>
        <v/>
      </c>
    </row>
    <row r="15">
      <c r="A15" s="9" t="n">
        <v>42309</v>
      </c>
      <c r="B15" s="10" t="n">
        <v>77.68000000000001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0" t="n">
        <v>77.79000000000001</v>
      </c>
      <c r="G15" s="12">
        <f>IF(COUNT(F10:F15)=6,(AVERAGE(F13:F15)/AVERAGE(F10:F12))^4-1,"")</f>
        <v/>
      </c>
      <c r="H15" s="10" t="n">
        <v>82.15000000000001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0" t="n">
        <v>82.26000000000001</v>
      </c>
      <c r="M15" s="12">
        <f>IF(COUNT(L10:L15)=6,(AVERAGE(L13:L15)/AVERAGE(L10:L12))^4-1,"")</f>
        <v/>
      </c>
      <c r="N15" s="10" t="n">
        <v>79.34999999999999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0" t="n">
        <v>79.48</v>
      </c>
      <c r="S15" s="12">
        <f>IF(COUNT(R10:R15)=6,(AVERAGE(R13:R15)/AVERAGE(R10:R12))^4-1,"")</f>
        <v/>
      </c>
      <c r="T15" s="10" t="n">
        <v>77.48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0" t="n">
        <v>77.04000000000001</v>
      </c>
      <c r="Y15" s="12">
        <f>IF(COUNT(X10:X15)=6,(AVERAGE(X13:X15)/AVERAGE(X10:X12))^4-1,"")</f>
        <v/>
      </c>
      <c r="Z15" s="10" t="n">
        <v>78.72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0" t="n">
        <v>79.53</v>
      </c>
      <c r="AE15" s="12">
        <f>IF(COUNT(AD10:AD15)=6,(AVERAGE(AD13:AD15)/AVERAGE(AD10:AD12))^4-1,"")</f>
        <v/>
      </c>
      <c r="AF15" s="10" t="n">
        <v>70.73999999999999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0" t="n">
        <v>70.90000000000001</v>
      </c>
      <c r="AK15" s="12">
        <f>IF(COUNT(AJ10:AJ15)=6,(AVERAGE(AJ13:AJ15)/AVERAGE(AJ10:AJ12))^4-1,"")</f>
        <v/>
      </c>
      <c r="AL15" s="10" t="n">
        <v>66.89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0" t="n">
        <v>66.89</v>
      </c>
      <c r="AQ15" s="12">
        <f>IF(COUNT(AP10:AP15)=6,(AVERAGE(AP13:AP15)/AVERAGE(AP10:AP12))^4-1,"")</f>
        <v/>
      </c>
      <c r="AR15" s="10" t="n">
        <v>76.81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77.4191</v>
      </c>
      <c r="AW15" s="12">
        <f>IF(COUNT(AV10:AV15)=6,(AVERAGE(AV13:AV15)/AVERAGE(AV10:AV12))^4-1,"")</f>
        <v/>
      </c>
    </row>
    <row r="16">
      <c r="A16" s="9" t="n">
        <v>42339</v>
      </c>
      <c r="B16" s="10" t="n">
        <v>77.69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0" t="n">
        <v>77.63</v>
      </c>
      <c r="G16" s="12">
        <f>IF(COUNT(F11:F16)=6,(AVERAGE(F14:F16)/AVERAGE(F11:F13))^4-1,"")</f>
        <v/>
      </c>
      <c r="H16" s="10" t="n">
        <v>82.44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0" t="n">
        <v>82.28</v>
      </c>
      <c r="M16" s="12">
        <f>IF(COUNT(L11:L16)=6,(AVERAGE(L14:L16)/AVERAGE(L11:L13))^4-1,"")</f>
        <v/>
      </c>
      <c r="N16" s="10" t="n">
        <v>79.53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0" t="n">
        <v>79.45</v>
      </c>
      <c r="S16" s="12">
        <f>IF(COUNT(R11:R16)=6,(AVERAGE(R14:R16)/AVERAGE(R11:R13))^4-1,"")</f>
        <v/>
      </c>
      <c r="T16" s="10" t="n">
        <v>77.06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0" t="n">
        <v>76.70999999999999</v>
      </c>
      <c r="Y16" s="12">
        <f>IF(COUNT(X11:X16)=6,(AVERAGE(X14:X16)/AVERAGE(X11:X13))^4-1,"")</f>
        <v/>
      </c>
      <c r="Z16" s="10" t="n">
        <v>79.31999999999999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0" t="n">
        <v>79.58</v>
      </c>
      <c r="AE16" s="12">
        <f>IF(COUNT(AD11:AD16)=6,(AVERAGE(AD14:AD16)/AVERAGE(AD11:AD13))^4-1,"")</f>
        <v/>
      </c>
      <c r="AF16" s="10" t="n">
        <v>70.56999999999999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0" t="n">
        <v>70.72</v>
      </c>
      <c r="AK16" s="12">
        <f>IF(COUNT(AJ11:AJ16)=6,(AVERAGE(AJ14:AJ16)/AVERAGE(AJ11:AJ13))^4-1,"")</f>
        <v/>
      </c>
      <c r="AL16" s="10" t="n">
        <v>65.68000000000001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0" t="n">
        <v>65.68000000000001</v>
      </c>
      <c r="AQ16" s="12">
        <f>IF(COUNT(AP11:AP16)=6,(AVERAGE(AP14:AP16)/AVERAGE(AP11:AP13))^4-1,"")</f>
        <v/>
      </c>
      <c r="AR16" s="10" t="n">
        <v>76.55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77.0792</v>
      </c>
      <c r="AW16" s="12">
        <f>IF(COUNT(AV11:AV16)=6,(AVERAGE(AV14:AV16)/AVERAGE(AV11:AV13))^4-1,"")</f>
        <v/>
      </c>
    </row>
    <row r="17">
      <c r="A17" s="9" t="n">
        <v>42370</v>
      </c>
      <c r="B17" s="10" t="n">
        <v>76.55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0" t="n">
        <v>77.44</v>
      </c>
      <c r="G17" s="12">
        <f>IF(COUNT(F12:F17)=6,(AVERAGE(F15:F17)/AVERAGE(F12:F14))^4-1,"")</f>
        <v/>
      </c>
      <c r="H17" s="10" t="n">
        <v>80.98999999999999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0" t="n">
        <v>82.36</v>
      </c>
      <c r="M17" s="12">
        <f>IF(COUNT(L12:L17)=6,(AVERAGE(L15:L17)/AVERAGE(L12:L14))^4-1,"")</f>
        <v/>
      </c>
      <c r="N17" s="10" t="n">
        <v>78.47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0" t="n">
        <v>79.47</v>
      </c>
      <c r="S17" s="12">
        <f>IF(COUNT(R12:R17)=6,(AVERAGE(R15:R17)/AVERAGE(R12:R14))^4-1,"")</f>
        <v/>
      </c>
      <c r="T17" s="10" t="n">
        <v>75.40000000000001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0" t="n">
        <v>76.29000000000001</v>
      </c>
      <c r="Y17" s="12">
        <f>IF(COUNT(X12:X17)=6,(AVERAGE(X15:X17)/AVERAGE(X12:X14))^4-1,"")</f>
        <v/>
      </c>
      <c r="Z17" s="10" t="n">
        <v>78.83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0" t="n">
        <v>79.68000000000001</v>
      </c>
      <c r="AE17" s="12">
        <f>IF(COUNT(AD12:AD17)=6,(AVERAGE(AD15:AD17)/AVERAGE(AD12:AD14))^4-1,"")</f>
        <v/>
      </c>
      <c r="AF17" s="10" t="n">
        <v>70.69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0" t="n">
        <v>70.55</v>
      </c>
      <c r="AK17" s="12">
        <f>IF(COUNT(AJ12:AJ17)=6,(AVERAGE(AJ15:AJ17)/AVERAGE(AJ12:AJ14))^4-1,"")</f>
        <v/>
      </c>
      <c r="AL17" s="10" t="n">
        <v>63.89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0" t="n">
        <v>63.89</v>
      </c>
      <c r="AQ17" s="12">
        <f>IF(COUNT(AP12:AP17)=6,(AVERAGE(AP15:AP17)/AVERAGE(AP12:AP14))^4-1,"")</f>
        <v/>
      </c>
      <c r="AR17" s="10" t="n">
        <v>75.56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75.7993</v>
      </c>
      <c r="AW17" s="12">
        <f>IF(COUNT(AV12:AV17)=6,(AVERAGE(AV15:AV17)/AVERAGE(AV12:AV14))^4-1,"")</f>
        <v/>
      </c>
    </row>
    <row r="18">
      <c r="A18" s="9" t="n">
        <v>42401</v>
      </c>
      <c r="B18" s="10" t="n">
        <v>76.68000000000001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0" t="n">
        <v>77.39</v>
      </c>
      <c r="G18" s="12">
        <f>IF(COUNT(F13:F18)=6,(AVERAGE(F16:F18)/AVERAGE(F13:F15))^4-1,"")</f>
        <v/>
      </c>
      <c r="H18" s="10" t="n">
        <v>81.31999999999999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0" t="n">
        <v>82.44</v>
      </c>
      <c r="M18" s="12">
        <f>IF(COUNT(L13:L18)=6,(AVERAGE(L16:L18)/AVERAGE(L13:L15))^4-1,"")</f>
        <v/>
      </c>
      <c r="N18" s="10" t="n">
        <v>78.72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0" t="n">
        <v>79.53</v>
      </c>
      <c r="S18" s="12">
        <f>IF(COUNT(R13:R18)=6,(AVERAGE(R16:R18)/AVERAGE(R13:R15))^4-1,"")</f>
        <v/>
      </c>
      <c r="T18" s="10" t="n">
        <v>75.36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0" t="n">
        <v>76.19</v>
      </c>
      <c r="Y18" s="12">
        <f>IF(COUNT(X13:X18)=6,(AVERAGE(X16:X18)/AVERAGE(X13:X15))^4-1,"")</f>
        <v/>
      </c>
      <c r="Z18" s="10" t="n">
        <v>79.18000000000001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0" t="n">
        <v>79.72</v>
      </c>
      <c r="AE18" s="12">
        <f>IF(COUNT(AD13:AD18)=6,(AVERAGE(AD16:AD18)/AVERAGE(AD13:AD15))^4-1,"")</f>
        <v/>
      </c>
      <c r="AF18" s="10" t="n">
        <v>70.70999999999999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0" t="n">
        <v>70.55</v>
      </c>
      <c r="AK18" s="12">
        <f>IF(COUNT(AJ13:AJ18)=6,(AVERAGE(AJ16:AJ18)/AVERAGE(AJ13:AJ15))^4-1,"")</f>
        <v/>
      </c>
      <c r="AL18" s="10" t="n">
        <v>63.05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0" t="n">
        <v>63.05</v>
      </c>
      <c r="AQ18" s="12">
        <f>IF(COUNT(AP13:AP18)=6,(AVERAGE(AP16:AP18)/AVERAGE(AP13:AP15))^4-1,"")</f>
        <v/>
      </c>
      <c r="AR18" s="10" t="n">
        <v>75.22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75.2531</v>
      </c>
      <c r="AW18" s="12">
        <f>IF(COUNT(AV13:AV18)=6,(AVERAGE(AV16:AV18)/AVERAGE(AV13:AV15))^4-1,"")</f>
        <v/>
      </c>
    </row>
    <row r="19">
      <c r="A19" s="9" t="n">
        <v>42430</v>
      </c>
      <c r="B19" s="10" t="n">
        <v>77.64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0" t="n">
        <v>77.53</v>
      </c>
      <c r="G19" s="12">
        <f>IF(COUNT(F14:F19)=6,(AVERAGE(F17:F19)/AVERAGE(F14:F16))^4-1,"")</f>
        <v/>
      </c>
      <c r="H19" s="10" t="n">
        <v>82.59999999999999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0" t="n">
        <v>82.48999999999999</v>
      </c>
      <c r="M19" s="12">
        <f>IF(COUNT(L14:L19)=6,(AVERAGE(L17:L19)/AVERAGE(L14:L16))^4-1,"")</f>
        <v/>
      </c>
      <c r="N19" s="10" t="n">
        <v>79.72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0" t="n">
        <v>79.59999999999999</v>
      </c>
      <c r="S19" s="12">
        <f>IF(COUNT(R14:R19)=6,(AVERAGE(R17:R19)/AVERAGE(R14:R16))^4-1,"")</f>
        <v/>
      </c>
      <c r="T19" s="10" t="n">
        <v>76.77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0" t="n">
        <v>76.38</v>
      </c>
      <c r="Y19" s="12">
        <f>IF(COUNT(X14:X19)=6,(AVERAGE(X17:X19)/AVERAGE(X14:X16))^4-1,"")</f>
        <v/>
      </c>
      <c r="Z19" s="10" t="n">
        <v>79.56999999999999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0" t="n">
        <v>79.79000000000001</v>
      </c>
      <c r="AE19" s="12">
        <f>IF(COUNT(AD14:AD19)=6,(AVERAGE(AD17:AD19)/AVERAGE(AD14:AD16))^4-1,"")</f>
        <v/>
      </c>
      <c r="AF19" s="10" t="n">
        <v>70.86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0" t="n">
        <v>70.69</v>
      </c>
      <c r="AK19" s="12">
        <f>IF(COUNT(AJ14:AJ19)=6,(AVERAGE(AJ17:AJ19)/AVERAGE(AJ14:AJ16))^4-1,"")</f>
        <v/>
      </c>
      <c r="AL19" s="10" t="n">
        <v>63.71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0" t="n">
        <v>63.71</v>
      </c>
      <c r="AQ19" s="12">
        <f>IF(COUNT(AP14:AP19)=6,(AVERAGE(AP17:AP19)/AVERAGE(AP14:AP16))^4-1,"")</f>
        <v/>
      </c>
      <c r="AR19" s="10" t="n">
        <v>75.79000000000001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76.2251</v>
      </c>
      <c r="AW19" s="12">
        <f>IF(COUNT(AV14:AV19)=6,(AVERAGE(AV17:AV19)/AVERAGE(AV14:AV16))^4-1,"")</f>
        <v/>
      </c>
    </row>
    <row r="20">
      <c r="A20" s="9" t="n">
        <v>42461</v>
      </c>
      <c r="B20" s="10" t="n">
        <v>77.8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0" t="n">
        <v>77.59</v>
      </c>
      <c r="G20" s="12">
        <f>IF(COUNT(F15:F20)=6,(AVERAGE(F18:F20)/AVERAGE(F15:F17))^4-1,"")</f>
        <v/>
      </c>
      <c r="H20" s="10" t="n">
        <v>82.78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0" t="n">
        <v>82.51000000000001</v>
      </c>
      <c r="M20" s="12">
        <f>IF(COUNT(L15:L20)=6,(AVERAGE(L18:L20)/AVERAGE(L15:L17))^4-1,"")</f>
        <v/>
      </c>
      <c r="N20" s="10" t="n">
        <v>79.91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0" t="n">
        <v>79.66</v>
      </c>
      <c r="S20" s="12">
        <f>IF(COUNT(R15:R20)=6,(AVERAGE(R18:R20)/AVERAGE(R15:R17))^4-1,"")</f>
        <v/>
      </c>
      <c r="T20" s="10" t="n">
        <v>77.06999999999999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0" t="n">
        <v>76.47</v>
      </c>
      <c r="Y20" s="12">
        <f>IF(COUNT(X15:X20)=6,(AVERAGE(X18:X20)/AVERAGE(X15:X17))^4-1,"")</f>
        <v/>
      </c>
      <c r="Z20" s="10" t="n">
        <v>79.55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0" t="n">
        <v>79.81</v>
      </c>
      <c r="AE20" s="12">
        <f>IF(COUNT(AD15:AD20)=6,(AVERAGE(AD18:AD20)/AVERAGE(AD15:AD17))^4-1,"")</f>
        <v/>
      </c>
      <c r="AF20" s="10" t="n">
        <v>71.05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0" t="n">
        <v>70.87</v>
      </c>
      <c r="AK20" s="12">
        <f>IF(COUNT(AJ15:AJ20)=6,(AVERAGE(AJ18:AJ20)/AVERAGE(AJ15:AJ17))^4-1,"")</f>
        <v/>
      </c>
      <c r="AL20" s="10" t="n">
        <v>63.76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0" t="n">
        <v>63.76</v>
      </c>
      <c r="AQ20" s="12">
        <f>IF(COUNT(AP15:AP20)=6,(AVERAGE(AP18:AP20)/AVERAGE(AP15:AP17))^4-1,"")</f>
        <v/>
      </c>
      <c r="AR20" s="10" t="n">
        <v>76.31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76.2086</v>
      </c>
      <c r="AW20" s="12">
        <f>IF(COUNT(AV15:AV20)=6,(AVERAGE(AV18:AV20)/AVERAGE(AV15:AV17))^4-1,"")</f>
        <v/>
      </c>
    </row>
    <row r="21">
      <c r="A21" s="9" t="n">
        <v>42491</v>
      </c>
      <c r="B21" s="10" t="n">
        <v>78.13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0" t="n">
        <v>77.73999999999999</v>
      </c>
      <c r="G21" s="12">
        <f>IF(COUNT(F16:F21)=6,(AVERAGE(F19:F21)/AVERAGE(F16:F18))^4-1,"")</f>
        <v/>
      </c>
      <c r="H21" s="10" t="n">
        <v>83.03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0" t="n">
        <v>82.54000000000001</v>
      </c>
      <c r="M21" s="12">
        <f>IF(COUNT(L16:L21)=6,(AVERAGE(L19:L21)/AVERAGE(L16:L18))^4-1,"")</f>
        <v/>
      </c>
      <c r="N21" s="10" t="n">
        <v>80.14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0" t="n">
        <v>79.7</v>
      </c>
      <c r="S21" s="12">
        <f>IF(COUNT(R16:R21)=6,(AVERAGE(R19:R21)/AVERAGE(R16:R18))^4-1,"")</f>
        <v/>
      </c>
      <c r="T21" s="10" t="n">
        <v>77.37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0" t="n">
        <v>76.72</v>
      </c>
      <c r="Y21" s="12">
        <f>IF(COUNT(X16:X21)=6,(AVERAGE(X19:X21)/AVERAGE(X16:X18))^4-1,"")</f>
        <v/>
      </c>
      <c r="Z21" s="10" t="n">
        <v>79.92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0" t="n">
        <v>79.83</v>
      </c>
      <c r="AE21" s="12">
        <f>IF(COUNT(AD16:AD21)=6,(AVERAGE(AD19:AD21)/AVERAGE(AD16:AD18))^4-1,"")</f>
        <v/>
      </c>
      <c r="AF21" s="10" t="n">
        <v>71.23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0" t="n">
        <v>70.94</v>
      </c>
      <c r="AK21" s="12">
        <f>IF(COUNT(AJ16:AJ21)=6,(AVERAGE(AJ19:AJ21)/AVERAGE(AJ16:AJ18))^4-1,"")</f>
        <v/>
      </c>
      <c r="AL21" s="10" t="n">
        <v>64.81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0" t="n">
        <v>64.81</v>
      </c>
      <c r="AQ21" s="12">
        <f>IF(COUNT(AP16:AP21)=6,(AVERAGE(AP19:AP21)/AVERAGE(AP16:AP18))^4-1,"")</f>
        <v/>
      </c>
      <c r="AR21" s="10" t="n">
        <v>76.97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76.8446</v>
      </c>
      <c r="AW21" s="12">
        <f>IF(COUNT(AV16:AV21)=6,(AVERAGE(AV19:AV21)/AVERAGE(AV16:AV18))^4-1,"")</f>
        <v/>
      </c>
    </row>
    <row r="22">
      <c r="A22" s="9" t="n">
        <v>42522</v>
      </c>
      <c r="B22" s="10" t="n">
        <v>78.27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0" t="n">
        <v>77.90000000000001</v>
      </c>
      <c r="G22" s="12">
        <f>IF(COUNT(F17:F22)=6,(AVERAGE(F20:F22)/AVERAGE(F17:F19))^4-1,"")</f>
        <v/>
      </c>
      <c r="H22" s="10" t="n">
        <v>83.06999999999999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0" t="n">
        <v>82.56</v>
      </c>
      <c r="M22" s="12">
        <f>IF(COUNT(L17:L22)=6,(AVERAGE(L20:L22)/AVERAGE(L17:L19))^4-1,"")</f>
        <v/>
      </c>
      <c r="N22" s="10" t="n">
        <v>80.15000000000001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0" t="n">
        <v>79.73</v>
      </c>
      <c r="S22" s="12">
        <f>IF(COUNT(R17:R22)=6,(AVERAGE(R20:R22)/AVERAGE(R17:R19))^4-1,"")</f>
        <v/>
      </c>
      <c r="T22" s="10" t="n">
        <v>77.40000000000001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0" t="n">
        <v>76.95</v>
      </c>
      <c r="Y22" s="12">
        <f>IF(COUNT(X17:X22)=6,(AVERAGE(X20:X22)/AVERAGE(X17:X19))^4-1,"")</f>
        <v/>
      </c>
      <c r="Z22" s="10" t="n">
        <v>80.2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0" t="n">
        <v>79.91</v>
      </c>
      <c r="AE22" s="12">
        <f>IF(COUNT(AD17:AD22)=6,(AVERAGE(AD20:AD22)/AVERAGE(AD17:AD19))^4-1,"")</f>
        <v/>
      </c>
      <c r="AF22" s="10" t="n">
        <v>71.17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0" t="n">
        <v>71.03</v>
      </c>
      <c r="AK22" s="12">
        <f>IF(COUNT(AJ17:AJ22)=6,(AVERAGE(AJ20:AJ22)/AVERAGE(AJ17:AJ19))^4-1,"")</f>
        <v/>
      </c>
      <c r="AL22" s="10" t="n">
        <v>65.92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0" t="n">
        <v>65.92</v>
      </c>
      <c r="AQ22" s="12">
        <f>IF(COUNT(AP17:AP22)=6,(AVERAGE(AP20:AP22)/AVERAGE(AP17:AP19))^4-1,"")</f>
        <v/>
      </c>
      <c r="AR22" s="10" t="n">
        <v>77.75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77.4961</v>
      </c>
      <c r="AW22" s="12">
        <f>IF(COUNT(AV17:AV22)=6,(AVERAGE(AV20:AV22)/AVERAGE(AV17:AV19))^4-1,"")</f>
        <v/>
      </c>
    </row>
    <row r="23">
      <c r="A23" s="9" t="n">
        <v>42552</v>
      </c>
      <c r="B23" s="10" t="n">
        <v>77.89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0" t="n">
        <v>77.90000000000001</v>
      </c>
      <c r="G23" s="12">
        <f>IF(COUNT(F18:F23)=6,(AVERAGE(F21:F23)/AVERAGE(F18:F20))^4-1,"")</f>
        <v/>
      </c>
      <c r="H23" s="10" t="n">
        <v>82.59999999999999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0" t="n">
        <v>82.59</v>
      </c>
      <c r="M23" s="12">
        <f>IF(COUNT(L18:L23)=6,(AVERAGE(L21:L23)/AVERAGE(L18:L20))^4-1,"")</f>
        <v/>
      </c>
      <c r="N23" s="10" t="n">
        <v>79.8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0" t="n">
        <v>79.81</v>
      </c>
      <c r="S23" s="12">
        <f>IF(COUNT(R18:R23)=6,(AVERAGE(R21:R23)/AVERAGE(R18:R20))^4-1,"")</f>
        <v/>
      </c>
      <c r="T23" s="10" t="n">
        <v>75.95999999999999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0" t="n">
        <v>76.90000000000001</v>
      </c>
      <c r="Y23" s="12">
        <f>IF(COUNT(X18:X23)=6,(AVERAGE(X21:X23)/AVERAGE(X18:X20))^4-1,"")</f>
        <v/>
      </c>
      <c r="Z23" s="10" t="n">
        <v>81.19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0" t="n">
        <v>79.95999999999999</v>
      </c>
      <c r="AE23" s="12">
        <f>IF(COUNT(AD18:AD23)=6,(AVERAGE(AD21:AD23)/AVERAGE(AD18:AD20))^4-1,"")</f>
        <v/>
      </c>
      <c r="AF23" s="10" t="n">
        <v>71.18000000000001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0" t="n">
        <v>71.23</v>
      </c>
      <c r="AK23" s="12">
        <f>IF(COUNT(AJ18:AJ23)=6,(AVERAGE(AJ21:AJ23)/AVERAGE(AJ18:AJ20))^4-1,"")</f>
        <v/>
      </c>
      <c r="AL23" s="10" t="n">
        <v>65.26000000000001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0" t="n">
        <v>65.26000000000001</v>
      </c>
      <c r="AQ23" s="12">
        <f>IF(COUNT(AP18:AP23)=6,(AVERAGE(AP21:AP23)/AVERAGE(AP18:AP20))^4-1,"")</f>
        <v/>
      </c>
      <c r="AR23" s="10" t="n">
        <v>78.01000000000001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77.37050000000001</v>
      </c>
      <c r="AW23" s="12">
        <f>IF(COUNT(AV18:AV23)=6,(AVERAGE(AV21:AV23)/AVERAGE(AV18:AV20))^4-1,"")</f>
        <v/>
      </c>
    </row>
    <row r="24">
      <c r="A24" s="9" t="n">
        <v>42583</v>
      </c>
      <c r="B24" s="10" t="n">
        <v>77.93000000000001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0" t="n">
        <v>77.91</v>
      </c>
      <c r="G24" s="12">
        <f>IF(COUNT(F19:F24)=6,(AVERAGE(F22:F24)/AVERAGE(F19:F21))^4-1,"")</f>
        <v/>
      </c>
      <c r="H24" s="10" t="n">
        <v>82.8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0" t="n">
        <v>82.66</v>
      </c>
      <c r="M24" s="12">
        <f>IF(COUNT(L19:L24)=6,(AVERAGE(L22:L24)/AVERAGE(L19:L21))^4-1,"")</f>
        <v/>
      </c>
      <c r="N24" s="10" t="n">
        <v>79.95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0" t="n">
        <v>79.91</v>
      </c>
      <c r="S24" s="12">
        <f>IF(COUNT(R19:R24)=6,(AVERAGE(R22:R24)/AVERAGE(R19:R21))^4-1,"")</f>
        <v/>
      </c>
      <c r="T24" s="10" t="n">
        <v>75.92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0" t="n">
        <v>76.86</v>
      </c>
      <c r="Y24" s="12">
        <f>IF(COUNT(X19:X24)=6,(AVERAGE(X22:X24)/AVERAGE(X19:X21))^4-1,"")</f>
        <v/>
      </c>
      <c r="Z24" s="10" t="n">
        <v>81.36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0" t="n">
        <v>80.03</v>
      </c>
      <c r="AE24" s="12">
        <f>IF(COUNT(AD19:AD24)=6,(AVERAGE(AD22:AD24)/AVERAGE(AD19:AD21))^4-1,"")</f>
        <v/>
      </c>
      <c r="AF24" s="10" t="n">
        <v>71.18000000000001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0" t="n">
        <v>71.44</v>
      </c>
      <c r="AK24" s="12">
        <f>IF(COUNT(AJ19:AJ24)=6,(AVERAGE(AJ22:AJ24)/AVERAGE(AJ19:AJ21))^4-1,"")</f>
        <v/>
      </c>
      <c r="AL24" s="10" t="n">
        <v>64.56999999999999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0" t="n">
        <v>64.56999999999999</v>
      </c>
      <c r="AQ24" s="12">
        <f>IF(COUNT(AP19:AP24)=6,(AVERAGE(AP22:AP24)/AVERAGE(AP19:AP21))^4-1,"")</f>
        <v/>
      </c>
      <c r="AR24" s="10" t="n">
        <v>77.69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76.944</v>
      </c>
      <c r="AW24" s="12">
        <f>IF(COUNT(AV19:AV24)=6,(AVERAGE(AV22:AV24)/AVERAGE(AV19:AV21))^4-1,"")</f>
        <v/>
      </c>
    </row>
    <row r="25">
      <c r="A25" s="9" t="n">
        <v>42614</v>
      </c>
      <c r="B25" s="10" t="n">
        <v>78.23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0" t="n">
        <v>77.98999999999999</v>
      </c>
      <c r="G25" s="12">
        <f>IF(COUNT(F20:F25)=6,(AVERAGE(F23:F25)/AVERAGE(F20:F22))^4-1,"")</f>
        <v/>
      </c>
      <c r="H25" s="10" t="n">
        <v>83.19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0" t="n">
        <v>82.73999999999999</v>
      </c>
      <c r="M25" s="12">
        <f>IF(COUNT(L20:L25)=6,(AVERAGE(L23:L25)/AVERAGE(L20:L22))^4-1,"")</f>
        <v/>
      </c>
      <c r="N25" s="10" t="n">
        <v>80.2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0" t="n">
        <v>79.92</v>
      </c>
      <c r="S25" s="12">
        <f>IF(COUNT(R20:R25)=6,(AVERAGE(R23:R25)/AVERAGE(R20:R22))^4-1,"")</f>
        <v/>
      </c>
      <c r="T25" s="10" t="n">
        <v>77.09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0" t="n">
        <v>76.92</v>
      </c>
      <c r="Y25" s="12">
        <f>IF(COUNT(X20:X25)=6,(AVERAGE(X23:X25)/AVERAGE(X20:X22))^4-1,"")</f>
        <v/>
      </c>
      <c r="Z25" s="10" t="n">
        <v>80.52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0" t="n">
        <v>80.16</v>
      </c>
      <c r="AE25" s="12">
        <f>IF(COUNT(AD20:AD25)=6,(AVERAGE(AD23:AD25)/AVERAGE(AD20:AD22))^4-1,"")</f>
        <v/>
      </c>
      <c r="AF25" s="10" t="n">
        <v>70.98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0" t="n">
        <v>71.25</v>
      </c>
      <c r="AK25" s="12">
        <f>IF(COUNT(AJ20:AJ25)=6,(AVERAGE(AJ23:AJ25)/AVERAGE(AJ20:AJ22))^4-1,"")</f>
        <v/>
      </c>
      <c r="AL25" s="10" t="n">
        <v>65.23999999999999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0" t="n">
        <v>65.23999999999999</v>
      </c>
      <c r="AQ25" s="12">
        <f>IF(COUNT(AP20:AP25)=6,(AVERAGE(AP23:AP25)/AVERAGE(AP20:AP22))^4-1,"")</f>
        <v/>
      </c>
      <c r="AR25" s="10" t="n">
        <v>77.31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77.34829999999999</v>
      </c>
      <c r="AW25" s="12">
        <f>IF(COUNT(AV20:AV25)=6,(AVERAGE(AV23:AV25)/AVERAGE(AV20:AV22))^4-1,"")</f>
        <v/>
      </c>
    </row>
    <row r="26">
      <c r="A26" s="9" t="n">
        <v>42644</v>
      </c>
      <c r="B26" s="10" t="n">
        <v>78.41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0" t="n">
        <v>78.15000000000001</v>
      </c>
      <c r="G26" s="12">
        <f>IF(COUNT(F21:F26)=6,(AVERAGE(F24:F26)/AVERAGE(F21:F23))^4-1,"")</f>
        <v/>
      </c>
      <c r="H26" s="10" t="n">
        <v>83.27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0" t="n">
        <v>82.83</v>
      </c>
      <c r="M26" s="12">
        <f>IF(COUNT(L21:L26)=6,(AVERAGE(L24:L26)/AVERAGE(L21:L23))^4-1,"")</f>
        <v/>
      </c>
      <c r="N26" s="10" t="n">
        <v>80.27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0" t="n">
        <v>79.97</v>
      </c>
      <c r="S26" s="12">
        <f>IF(COUNT(R21:R26)=6,(AVERAGE(R24:R26)/AVERAGE(R21:R23))^4-1,"")</f>
        <v/>
      </c>
      <c r="T26" s="10" t="n">
        <v>77.55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0" t="n">
        <v>77.12</v>
      </c>
      <c r="Y26" s="12">
        <f>IF(COUNT(X21:X26)=6,(AVERAGE(X24:X26)/AVERAGE(X21:X23))^4-1,"")</f>
        <v/>
      </c>
      <c r="Z26" s="10" t="n">
        <v>80.34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0" t="n">
        <v>80.26000000000001</v>
      </c>
      <c r="AE26" s="12">
        <f>IF(COUNT(AD21:AD26)=6,(AVERAGE(AD24:AD26)/AVERAGE(AD21:AD23))^4-1,"")</f>
        <v/>
      </c>
      <c r="AF26" s="10" t="n">
        <v>71.01000000000001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0" t="n">
        <v>71.12</v>
      </c>
      <c r="AK26" s="12">
        <f>IF(COUNT(AJ21:AJ26)=6,(AVERAGE(AJ24:AJ26)/AVERAGE(AJ21:AJ23))^4-1,"")</f>
        <v/>
      </c>
      <c r="AL26" s="10" t="n">
        <v>66.28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0" t="n">
        <v>66.28</v>
      </c>
      <c r="AQ26" s="12">
        <f>IF(COUNT(AP21:AP26)=6,(AVERAGE(AP24:AP26)/AVERAGE(AP21:AP23))^4-1,"")</f>
        <v/>
      </c>
      <c r="AR26" s="10" t="n">
        <v>77.78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77.8926</v>
      </c>
      <c r="AW26" s="12">
        <f>IF(COUNT(AV21:AV26)=6,(AVERAGE(AV24:AV26)/AVERAGE(AV21:AV23))^4-1,"")</f>
        <v/>
      </c>
    </row>
    <row r="27">
      <c r="A27" s="9" t="n">
        <v>42675</v>
      </c>
      <c r="B27" s="10" t="n">
        <v>78.13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0" t="n">
        <v>78.26000000000001</v>
      </c>
      <c r="G27" s="12">
        <f>IF(COUNT(F22:F27)=6,(AVERAGE(F25:F27)/AVERAGE(F22:F24))^4-1,"")</f>
        <v/>
      </c>
      <c r="H27" s="10" t="n">
        <v>82.8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0" t="n">
        <v>82.93000000000001</v>
      </c>
      <c r="M27" s="12">
        <f>IF(COUNT(L22:L27)=6,(AVERAGE(L25:L27)/AVERAGE(L22:L24))^4-1,"")</f>
        <v/>
      </c>
      <c r="N27" s="10" t="n">
        <v>79.97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0" t="n">
        <v>80.11</v>
      </c>
      <c r="S27" s="12">
        <f>IF(COUNT(R22:R27)=6,(AVERAGE(R25:R27)/AVERAGE(R22:R24))^4-1,"")</f>
        <v/>
      </c>
      <c r="T27" s="10" t="n">
        <v>77.63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0" t="n">
        <v>77.2</v>
      </c>
      <c r="Y27" s="12">
        <f>IF(COUNT(X22:X27)=6,(AVERAGE(X25:X27)/AVERAGE(X22:X24))^4-1,"")</f>
        <v/>
      </c>
      <c r="Z27" s="10" t="n">
        <v>79.59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0" t="n">
        <v>80.41</v>
      </c>
      <c r="AE27" s="12">
        <f>IF(COUNT(AD22:AD27)=6,(AVERAGE(AD25:AD27)/AVERAGE(AD22:AD24))^4-1,"")</f>
        <v/>
      </c>
      <c r="AF27" s="10" t="n">
        <v>71.23999999999999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0" t="n">
        <v>71.42</v>
      </c>
      <c r="AK27" s="12">
        <f>IF(COUNT(AJ22:AJ27)=6,(AVERAGE(AJ25:AJ27)/AVERAGE(AJ22:AJ24))^4-1,"")</f>
        <v/>
      </c>
      <c r="AL27" s="10" t="n">
        <v>66.16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0" t="n">
        <v>66.16</v>
      </c>
      <c r="AQ27" s="12">
        <f>IF(COUNT(AP22:AP27)=6,(AVERAGE(AP25:AP27)/AVERAGE(AP22:AP24))^4-1,"")</f>
        <v/>
      </c>
      <c r="AR27" s="10" t="n">
        <v>77.39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77.89490000000001</v>
      </c>
      <c r="AW27" s="12">
        <f>IF(COUNT(AV22:AV27)=6,(AVERAGE(AV25:AV27)/AVERAGE(AV22:AV24))^4-1,"")</f>
        <v/>
      </c>
    </row>
    <row r="28">
      <c r="A28" s="9" t="n">
        <v>42705</v>
      </c>
      <c r="B28" s="10" t="n">
        <v>78.55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0" t="n">
        <v>78.5</v>
      </c>
      <c r="G28" s="12">
        <f>IF(COUNT(F23:F28)=6,(AVERAGE(F26:F28)/AVERAGE(F23:F25))^4-1,"")</f>
        <v/>
      </c>
      <c r="H28" s="10" t="n">
        <v>83.15000000000001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0" t="n">
        <v>83.01000000000001</v>
      </c>
      <c r="M28" s="12">
        <f>IF(COUNT(L23:L28)=6,(AVERAGE(L26:L28)/AVERAGE(L23:L25))^4-1,"")</f>
        <v/>
      </c>
      <c r="N28" s="10" t="n">
        <v>80.28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0" t="n">
        <v>80.22</v>
      </c>
      <c r="S28" s="12">
        <f>IF(COUNT(R23:R28)=6,(AVERAGE(R26:R28)/AVERAGE(R23:R25))^4-1,"")</f>
        <v/>
      </c>
      <c r="T28" s="10" t="n">
        <v>77.84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0" t="n">
        <v>77.51000000000001</v>
      </c>
      <c r="Y28" s="12">
        <f>IF(COUNT(X23:X28)=6,(AVERAGE(X26:X28)/AVERAGE(X23:X25))^4-1,"")</f>
        <v/>
      </c>
      <c r="Z28" s="10" t="n">
        <v>80.27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0" t="n">
        <v>80.56</v>
      </c>
      <c r="AE28" s="12">
        <f>IF(COUNT(AD23:AD28)=6,(AVERAGE(AD26:AD28)/AVERAGE(AD23:AD25))^4-1,"")</f>
        <v/>
      </c>
      <c r="AF28" s="10" t="n">
        <v>71.45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0" t="n">
        <v>71.63</v>
      </c>
      <c r="AK28" s="12">
        <f>IF(COUNT(AJ23:AJ28)=6,(AVERAGE(AJ26:AJ28)/AVERAGE(AJ23:AJ25))^4-1,"")</f>
        <v/>
      </c>
      <c r="AL28" s="10" t="n">
        <v>67.34999999999999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0" t="n">
        <v>67.34999999999999</v>
      </c>
      <c r="AQ28" s="12">
        <f>IF(COUNT(AP23:AP28)=6,(AVERAGE(AP26:AP28)/AVERAGE(AP23:AP25))^4-1,"")</f>
        <v/>
      </c>
      <c r="AR28" s="10" t="n">
        <v>78.37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78.9246</v>
      </c>
      <c r="AW28" s="12">
        <f>IF(COUNT(AV23:AV28)=6,(AVERAGE(AV26:AV28)/AVERAGE(AV23:AV25))^4-1,"")</f>
        <v/>
      </c>
    </row>
    <row r="29">
      <c r="A29" s="9" t="n">
        <v>42736</v>
      </c>
      <c r="B29" s="10" t="n">
        <v>77.87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0" t="n">
        <v>78.78</v>
      </c>
      <c r="G29" s="12">
        <f>IF(COUNT(F24:F29)=6,(AVERAGE(F27:F29)/AVERAGE(F24:F26))^4-1,"")</f>
        <v/>
      </c>
      <c r="H29" s="10" t="n">
        <v>81.7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0" t="n">
        <v>83.08</v>
      </c>
      <c r="M29" s="12">
        <f>IF(COUNT(L24:L29)=6,(AVERAGE(L27:L29)/AVERAGE(L24:L26))^4-1,"")</f>
        <v/>
      </c>
      <c r="N29" s="10" t="n">
        <v>79.31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0" t="n">
        <v>80.33</v>
      </c>
      <c r="S29" s="12">
        <f>IF(COUNT(R24:R29)=6,(AVERAGE(R27:R29)/AVERAGE(R24:R26))^4-1,"")</f>
        <v/>
      </c>
      <c r="T29" s="10" t="n">
        <v>77.09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0" t="n">
        <v>77.97</v>
      </c>
      <c r="Y29" s="12">
        <f>IF(COUNT(X24:X29)=6,(AVERAGE(X27:X29)/AVERAGE(X24:X26))^4-1,"")</f>
        <v/>
      </c>
      <c r="Z29" s="10" t="n">
        <v>79.68000000000001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0" t="n">
        <v>80.61</v>
      </c>
      <c r="AE29" s="12">
        <f>IF(COUNT(AD24:AD29)=6,(AVERAGE(AD27:AD29)/AVERAGE(AD24:AD26))^4-1,"")</f>
        <v/>
      </c>
      <c r="AF29" s="10" t="n">
        <v>71.95999999999999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0" t="n">
        <v>71.87</v>
      </c>
      <c r="AK29" s="12">
        <f>IF(COUNT(AJ24:AJ29)=6,(AVERAGE(AJ27:AJ29)/AVERAGE(AJ24:AJ26))^4-1,"")</f>
        <v/>
      </c>
      <c r="AL29" s="10" t="n">
        <v>69.06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0" t="n">
        <v>69.06</v>
      </c>
      <c r="AQ29" s="12">
        <f>IF(COUNT(AP24:AP29)=6,(AVERAGE(AP27:AP29)/AVERAGE(AP24:AP26))^4-1,"")</f>
        <v/>
      </c>
      <c r="AR29" s="10" t="n">
        <v>78.88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79.1157</v>
      </c>
      <c r="AW29" s="12">
        <f>IF(COUNT(AV24:AV29)=6,(AVERAGE(AV27:AV29)/AVERAGE(AV24:AV26))^4-1,"")</f>
        <v/>
      </c>
    </row>
    <row r="30">
      <c r="A30" s="9" t="n">
        <v>42767</v>
      </c>
      <c r="B30" s="10" t="n">
        <v>78.18000000000001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0" t="n">
        <v>78.91</v>
      </c>
      <c r="G30" s="12">
        <f>IF(COUNT(F25:F30)=6,(AVERAGE(F28:F30)/AVERAGE(F25:F27))^4-1,"")</f>
        <v/>
      </c>
      <c r="H30" s="10" t="n">
        <v>82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0" t="n">
        <v>83.12</v>
      </c>
      <c r="M30" s="12">
        <f>IF(COUNT(L25:L30)=6,(AVERAGE(L28:L30)/AVERAGE(L25:L27))^4-1,"")</f>
        <v/>
      </c>
      <c r="N30" s="10" t="n">
        <v>79.67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0" t="n">
        <v>80.48999999999999</v>
      </c>
      <c r="S30" s="12">
        <f>IF(COUNT(R25:R30)=6,(AVERAGE(R28:R30)/AVERAGE(R25:R27))^4-1,"")</f>
        <v/>
      </c>
      <c r="T30" s="10" t="n">
        <v>77.28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0" t="n">
        <v>78.11</v>
      </c>
      <c r="Y30" s="12">
        <f>IF(COUNT(X25:X30)=6,(AVERAGE(X28:X30)/AVERAGE(X25:X27))^4-1,"")</f>
        <v/>
      </c>
      <c r="Z30" s="10" t="n">
        <v>80.15000000000001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0" t="n">
        <v>80.73999999999999</v>
      </c>
      <c r="AE30" s="12">
        <f>IF(COUNT(AD25:AD30)=6,(AVERAGE(AD28:AD30)/AVERAGE(AD25:AD27))^4-1,"")</f>
        <v/>
      </c>
      <c r="AF30" s="10" t="n">
        <v>72.5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0" t="n">
        <v>72.39</v>
      </c>
      <c r="AK30" s="12">
        <f>IF(COUNT(AJ25:AJ30)=6,(AVERAGE(AJ28:AJ30)/AVERAGE(AJ25:AJ27))^4-1,"")</f>
        <v/>
      </c>
      <c r="AL30" s="10" t="n">
        <v>68.93000000000001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0" t="n">
        <v>68.93000000000001</v>
      </c>
      <c r="AQ30" s="12">
        <f>IF(COUNT(AP25:AP30)=6,(AVERAGE(AP28:AP30)/AVERAGE(AP25:AP27))^4-1,"")</f>
        <v/>
      </c>
      <c r="AR30" s="10" t="n">
        <v>79.22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79.24209999999999</v>
      </c>
      <c r="AW30" s="12">
        <f>IF(COUNT(AV25:AV30)=6,(AVERAGE(AV28:AV30)/AVERAGE(AV25:AV27))^4-1,"")</f>
        <v/>
      </c>
    </row>
    <row r="31">
      <c r="A31" s="9" t="n">
        <v>42795</v>
      </c>
      <c r="B31" s="10" t="n">
        <v>78.83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0" t="n">
        <v>78.86</v>
      </c>
      <c r="G31" s="12">
        <f>IF(COUNT(F26:F31)=6,(AVERAGE(F29:F31)/AVERAGE(F26:F28))^4-1,"")</f>
        <v/>
      </c>
      <c r="H31" s="10" t="n">
        <v>83.18000000000001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0" t="n">
        <v>83.26000000000001</v>
      </c>
      <c r="M31" s="12">
        <f>IF(COUNT(L26:L31)=6,(AVERAGE(L29:L31)/AVERAGE(L26:L28))^4-1,"")</f>
        <v/>
      </c>
      <c r="N31" s="10" t="n">
        <v>80.47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0" t="n">
        <v>80.5</v>
      </c>
      <c r="S31" s="12">
        <f>IF(COUNT(R26:R31)=6,(AVERAGE(R29:R31)/AVERAGE(R26:R28))^4-1,"")</f>
        <v/>
      </c>
      <c r="T31" s="10" t="n">
        <v>78.29000000000001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0" t="n">
        <v>77.93000000000001</v>
      </c>
      <c r="Y31" s="12">
        <f>IF(COUNT(X26:X31)=6,(AVERAGE(X29:X31)/AVERAGE(X26:X28))^4-1,"")</f>
        <v/>
      </c>
      <c r="Z31" s="10" t="n">
        <v>80.34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0" t="n">
        <v>80.84</v>
      </c>
      <c r="AE31" s="12">
        <f>IF(COUNT(AD26:AD31)=6,(AVERAGE(AD29:AD31)/AVERAGE(AD26:AD28))^4-1,"")</f>
        <v/>
      </c>
      <c r="AF31" s="10" t="n">
        <v>72.12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0" t="n">
        <v>71.98</v>
      </c>
      <c r="AK31" s="12">
        <f>IF(COUNT(AJ26:AJ31)=6,(AVERAGE(AJ29:AJ31)/AVERAGE(AJ26:AJ28))^4-1,"")</f>
        <v/>
      </c>
      <c r="AL31" s="10" t="n">
        <v>68.40000000000001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0" t="n">
        <v>68.40000000000001</v>
      </c>
      <c r="AQ31" s="12">
        <f>IF(COUNT(AP26:AP31)=6,(AVERAGE(AP29:AP31)/AVERAGE(AP26:AP28))^4-1,"")</f>
        <v/>
      </c>
      <c r="AR31" s="10" t="n">
        <v>79.12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79.6367</v>
      </c>
      <c r="AW31" s="12">
        <f>IF(COUNT(AV26:AV31)=6,(AVERAGE(AV29:AV31)/AVERAGE(AV26:AV28))^4-1,"")</f>
        <v/>
      </c>
    </row>
    <row r="32">
      <c r="A32" s="9" t="n">
        <v>42826</v>
      </c>
      <c r="B32" s="10" t="n">
        <v>79.28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0" t="n">
        <v>78.95</v>
      </c>
      <c r="G32" s="12">
        <f>IF(COUNT(F27:F32)=6,(AVERAGE(F30:F32)/AVERAGE(F27:F29))^4-1,"")</f>
        <v/>
      </c>
      <c r="H32" s="10" t="n">
        <v>83.81999999999999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0" t="n">
        <v>83.38</v>
      </c>
      <c r="M32" s="12">
        <f>IF(COUNT(L27:L32)=6,(AVERAGE(L30:L32)/AVERAGE(L27:L29))^4-1,"")</f>
        <v/>
      </c>
      <c r="N32" s="10" t="n">
        <v>80.95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0" t="n">
        <v>80.58</v>
      </c>
      <c r="S32" s="12">
        <f>IF(COUNT(R27:R32)=6,(AVERAGE(R30:R32)/AVERAGE(R27:R29))^4-1,"")</f>
        <v/>
      </c>
      <c r="T32" s="10" t="n">
        <v>78.54000000000001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0" t="n">
        <v>77.94</v>
      </c>
      <c r="Y32" s="12">
        <f>IF(COUNT(X27:X32)=6,(AVERAGE(X30:X32)/AVERAGE(X27:X29))^4-1,"")</f>
        <v/>
      </c>
      <c r="Z32" s="10" t="n">
        <v>81.05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0" t="n">
        <v>81.04000000000001</v>
      </c>
      <c r="AE32" s="12">
        <f>IF(COUNT(AD27:AD32)=6,(AVERAGE(AD30:AD32)/AVERAGE(AD27:AD29))^4-1,"")</f>
        <v/>
      </c>
      <c r="AF32" s="10" t="n">
        <v>72.09999999999999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0" t="n">
        <v>71.93000000000001</v>
      </c>
      <c r="AK32" s="12">
        <f>IF(COUNT(AJ27:AJ32)=6,(AVERAGE(AJ30:AJ32)/AVERAGE(AJ27:AJ29))^4-1,"")</f>
        <v/>
      </c>
      <c r="AL32" s="10" t="n">
        <v>68.58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0" t="n">
        <v>68.58</v>
      </c>
      <c r="AQ32" s="12">
        <f>IF(COUNT(AP27:AP32)=6,(AVERAGE(AP30:AP32)/AVERAGE(AP27:AP29))^4-1,"")</f>
        <v/>
      </c>
      <c r="AR32" s="10" t="n">
        <v>79.91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79.8312</v>
      </c>
      <c r="AW32" s="12">
        <f>IF(COUNT(AV27:AV32)=6,(AVERAGE(AV30:AV32)/AVERAGE(AV27:AV29))^4-1,"")</f>
        <v/>
      </c>
    </row>
    <row r="33">
      <c r="A33" s="9" t="n">
        <v>42856</v>
      </c>
      <c r="B33" s="10" t="n">
        <v>79.20999999999999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0" t="n">
        <v>78.87</v>
      </c>
      <c r="G33" s="12">
        <f>IF(COUNT(F28:F33)=6,(AVERAGE(F31:F33)/AVERAGE(F28:F30))^4-1,"")</f>
        <v/>
      </c>
      <c r="H33" s="10" t="n">
        <v>83.79000000000001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0" t="n">
        <v>83.37</v>
      </c>
      <c r="M33" s="12">
        <f>IF(COUNT(L28:L33)=6,(AVERAGE(L31:L33)/AVERAGE(L28:L30))^4-1,"")</f>
        <v/>
      </c>
      <c r="N33" s="10" t="n">
        <v>80.98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0" t="n">
        <v>80.59</v>
      </c>
      <c r="S33" s="12">
        <f>IF(COUNT(R28:R33)=6,(AVERAGE(R31:R33)/AVERAGE(R28:R30))^4-1,"")</f>
        <v/>
      </c>
      <c r="T33" s="10" t="n">
        <v>78.48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0" t="n">
        <v>77.84</v>
      </c>
      <c r="Y33" s="12">
        <f>IF(COUNT(X28:X33)=6,(AVERAGE(X31:X33)/AVERAGE(X28:X30))^4-1,"")</f>
        <v/>
      </c>
      <c r="Z33" s="10" t="n">
        <v>80.98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0" t="n">
        <v>80.98999999999999</v>
      </c>
      <c r="AE33" s="12">
        <f>IF(COUNT(AD28:AD33)=6,(AVERAGE(AD31:AD33)/AVERAGE(AD28:AD30))^4-1,"")</f>
        <v/>
      </c>
      <c r="AF33" s="10" t="n">
        <v>72.31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0" t="n">
        <v>72.04000000000001</v>
      </c>
      <c r="AK33" s="12">
        <f>IF(COUNT(AJ28:AJ33)=6,(AVERAGE(AJ31:AJ33)/AVERAGE(AJ28:AJ30))^4-1,"")</f>
        <v/>
      </c>
      <c r="AL33" s="10" t="n">
        <v>67.76000000000001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0" t="n">
        <v>67.76000000000001</v>
      </c>
      <c r="AQ33" s="12">
        <f>IF(COUNT(AP28:AP33)=6,(AVERAGE(AP31:AP33)/AVERAGE(AP28:AP30))^4-1,"")</f>
        <v/>
      </c>
      <c r="AR33" s="10" t="n">
        <v>79.09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78.9307</v>
      </c>
      <c r="AW33" s="12">
        <f>IF(COUNT(AV28:AV33)=6,(AVERAGE(AV31:AV33)/AVERAGE(AV28:AV30))^4-1,"")</f>
        <v/>
      </c>
    </row>
    <row r="34">
      <c r="A34" s="9" t="n">
        <v>42887</v>
      </c>
      <c r="B34" s="10" t="n">
        <v>79.28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0" t="n">
        <v>78.84</v>
      </c>
      <c r="G34" s="12">
        <f>IF(COUNT(F29:F34)=6,(AVERAGE(F32:F34)/AVERAGE(F29:F31))^4-1,"")</f>
        <v/>
      </c>
      <c r="H34" s="10" t="n">
        <v>84.05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0" t="n">
        <v>83.43000000000001</v>
      </c>
      <c r="M34" s="12">
        <f>IF(COUNT(L29:L34)=6,(AVERAGE(L32:L34)/AVERAGE(L29:L31))^4-1,"")</f>
        <v/>
      </c>
      <c r="N34" s="10" t="n">
        <v>81.14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0" t="n">
        <v>80.63</v>
      </c>
      <c r="S34" s="12">
        <f>IF(COUNT(R29:R34)=6,(AVERAGE(R32:R34)/AVERAGE(R29:R31))^4-1,"")</f>
        <v/>
      </c>
      <c r="T34" s="10" t="n">
        <v>78.16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0" t="n">
        <v>77.70999999999999</v>
      </c>
      <c r="Y34" s="12">
        <f>IF(COUNT(X29:X34)=6,(AVERAGE(X32:X34)/AVERAGE(X29:X31))^4-1,"")</f>
        <v/>
      </c>
      <c r="Z34" s="10" t="n">
        <v>81.56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0" t="n">
        <v>81.09</v>
      </c>
      <c r="AE34" s="12">
        <f>IF(COUNT(AD29:AD34)=6,(AVERAGE(AD32:AD34)/AVERAGE(AD29:AD31))^4-1,"")</f>
        <v/>
      </c>
      <c r="AF34" s="10" t="n">
        <v>72.15000000000001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0" t="n">
        <v>72.02</v>
      </c>
      <c r="AK34" s="12">
        <f>IF(COUNT(AJ29:AJ34)=6,(AVERAGE(AJ32:AJ34)/AVERAGE(AJ29:AJ31))^4-1,"")</f>
        <v/>
      </c>
      <c r="AL34" s="10" t="n">
        <v>67.15000000000001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0" t="n">
        <v>67.15000000000001</v>
      </c>
      <c r="AQ34" s="12">
        <f>IF(COUNT(AP29:AP34)=6,(AVERAGE(AP32:AP34)/AVERAGE(AP29:AP31))^4-1,"")</f>
        <v/>
      </c>
      <c r="AR34" s="10" t="n">
        <v>79.02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78.7732</v>
      </c>
      <c r="AW34" s="12">
        <f>IF(COUNT(AV29:AV34)=6,(AVERAGE(AV32:AV34)/AVERAGE(AV29:AV31))^4-1,"")</f>
        <v/>
      </c>
    </row>
    <row r="35">
      <c r="A35" s="9" t="n">
        <v>42917</v>
      </c>
      <c r="B35" s="10" t="n">
        <v>78.93000000000001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0" t="n">
        <v>78.87</v>
      </c>
      <c r="G35" s="12">
        <f>IF(COUNT(F30:F35)=6,(AVERAGE(F33:F35)/AVERAGE(F30:F32))^4-1,"")</f>
        <v/>
      </c>
      <c r="H35" s="10" t="n">
        <v>83.59999999999999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0" t="n">
        <v>83.48999999999999</v>
      </c>
      <c r="M35" s="12">
        <f>IF(COUNT(L30:L35)=6,(AVERAGE(L33:L35)/AVERAGE(L30:L32))^4-1,"")</f>
        <v/>
      </c>
      <c r="N35" s="10" t="n">
        <v>80.79000000000001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0" t="n">
        <v>80.72</v>
      </c>
      <c r="S35" s="12">
        <f>IF(COUNT(R30:R35)=6,(AVERAGE(R33:R35)/AVERAGE(R30:R32))^4-1,"")</f>
        <v/>
      </c>
      <c r="T35" s="10" t="n">
        <v>76.75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0" t="n">
        <v>77.67</v>
      </c>
      <c r="Y35" s="12">
        <f>IF(COUNT(X30:X35)=6,(AVERAGE(X33:X35)/AVERAGE(X30:X32))^4-1,"")</f>
        <v/>
      </c>
      <c r="Z35" s="10" t="n">
        <v>82.54000000000001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0" t="n">
        <v>81.2</v>
      </c>
      <c r="AE35" s="12">
        <f>IF(COUNT(AD30:AD35)=6,(AVERAGE(AD33:AD35)/AVERAGE(AD30:AD32))^4-1,"")</f>
        <v/>
      </c>
      <c r="AF35" s="10" t="n">
        <v>72.15000000000001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0" t="n">
        <v>72.18000000000001</v>
      </c>
      <c r="AK35" s="12">
        <f>IF(COUNT(AJ30:AJ35)=6,(AVERAGE(AJ33:AJ35)/AVERAGE(AJ30:AJ32))^4-1,"")</f>
        <v/>
      </c>
      <c r="AL35" s="10" t="n">
        <v>66.69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0" t="n">
        <v>66.69</v>
      </c>
      <c r="AQ35" s="12">
        <f>IF(COUNT(AP30:AP35)=6,(AVERAGE(AP33:AP35)/AVERAGE(AP30:AP32))^4-1,"")</f>
        <v/>
      </c>
      <c r="AR35" s="10" t="n">
        <v>79.45999999999999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78.8334</v>
      </c>
      <c r="AW35" s="12">
        <f>IF(COUNT(AV30:AV35)=6,(AVERAGE(AV33:AV35)/AVERAGE(AV30:AV32))^4-1,"")</f>
        <v/>
      </c>
    </row>
    <row r="36">
      <c r="A36" s="9" t="n">
        <v>42948</v>
      </c>
      <c r="B36" s="10" t="n">
        <v>79.13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0" t="n">
        <v>79.04000000000001</v>
      </c>
      <c r="G36" s="12">
        <f>IF(COUNT(F31:F36)=6,(AVERAGE(F34:F36)/AVERAGE(F31:F33))^4-1,"")</f>
        <v/>
      </c>
      <c r="H36" s="10" t="n">
        <v>83.81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0" t="n">
        <v>83.59999999999999</v>
      </c>
      <c r="M36" s="12">
        <f>IF(COUNT(L31:L36)=6,(AVERAGE(L34:L36)/AVERAGE(L31:L33))^4-1,"")</f>
        <v/>
      </c>
      <c r="N36" s="10" t="n">
        <v>80.97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0" t="n">
        <v>80.86</v>
      </c>
      <c r="S36" s="12">
        <f>IF(COUNT(R31:R36)=6,(AVERAGE(R34:R36)/AVERAGE(R31:R33))^4-1,"")</f>
        <v/>
      </c>
      <c r="T36" s="10" t="n">
        <v>76.95999999999999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0" t="n">
        <v>77.88</v>
      </c>
      <c r="Y36" s="12">
        <f>IF(COUNT(X31:X36)=6,(AVERAGE(X34:X36)/AVERAGE(X31:X33))^4-1,"")</f>
        <v/>
      </c>
      <c r="Z36" s="10" t="n">
        <v>82.73999999999999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0" t="n">
        <v>81.33</v>
      </c>
      <c r="AE36" s="12">
        <f>IF(COUNT(AD31:AD36)=6,(AVERAGE(AD34:AD36)/AVERAGE(AD31:AD33))^4-1,"")</f>
        <v/>
      </c>
      <c r="AF36" s="10" t="n">
        <v>72.20999999999999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0" t="n">
        <v>72.39</v>
      </c>
      <c r="AK36" s="12">
        <f>IF(COUNT(AJ31:AJ36)=6,(AVERAGE(AJ34:AJ36)/AVERAGE(AJ31:AJ33))^4-1,"")</f>
        <v/>
      </c>
      <c r="AL36" s="10" t="n">
        <v>67.14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0" t="n">
        <v>67.14</v>
      </c>
      <c r="AQ36" s="12">
        <f>IF(COUNT(AP31:AP36)=6,(AVERAGE(AP34:AP36)/AVERAGE(AP31:AP33))^4-1,"")</f>
        <v/>
      </c>
      <c r="AR36" s="10" t="n">
        <v>79.92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79.2285</v>
      </c>
      <c r="AW36" s="12">
        <f>IF(COUNT(AV31:AV36)=6,(AVERAGE(AV34:AV36)/AVERAGE(AV31:AV33))^4-1,"")</f>
        <v/>
      </c>
    </row>
    <row r="37">
      <c r="A37" s="9" t="n">
        <v>42979</v>
      </c>
      <c r="B37" s="10" t="n">
        <v>79.45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0" t="n">
        <v>79.2</v>
      </c>
      <c r="G37" s="12">
        <f>IF(COUNT(F32:F37)=6,(AVERAGE(F35:F37)/AVERAGE(F32:F34))^4-1,"")</f>
        <v/>
      </c>
      <c r="H37" s="10" t="n">
        <v>84.14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0" t="n">
        <v>83.69</v>
      </c>
      <c r="M37" s="12">
        <f>IF(COUNT(L32:L37)=6,(AVERAGE(L35:L37)/AVERAGE(L32:L34))^4-1,"")</f>
        <v/>
      </c>
      <c r="N37" s="10" t="n">
        <v>81.23999999999999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0" t="n">
        <v>80.95</v>
      </c>
      <c r="S37" s="12">
        <f>IF(COUNT(R32:R37)=6,(AVERAGE(R35:R37)/AVERAGE(R32:R34))^4-1,"")</f>
        <v/>
      </c>
      <c r="T37" s="10" t="n">
        <v>78.26000000000001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0" t="n">
        <v>78.09</v>
      </c>
      <c r="Y37" s="12">
        <f>IF(COUNT(X32:X37)=6,(AVERAGE(X35:X37)/AVERAGE(X32:X34))^4-1,"")</f>
        <v/>
      </c>
      <c r="Z37" s="10" t="n">
        <v>81.8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0" t="n">
        <v>81.41</v>
      </c>
      <c r="AE37" s="12">
        <f>IF(COUNT(AD32:AD37)=6,(AVERAGE(AD35:AD37)/AVERAGE(AD32:AD34))^4-1,"")</f>
        <v/>
      </c>
      <c r="AF37" s="10" t="n">
        <v>72.3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0" t="n">
        <v>72.52</v>
      </c>
      <c r="AK37" s="12">
        <f>IF(COUNT(AJ32:AJ37)=6,(AVERAGE(AJ35:AJ37)/AVERAGE(AJ32:AJ34))^4-1,"")</f>
        <v/>
      </c>
      <c r="AL37" s="10" t="n">
        <v>67.81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0" t="n">
        <v>67.81</v>
      </c>
      <c r="AQ37" s="12">
        <f>IF(COUNT(AP32:AP37)=6,(AVERAGE(AP35:AP37)/AVERAGE(AP32:AP34))^4-1,"")</f>
        <v/>
      </c>
      <c r="AR37" s="10" t="n">
        <v>79.43000000000001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79.53319999999999</v>
      </c>
      <c r="AW37" s="12">
        <f>IF(COUNT(AV32:AV37)=6,(AVERAGE(AV35:AV37)/AVERAGE(AV32:AV34))^4-1,"")</f>
        <v/>
      </c>
    </row>
    <row r="38">
      <c r="A38" s="9" t="n">
        <v>43009</v>
      </c>
      <c r="B38" s="10" t="n">
        <v>79.48999999999999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0" t="n">
        <v>79.23</v>
      </c>
      <c r="G38" s="12">
        <f>IF(COUNT(F33:F38)=6,(AVERAGE(F36:F38)/AVERAGE(F33:F35))^4-1,"")</f>
        <v/>
      </c>
      <c r="H38" s="10" t="n">
        <v>84.01000000000001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0" t="n">
        <v>83.58</v>
      </c>
      <c r="M38" s="12">
        <f>IF(COUNT(L33:L38)=6,(AVERAGE(L36:L38)/AVERAGE(L33:L35))^4-1,"")</f>
        <v/>
      </c>
      <c r="N38" s="10" t="n">
        <v>81.23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0" t="n">
        <v>80.93000000000001</v>
      </c>
      <c r="S38" s="12">
        <f>IF(COUNT(R33:R38)=6,(AVERAGE(R36:R38)/AVERAGE(R33:R35))^4-1,"")</f>
        <v/>
      </c>
      <c r="T38" s="10" t="n">
        <v>78.68000000000001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0" t="n">
        <v>78.25</v>
      </c>
      <c r="Y38" s="12">
        <f>IF(COUNT(X33:X38)=6,(AVERAGE(X36:X38)/AVERAGE(X33:X35))^4-1,"")</f>
        <v/>
      </c>
      <c r="Z38" s="10" t="n">
        <v>81.34999999999999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0" t="n">
        <v>81.28</v>
      </c>
      <c r="AE38" s="12">
        <f>IF(COUNT(AD33:AD38)=6,(AVERAGE(AD36:AD38)/AVERAGE(AD33:AD35))^4-1,"")</f>
        <v/>
      </c>
      <c r="AF38" s="10" t="n">
        <v>72.68000000000001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0" t="n">
        <v>72.79000000000001</v>
      </c>
      <c r="AK38" s="12">
        <f>IF(COUNT(AJ33:AJ38)=6,(AVERAGE(AJ36:AJ38)/AVERAGE(AJ33:AJ35))^4-1,"")</f>
        <v/>
      </c>
      <c r="AL38" s="10" t="n">
        <v>68.26000000000001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0" t="n">
        <v>68.26000000000001</v>
      </c>
      <c r="AQ38" s="12">
        <f>IF(COUNT(AP33:AP38)=6,(AVERAGE(AP36:AP38)/AVERAGE(AP33:AP35))^4-1,"")</f>
        <v/>
      </c>
      <c r="AR38" s="10" t="n">
        <v>79.40000000000001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79.4679</v>
      </c>
      <c r="AW38" s="12">
        <f>IF(COUNT(AV33:AV38)=6,(AVERAGE(AV36:AV38)/AVERAGE(AV33:AV35))^4-1,"")</f>
        <v/>
      </c>
    </row>
    <row r="39">
      <c r="A39" s="9" t="n">
        <v>43040</v>
      </c>
      <c r="B39" s="10" t="n">
        <v>79.33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0" t="n">
        <v>79.5</v>
      </c>
      <c r="G39" s="12">
        <f>IF(COUNT(F34:F39)=6,(AVERAGE(F37:F39)/AVERAGE(F34:F36))^4-1,"")</f>
        <v/>
      </c>
      <c r="H39" s="10" t="n">
        <v>83.56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0" t="n">
        <v>83.75</v>
      </c>
      <c r="M39" s="12">
        <f>IF(COUNT(L34:L39)=6,(AVERAGE(L37:L39)/AVERAGE(L34:L36))^4-1,"")</f>
        <v/>
      </c>
      <c r="N39" s="10" t="n">
        <v>80.92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0" t="n">
        <v>81.11</v>
      </c>
      <c r="S39" s="12">
        <f>IF(COUNT(R34:R39)=6,(AVERAGE(R37:R39)/AVERAGE(R34:R36))^4-1,"")</f>
        <v/>
      </c>
      <c r="T39" s="10" t="n">
        <v>78.97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0" t="n">
        <v>78.54000000000001</v>
      </c>
      <c r="Y39" s="12">
        <f>IF(COUNT(X34:X39)=6,(AVERAGE(X37:X39)/AVERAGE(X34:X36))^4-1,"")</f>
        <v/>
      </c>
      <c r="Z39" s="10" t="n">
        <v>80.61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0" t="n">
        <v>81.52</v>
      </c>
      <c r="AE39" s="12">
        <f>IF(COUNT(AD34:AD39)=6,(AVERAGE(AD37:AD39)/AVERAGE(AD34:AD36))^4-1,"")</f>
        <v/>
      </c>
      <c r="AF39" s="10" t="n">
        <v>72.81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0" t="n">
        <v>72.98</v>
      </c>
      <c r="AK39" s="12">
        <f>IF(COUNT(AJ34:AJ39)=6,(AVERAGE(AJ37:AJ39)/AVERAGE(AJ34:AJ36))^4-1,"")</f>
        <v/>
      </c>
      <c r="AL39" s="10" t="n">
        <v>69.27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0" t="n">
        <v>69.27</v>
      </c>
      <c r="AQ39" s="12">
        <f>IF(COUNT(AP34:AP39)=6,(AVERAGE(AP37:AP39)/AVERAGE(AP34:AP36))^4-1,"")</f>
        <v/>
      </c>
      <c r="AR39" s="10" t="n">
        <v>79.67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80.0577</v>
      </c>
      <c r="AW39" s="12">
        <f>IF(COUNT(AV34:AV39)=6,(AVERAGE(AV37:AV39)/AVERAGE(AV34:AV36))^4-1,"")</f>
        <v/>
      </c>
    </row>
    <row r="40">
      <c r="A40" s="9" t="n">
        <v>43070</v>
      </c>
      <c r="B40" s="10" t="n">
        <v>79.59999999999999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0" t="n">
        <v>79.58</v>
      </c>
      <c r="G40" s="12">
        <f>IF(COUNT(F35:F40)=6,(AVERAGE(F38:F40)/AVERAGE(F35:F37))^4-1,"")</f>
        <v/>
      </c>
      <c r="H40" s="10" t="n">
        <v>83.91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0" t="n">
        <v>83.8</v>
      </c>
      <c r="M40" s="12">
        <f>IF(COUNT(L35:L40)=6,(AVERAGE(L38:L40)/AVERAGE(L35:L37))^4-1,"")</f>
        <v/>
      </c>
      <c r="N40" s="10" t="n">
        <v>81.22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0" t="n">
        <v>81.2</v>
      </c>
      <c r="S40" s="12">
        <f>IF(COUNT(R35:R40)=6,(AVERAGE(R38:R40)/AVERAGE(R35:R37))^4-1,"")</f>
        <v/>
      </c>
      <c r="T40" s="10" t="n">
        <v>78.95999999999999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0" t="n">
        <v>78.63</v>
      </c>
      <c r="Y40" s="12">
        <f>IF(COUNT(X35:X40)=6,(AVERAGE(X38:X40)/AVERAGE(X35:X37))^4-1,"")</f>
        <v/>
      </c>
      <c r="Z40" s="10" t="n">
        <v>81.26000000000001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0" t="n">
        <v>81.59999999999999</v>
      </c>
      <c r="AE40" s="12">
        <f>IF(COUNT(AD35:AD40)=6,(AVERAGE(AD38:AD40)/AVERAGE(AD35:AD37))^4-1,"")</f>
        <v/>
      </c>
      <c r="AF40" s="10" t="n">
        <v>72.95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0" t="n">
        <v>73.18000000000001</v>
      </c>
      <c r="AK40" s="12">
        <f>IF(COUNT(AJ35:AJ40)=6,(AVERAGE(AJ38:AJ40)/AVERAGE(AJ35:AJ37))^4-1,"")</f>
        <v/>
      </c>
      <c r="AL40" s="10" t="n">
        <v>69.34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0" t="n">
        <v>69.34</v>
      </c>
      <c r="AQ40" s="12">
        <f>IF(COUNT(AP35:AP40)=6,(AVERAGE(AP38:AP40)/AVERAGE(AP35:AP37))^4-1,"")</f>
        <v/>
      </c>
      <c r="AR40" s="10" t="n">
        <v>80.20999999999999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80.8081</v>
      </c>
      <c r="AW40" s="12">
        <f>IF(COUNT(AV35:AV40)=6,(AVERAGE(AV38:AV40)/AVERAGE(AV35:AV37))^4-1,"")</f>
        <v/>
      </c>
    </row>
    <row r="41">
      <c r="A41" s="9" t="n">
        <v>43101</v>
      </c>
      <c r="B41" s="10" t="n">
        <v>78.88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0" t="n">
        <v>79.84</v>
      </c>
      <c r="G41" s="12">
        <f>IF(COUNT(F36:F41)=6,(AVERAGE(F39:F41)/AVERAGE(F36:F38))^4-1,"")</f>
        <v/>
      </c>
      <c r="H41" s="10" t="n">
        <v>82.5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0" t="n">
        <v>83.94</v>
      </c>
      <c r="M41" s="12">
        <f>IF(COUNT(L36:L41)=6,(AVERAGE(L39:L41)/AVERAGE(L36:L38))^4-1,"")</f>
        <v/>
      </c>
      <c r="N41" s="10" t="n">
        <v>80.25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0" t="n">
        <v>81.33</v>
      </c>
      <c r="S41" s="12">
        <f>IF(COUNT(R36:R41)=6,(AVERAGE(R39:R41)/AVERAGE(R36:R38))^4-1,"")</f>
        <v/>
      </c>
      <c r="T41" s="10" t="n">
        <v>78.09999999999999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0" t="n">
        <v>78.95</v>
      </c>
      <c r="Y41" s="12">
        <f>IF(COUNT(X36:X41)=6,(AVERAGE(X39:X41)/AVERAGE(X36:X38))^4-1,"")</f>
        <v/>
      </c>
      <c r="Z41" s="10" t="n">
        <v>80.7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0" t="n">
        <v>81.78</v>
      </c>
      <c r="AE41" s="12">
        <f>IF(COUNT(AD36:AD41)=6,(AVERAGE(AD39:AD41)/AVERAGE(AD36:AD38))^4-1,"")</f>
        <v/>
      </c>
      <c r="AF41" s="10" t="n">
        <v>73.36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0" t="n">
        <v>73.28</v>
      </c>
      <c r="AK41" s="12">
        <f>IF(COUNT(AJ36:AJ41)=6,(AVERAGE(AJ39:AJ41)/AVERAGE(AJ36:AJ38))^4-1,"")</f>
        <v/>
      </c>
      <c r="AL41" s="10" t="n">
        <v>70.59999999999999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0" t="n">
        <v>70.59999999999999</v>
      </c>
      <c r="AQ41" s="12">
        <f>IF(COUNT(AP36:AP41)=6,(AVERAGE(AP39:AP41)/AVERAGE(AP36:AP38))^4-1,"")</f>
        <v/>
      </c>
      <c r="AR41" s="10" t="n">
        <v>80.23999999999999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80.471</v>
      </c>
      <c r="AW41" s="12">
        <f>IF(COUNT(AV36:AV41)=6,(AVERAGE(AV39:AV41)/AVERAGE(AV36:AV38))^4-1,"")</f>
        <v/>
      </c>
    </row>
    <row r="42">
      <c r="A42" s="9" t="n">
        <v>43132</v>
      </c>
      <c r="B42" s="10" t="n">
        <v>79.05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0" t="n">
        <v>79.83</v>
      </c>
      <c r="G42" s="12">
        <f>IF(COUNT(F37:F42)=6,(AVERAGE(F40:F42)/AVERAGE(F37:F39))^4-1,"")</f>
        <v/>
      </c>
      <c r="H42" s="10" t="n">
        <v>82.81999999999999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0" t="n">
        <v>84.01000000000001</v>
      </c>
      <c r="M42" s="12">
        <f>IF(COUNT(L37:L42)=6,(AVERAGE(L40:L42)/AVERAGE(L37:L39))^4-1,"")</f>
        <v/>
      </c>
      <c r="N42" s="10" t="n">
        <v>80.47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0" t="n">
        <v>81.34999999999999</v>
      </c>
      <c r="S42" s="12">
        <f>IF(COUNT(R37:R42)=6,(AVERAGE(R40:R42)/AVERAGE(R37:R39))^4-1,"")</f>
        <v/>
      </c>
      <c r="T42" s="10" t="n">
        <v>78.01000000000001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0" t="n">
        <v>78.83</v>
      </c>
      <c r="Y42" s="12">
        <f>IF(COUNT(X37:X42)=6,(AVERAGE(X40:X42)/AVERAGE(X37:X39))^4-1,"")</f>
        <v/>
      </c>
      <c r="Z42" s="10" t="n">
        <v>81.22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0" t="n">
        <v>81.92</v>
      </c>
      <c r="AE42" s="12">
        <f>IF(COUNT(AD37:AD42)=6,(AVERAGE(AD40:AD42)/AVERAGE(AD37:AD39))^4-1,"")</f>
        <v/>
      </c>
      <c r="AF42" s="10" t="n">
        <v>73.26000000000001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0" t="n">
        <v>73.15000000000001</v>
      </c>
      <c r="AK42" s="12">
        <f>IF(COUNT(AJ37:AJ42)=6,(AVERAGE(AJ40:AJ42)/AVERAGE(AJ37:AJ39))^4-1,"")</f>
        <v/>
      </c>
      <c r="AL42" s="10" t="n">
        <v>70.42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0" t="n">
        <v>70.42</v>
      </c>
      <c r="AQ42" s="12">
        <f>IF(COUNT(AP37:AP42)=6,(AVERAGE(AP40:AP42)/AVERAGE(AP37:AP39))^4-1,"")</f>
        <v/>
      </c>
      <c r="AR42" s="10" t="n">
        <v>80.44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80.4355</v>
      </c>
      <c r="AW42" s="12">
        <f>IF(COUNT(AV37:AV42)=6,(AVERAGE(AV40:AV42)/AVERAGE(AV37:AV39))^4-1,"")</f>
        <v/>
      </c>
    </row>
    <row r="43">
      <c r="A43" s="9" t="n">
        <v>43160</v>
      </c>
      <c r="B43" s="10" t="n">
        <v>79.93000000000001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0" t="n">
        <v>79.90000000000001</v>
      </c>
      <c r="G43" s="12">
        <f>IF(COUNT(F38:F43)=6,(AVERAGE(F41:F43)/AVERAGE(F38:F40))^4-1,"")</f>
        <v/>
      </c>
      <c r="H43" s="10" t="n">
        <v>84.09999999999999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0" t="n">
        <v>84.09999999999999</v>
      </c>
      <c r="M43" s="12">
        <f>IF(COUNT(L38:L43)=6,(AVERAGE(L41:L43)/AVERAGE(L38:L40))^4-1,"")</f>
        <v/>
      </c>
      <c r="N43" s="10" t="n">
        <v>81.53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0" t="n">
        <v>81.5</v>
      </c>
      <c r="S43" s="12">
        <f>IF(COUNT(R38:R43)=6,(AVERAGE(R41:R43)/AVERAGE(R38:R40))^4-1,"")</f>
        <v/>
      </c>
      <c r="T43" s="10" t="n">
        <v>79.2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0" t="n">
        <v>78.87</v>
      </c>
      <c r="Y43" s="12">
        <f>IF(COUNT(X38:X43)=6,(AVERAGE(X41:X43)/AVERAGE(X38:X40))^4-1,"")</f>
        <v/>
      </c>
      <c r="Z43" s="10" t="n">
        <v>81.7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0" t="n">
        <v>82.04000000000001</v>
      </c>
      <c r="AE43" s="12">
        <f>IF(COUNT(AD38:AD43)=6,(AVERAGE(AD41:AD43)/AVERAGE(AD38:AD40))^4-1,"")</f>
        <v/>
      </c>
      <c r="AF43" s="10" t="n">
        <v>73.64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0" t="n">
        <v>73.5</v>
      </c>
      <c r="AK43" s="12">
        <f>IF(COUNT(AJ38:AJ43)=6,(AVERAGE(AJ41:AJ43)/AVERAGE(AJ38:AJ40))^4-1,"")</f>
        <v/>
      </c>
      <c r="AL43" s="10" t="n">
        <v>69.81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0" t="n">
        <v>69.81</v>
      </c>
      <c r="AQ43" s="12">
        <f>IF(COUNT(AP38:AP43)=6,(AVERAGE(AP41:AP43)/AVERAGE(AP38:AP40))^4-1,"")</f>
        <v/>
      </c>
      <c r="AR43" s="10" t="n">
        <v>80.44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80.94410000000001</v>
      </c>
      <c r="AW43" s="12">
        <f>IF(COUNT(AV38:AV43)=6,(AVERAGE(AV41:AV43)/AVERAGE(AV38:AV40))^4-1,"")</f>
        <v/>
      </c>
    </row>
    <row r="44">
      <c r="A44" s="9" t="n">
        <v>43191</v>
      </c>
      <c r="B44" s="10" t="n">
        <v>80.25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0" t="n">
        <v>80.05</v>
      </c>
      <c r="G44" s="12">
        <f>IF(COUNT(F39:F44)=6,(AVERAGE(F42:F44)/AVERAGE(F39:F41))^4-1,"")</f>
        <v/>
      </c>
      <c r="H44" s="10" t="n">
        <v>84.43000000000001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0" t="n">
        <v>84.19</v>
      </c>
      <c r="M44" s="12">
        <f>IF(COUNT(L39:L44)=6,(AVERAGE(L42:L44)/AVERAGE(L39:L41))^4-1,"")</f>
        <v/>
      </c>
      <c r="N44" s="10" t="n">
        <v>81.83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0" t="n">
        <v>81.59999999999999</v>
      </c>
      <c r="S44" s="12">
        <f>IF(COUNT(R39:R44)=6,(AVERAGE(R42:R44)/AVERAGE(R39:R41))^4-1,"")</f>
        <v/>
      </c>
      <c r="T44" s="10" t="n">
        <v>79.63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0" t="n">
        <v>79.04000000000001</v>
      </c>
      <c r="Y44" s="12">
        <f>IF(COUNT(X39:X44)=6,(AVERAGE(X42:X44)/AVERAGE(X39:X41))^4-1,"")</f>
        <v/>
      </c>
      <c r="Z44" s="10" t="n">
        <v>81.89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0" t="n">
        <v>82.15000000000001</v>
      </c>
      <c r="AE44" s="12">
        <f>IF(COUNT(AD39:AD44)=6,(AVERAGE(AD42:AD44)/AVERAGE(AD39:AD41))^4-1,"")</f>
        <v/>
      </c>
      <c r="AF44" s="10" t="n">
        <v>73.83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0" t="n">
        <v>73.63</v>
      </c>
      <c r="AK44" s="12">
        <f>IF(COUNT(AJ39:AJ44)=6,(AVERAGE(AJ42:AJ44)/AVERAGE(AJ39:AJ41))^4-1,"")</f>
        <v/>
      </c>
      <c r="AL44" s="10" t="n">
        <v>70.34999999999999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0" t="n">
        <v>70.34999999999999</v>
      </c>
      <c r="AQ44" s="12">
        <f>IF(COUNT(AP39:AP44)=6,(AVERAGE(AP42:AP44)/AVERAGE(AP39:AP41))^4-1,"")</f>
        <v/>
      </c>
      <c r="AR44" s="10" t="n">
        <v>81.2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81.0947</v>
      </c>
      <c r="AW44" s="12">
        <f>IF(COUNT(AV39:AV44)=6,(AVERAGE(AV42:AV44)/AVERAGE(AV39:AV41))^4-1,"")</f>
        <v/>
      </c>
    </row>
    <row r="45">
      <c r="A45" s="9" t="n">
        <v>43221</v>
      </c>
      <c r="B45" s="10" t="n">
        <v>80.76000000000001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0" t="n">
        <v>80.36</v>
      </c>
      <c r="G45" s="12">
        <f>IF(COUNT(F40:F45)=6,(AVERAGE(F43:F45)/AVERAGE(F40:F42))^4-1,"")</f>
        <v/>
      </c>
      <c r="H45" s="10" t="n">
        <v>84.81999999999999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0" t="n">
        <v>84.34</v>
      </c>
      <c r="M45" s="12">
        <f>IF(COUNT(L40:L45)=6,(AVERAGE(L43:L45)/AVERAGE(L40:L42))^4-1,"")</f>
        <v/>
      </c>
      <c r="N45" s="10" t="n">
        <v>82.2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0" t="n">
        <v>81.76000000000001</v>
      </c>
      <c r="S45" s="12">
        <f>IF(COUNT(R40:R45)=6,(AVERAGE(R43:R45)/AVERAGE(R40:R42))^4-1,"")</f>
        <v/>
      </c>
      <c r="T45" s="10" t="n">
        <v>80.06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0" t="n">
        <v>79.42</v>
      </c>
      <c r="Y45" s="12">
        <f>IF(COUNT(X40:X45)=6,(AVERAGE(X43:X45)/AVERAGE(X40:X42))^4-1,"")</f>
        <v/>
      </c>
      <c r="Z45" s="10" t="n">
        <v>82.48999999999999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0" t="n">
        <v>82.39</v>
      </c>
      <c r="AE45" s="12">
        <f>IF(COUNT(AD40:AD45)=6,(AVERAGE(AD43:AD45)/AVERAGE(AD40:AD42))^4-1,"")</f>
        <v/>
      </c>
      <c r="AF45" s="10" t="n">
        <v>74.14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0" t="n">
        <v>73.81999999999999</v>
      </c>
      <c r="AK45" s="12">
        <f>IF(COUNT(AJ40:AJ45)=6,(AVERAGE(AJ43:AJ45)/AVERAGE(AJ40:AJ42))^4-1,"")</f>
        <v/>
      </c>
      <c r="AL45" s="10" t="n">
        <v>71.93000000000001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0" t="n">
        <v>71.93000000000001</v>
      </c>
      <c r="AQ45" s="12">
        <f>IF(COUNT(AP40:AP45)=6,(AVERAGE(AP43:AP45)/AVERAGE(AP40:AP42))^4-1,"")</f>
        <v/>
      </c>
      <c r="AR45" s="10" t="n">
        <v>82.05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81.8937</v>
      </c>
      <c r="AW45" s="12">
        <f>IF(COUNT(AV40:AV45)=6,(AVERAGE(AV43:AV45)/AVERAGE(AV40:AV42))^4-1,"")</f>
        <v/>
      </c>
    </row>
    <row r="46">
      <c r="A46" s="9" t="n">
        <v>43252</v>
      </c>
      <c r="B46" s="10" t="n">
        <v>80.84999999999999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0" t="n">
        <v>80.43000000000001</v>
      </c>
      <c r="G46" s="12">
        <f>IF(COUNT(F41:F46)=6,(AVERAGE(F44:F46)/AVERAGE(F41:F43))^4-1,"")</f>
        <v/>
      </c>
      <c r="H46" s="10" t="n">
        <v>84.86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0" t="n">
        <v>84.28</v>
      </c>
      <c r="M46" s="12">
        <f>IF(COUNT(L41:L46)=6,(AVERAGE(L44:L46)/AVERAGE(L41:L43))^4-1,"")</f>
        <v/>
      </c>
      <c r="N46" s="10" t="n">
        <v>82.22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0" t="n">
        <v>81.75</v>
      </c>
      <c r="S46" s="12">
        <f>IF(COUNT(R41:R46)=6,(AVERAGE(R44:R46)/AVERAGE(R41:R43))^4-1,"")</f>
        <v/>
      </c>
      <c r="T46" s="10" t="n">
        <v>80.06999999999999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0" t="n">
        <v>79.61</v>
      </c>
      <c r="Y46" s="12">
        <f>IF(COUNT(X41:X46)=6,(AVERAGE(X44:X46)/AVERAGE(X41:X43))^4-1,"")</f>
        <v/>
      </c>
      <c r="Z46" s="10" t="n">
        <v>82.68000000000001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0" t="n">
        <v>82.28</v>
      </c>
      <c r="AE46" s="12">
        <f>IF(COUNT(AD41:AD46)=6,(AVERAGE(AD44:AD46)/AVERAGE(AD41:AD43))^4-1,"")</f>
        <v/>
      </c>
      <c r="AF46" s="10" t="n">
        <v>74.11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0" t="n">
        <v>73.95</v>
      </c>
      <c r="AK46" s="12">
        <f>IF(COUNT(AJ41:AJ46)=6,(AVERAGE(AJ44:AJ46)/AVERAGE(AJ41:AJ43))^4-1,"")</f>
        <v/>
      </c>
      <c r="AL46" s="10" t="n">
        <v>72.56999999999999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0" t="n">
        <v>72.56999999999999</v>
      </c>
      <c r="AQ46" s="12">
        <f>IF(COUNT(AP41:AP46)=6,(AVERAGE(AP44:AP46)/AVERAGE(AP41:AP43))^4-1,"")</f>
        <v/>
      </c>
      <c r="AR46" s="10" t="n">
        <v>82.61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82.4402</v>
      </c>
      <c r="AW46" s="12">
        <f>IF(COUNT(AV41:AV46)=6,(AVERAGE(AV44:AV46)/AVERAGE(AV41:AV43))^4-1,"")</f>
        <v/>
      </c>
    </row>
    <row r="47">
      <c r="A47" s="9" t="n">
        <v>43282</v>
      </c>
      <c r="B47" s="10" t="n">
        <v>80.66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0" t="n">
        <v>80.56</v>
      </c>
      <c r="G47" s="12">
        <f>IF(COUNT(F42:F47)=6,(AVERAGE(F45:F47)/AVERAGE(F42:F44))^4-1,"")</f>
        <v/>
      </c>
      <c r="H47" s="10" t="n">
        <v>84.55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0" t="n">
        <v>84.39</v>
      </c>
      <c r="M47" s="12">
        <f>IF(COUNT(L42:L47)=6,(AVERAGE(L45:L47)/AVERAGE(L42:L44))^4-1,"")</f>
        <v/>
      </c>
      <c r="N47" s="10" t="n">
        <v>81.95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0" t="n">
        <v>81.84</v>
      </c>
      <c r="S47" s="12">
        <f>IF(COUNT(R42:R47)=6,(AVERAGE(R45:R47)/AVERAGE(R42:R44))^4-1,"")</f>
        <v/>
      </c>
      <c r="T47" s="10" t="n">
        <v>78.81999999999999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0" t="n">
        <v>79.7</v>
      </c>
      <c r="Y47" s="12">
        <f>IF(COUNT(X42:X47)=6,(AVERAGE(X45:X47)/AVERAGE(X42:X44))^4-1,"")</f>
        <v/>
      </c>
      <c r="Z47" s="10" t="n">
        <v>83.87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0" t="n">
        <v>82.47</v>
      </c>
      <c r="AE47" s="12">
        <f>IF(COUNT(AD42:AD47)=6,(AVERAGE(AD45:AD47)/AVERAGE(AD42:AD44))^4-1,"")</f>
        <v/>
      </c>
      <c r="AF47" s="10" t="n">
        <v>73.95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0" t="n">
        <v>73.98</v>
      </c>
      <c r="AK47" s="12">
        <f>IF(COUNT(AJ42:AJ47)=6,(AVERAGE(AJ45:AJ47)/AVERAGE(AJ42:AJ44))^4-1,"")</f>
        <v/>
      </c>
      <c r="AL47" s="10" t="n">
        <v>73.06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0" t="n">
        <v>73.06</v>
      </c>
      <c r="AQ47" s="12">
        <f>IF(COUNT(AP42:AP47)=6,(AVERAGE(AP45:AP47)/AVERAGE(AP42:AP44))^4-1,"")</f>
        <v/>
      </c>
      <c r="AR47" s="10" t="n">
        <v>83.08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82.51479999999999</v>
      </c>
      <c r="AW47" s="12">
        <f>IF(COUNT(AV42:AV47)=6,(AVERAGE(AV45:AV47)/AVERAGE(AV42:AV44))^4-1,"")</f>
        <v/>
      </c>
    </row>
    <row r="48">
      <c r="A48" s="9" t="n">
        <v>43313</v>
      </c>
      <c r="B48" s="10" t="n">
        <v>80.78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0" t="n">
        <v>80.66</v>
      </c>
      <c r="G48" s="12">
        <f>IF(COUNT(F43:F48)=6,(AVERAGE(F46:F48)/AVERAGE(F43:F45))^4-1,"")</f>
        <v/>
      </c>
      <c r="H48" s="10" t="n">
        <v>84.68000000000001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0" t="n">
        <v>84.44</v>
      </c>
      <c r="M48" s="12">
        <f>IF(COUNT(L43:L48)=6,(AVERAGE(L46:L48)/AVERAGE(L43:L45))^4-1,"")</f>
        <v/>
      </c>
      <c r="N48" s="10" t="n">
        <v>82.05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0" t="n">
        <v>81.91</v>
      </c>
      <c r="S48" s="12">
        <f>IF(COUNT(R43:R48)=6,(AVERAGE(R46:R48)/AVERAGE(R43:R45))^4-1,"")</f>
        <v/>
      </c>
      <c r="T48" s="10" t="n">
        <v>78.93000000000001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0" t="n">
        <v>79.83</v>
      </c>
      <c r="Y48" s="12">
        <f>IF(COUNT(X43:X48)=6,(AVERAGE(X46:X48)/AVERAGE(X43:X45))^4-1,"")</f>
        <v/>
      </c>
      <c r="Z48" s="10" t="n">
        <v>84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0" t="n">
        <v>82.54000000000001</v>
      </c>
      <c r="AE48" s="12">
        <f>IF(COUNT(AD43:AD48)=6,(AVERAGE(AD46:AD48)/AVERAGE(AD43:AD45))^4-1,"")</f>
        <v/>
      </c>
      <c r="AF48" s="10" t="n">
        <v>73.95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0" t="n">
        <v>74.13</v>
      </c>
      <c r="AK48" s="12">
        <f>IF(COUNT(AJ43:AJ48)=6,(AVERAGE(AJ46:AJ48)/AVERAGE(AJ43:AJ45))^4-1,"")</f>
        <v/>
      </c>
      <c r="AL48" s="10" t="n">
        <v>73.39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0" t="n">
        <v>73.39</v>
      </c>
      <c r="AQ48" s="12">
        <f>IF(COUNT(AP43:AP48)=6,(AVERAGE(AP46:AP48)/AVERAGE(AP43:AP45))^4-1,"")</f>
        <v/>
      </c>
      <c r="AR48" s="10" t="n">
        <v>83.56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82.9084</v>
      </c>
      <c r="AW48" s="12">
        <f>IF(COUNT(AV43:AV48)=6,(AVERAGE(AV46:AV48)/AVERAGE(AV43:AV45))^4-1,"")</f>
        <v/>
      </c>
    </row>
    <row r="49">
      <c r="A49" s="9" t="n">
        <v>43344</v>
      </c>
      <c r="B49" s="10" t="n">
        <v>81.09999999999999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0" t="n">
        <v>80.88</v>
      </c>
      <c r="G49" s="12">
        <f>IF(COUNT(F44:F49)=6,(AVERAGE(F47:F49)/AVERAGE(F44:F46))^4-1,"")</f>
        <v/>
      </c>
      <c r="H49" s="10" t="n">
        <v>84.94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0" t="n">
        <v>84.52</v>
      </c>
      <c r="M49" s="12">
        <f>IF(COUNT(L44:L49)=6,(AVERAGE(L47:L49)/AVERAGE(L44:L46))^4-1,"")</f>
        <v/>
      </c>
      <c r="N49" s="10" t="n">
        <v>82.3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0" t="n">
        <v>82.04000000000001</v>
      </c>
      <c r="S49" s="12">
        <f>IF(COUNT(R44:R49)=6,(AVERAGE(R47:R49)/AVERAGE(R44:R46))^4-1,"")</f>
        <v/>
      </c>
      <c r="T49" s="10" t="n">
        <v>80.31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0" t="n">
        <v>80.16</v>
      </c>
      <c r="Y49" s="12">
        <f>IF(COUNT(X44:X49)=6,(AVERAGE(X47:X49)/AVERAGE(X44:X46))^4-1,"")</f>
        <v/>
      </c>
      <c r="Z49" s="10" t="n">
        <v>82.97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0" t="n">
        <v>82.59999999999999</v>
      </c>
      <c r="AE49" s="12">
        <f>IF(COUNT(AD44:AD49)=6,(AVERAGE(AD47:AD49)/AVERAGE(AD44:AD46))^4-1,"")</f>
        <v/>
      </c>
      <c r="AF49" s="10" t="n">
        <v>74.17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0" t="n">
        <v>74.41</v>
      </c>
      <c r="AK49" s="12">
        <f>IF(COUNT(AJ44:AJ49)=6,(AVERAGE(AJ47:AJ49)/AVERAGE(AJ44:AJ46))^4-1,"")</f>
        <v/>
      </c>
      <c r="AL49" s="10" t="n">
        <v>74.3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0" t="n">
        <v>74.3</v>
      </c>
      <c r="AQ49" s="12">
        <f>IF(COUNT(AP44:AP49)=6,(AVERAGE(AP47:AP49)/AVERAGE(AP44:AP46))^4-1,"")</f>
        <v/>
      </c>
      <c r="AR49" s="10" t="n">
        <v>82.93000000000001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83.0231</v>
      </c>
      <c r="AW49" s="12">
        <f>IF(COUNT(AV44:AV49)=6,(AVERAGE(AV47:AV49)/AVERAGE(AV44:AV46))^4-1,"")</f>
        <v/>
      </c>
    </row>
    <row r="50">
      <c r="A50" s="9" t="n">
        <v>43374</v>
      </c>
      <c r="B50" s="10" t="n">
        <v>81.3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0" t="n">
        <v>81.06</v>
      </c>
      <c r="G50" s="12">
        <f>IF(COUNT(F45:F50)=6,(AVERAGE(F48:F50)/AVERAGE(F45:F47))^4-1,"")</f>
        <v/>
      </c>
      <c r="H50" s="10" t="n">
        <v>85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0" t="n">
        <v>84.59</v>
      </c>
      <c r="M50" s="12">
        <f>IF(COUNT(L45:L50)=6,(AVERAGE(L48:L50)/AVERAGE(L45:L47))^4-1,"")</f>
        <v/>
      </c>
      <c r="N50" s="10" t="n">
        <v>82.36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0" t="n">
        <v>82.08</v>
      </c>
      <c r="S50" s="12">
        <f>IF(COUNT(R45:R50)=6,(AVERAGE(R48:R50)/AVERAGE(R45:R47))^4-1,"")</f>
        <v/>
      </c>
      <c r="T50" s="10" t="n">
        <v>80.81999999999999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0" t="n">
        <v>80.40000000000001</v>
      </c>
      <c r="Y50" s="12">
        <f>IF(COUNT(X45:X50)=6,(AVERAGE(X48:X50)/AVERAGE(X45:X47))^4-1,"")</f>
        <v/>
      </c>
      <c r="Z50" s="10" t="n">
        <v>82.77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0" t="n">
        <v>82.72</v>
      </c>
      <c r="AE50" s="12">
        <f>IF(COUNT(AD45:AD50)=6,(AVERAGE(AD48:AD50)/AVERAGE(AD45:AD47))^4-1,"")</f>
        <v/>
      </c>
      <c r="AF50" s="10" t="n">
        <v>74.25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0" t="n">
        <v>74.37</v>
      </c>
      <c r="AK50" s="12">
        <f>IF(COUNT(AJ45:AJ50)=6,(AVERAGE(AJ48:AJ50)/AVERAGE(AJ45:AJ47))^4-1,"")</f>
        <v/>
      </c>
      <c r="AL50" s="10" t="n">
        <v>75.61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0" t="n">
        <v>75.61</v>
      </c>
      <c r="AQ50" s="12">
        <f>IF(COUNT(AP45:AP50)=6,(AVERAGE(AP48:AP50)/AVERAGE(AP45:AP47))^4-1,"")</f>
        <v/>
      </c>
      <c r="AR50" s="10" t="n">
        <v>83.25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83.2439</v>
      </c>
      <c r="AW50" s="12">
        <f>IF(COUNT(AV45:AV50)=6,(AVERAGE(AV48:AV50)/AVERAGE(AV45:AV47))^4-1,"")</f>
        <v/>
      </c>
    </row>
    <row r="51">
      <c r="A51" s="9" t="n">
        <v>43405</v>
      </c>
      <c r="B51" s="10" t="n">
        <v>80.84999999999999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0" t="n">
        <v>81.06</v>
      </c>
      <c r="G51" s="12">
        <f>IF(COUNT(F46:F51)=6,(AVERAGE(F49:F51)/AVERAGE(F46:F48))^4-1,"")</f>
        <v/>
      </c>
      <c r="H51" s="10" t="n">
        <v>84.34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0" t="n">
        <v>84.59</v>
      </c>
      <c r="M51" s="12">
        <f>IF(COUNT(L46:L51)=6,(AVERAGE(L49:L51)/AVERAGE(L46:L48))^4-1,"")</f>
        <v/>
      </c>
      <c r="N51" s="10" t="n">
        <v>81.86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0" t="n">
        <v>82.09</v>
      </c>
      <c r="S51" s="12">
        <f>IF(COUNT(R46:R51)=6,(AVERAGE(R49:R51)/AVERAGE(R46:R48))^4-1,"")</f>
        <v/>
      </c>
      <c r="T51" s="10" t="n">
        <v>80.84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0" t="n">
        <v>80.42</v>
      </c>
      <c r="Y51" s="12">
        <f>IF(COUNT(X46:X51)=6,(AVERAGE(X49:X51)/AVERAGE(X46:X48))^4-1,"")</f>
        <v/>
      </c>
      <c r="Z51" s="10" t="n">
        <v>81.70999999999999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0" t="n">
        <v>82.70999999999999</v>
      </c>
      <c r="AE51" s="12">
        <f>IF(COUNT(AD46:AD51)=6,(AVERAGE(AD49:AD51)/AVERAGE(AD46:AD48))^4-1,"")</f>
        <v/>
      </c>
      <c r="AF51" s="10" t="n">
        <v>74.20999999999999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0" t="n">
        <v>74.42</v>
      </c>
      <c r="AK51" s="12">
        <f>IF(COUNT(AJ46:AJ51)=6,(AVERAGE(AJ49:AJ51)/AVERAGE(AJ46:AJ48))^4-1,"")</f>
        <v/>
      </c>
      <c r="AL51" s="10" t="n">
        <v>75.59999999999999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0" t="n">
        <v>75.59999999999999</v>
      </c>
      <c r="AQ51" s="12">
        <f>IF(COUNT(AP46:AP51)=6,(AVERAGE(AP49:AP51)/AVERAGE(AP46:AP48))^4-1,"")</f>
        <v/>
      </c>
      <c r="AR51" s="10" t="n">
        <v>82.8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83.0765</v>
      </c>
      <c r="AW51" s="12">
        <f>IF(COUNT(AV46:AV51)=6,(AVERAGE(AV49:AV51)/AVERAGE(AV46:AV48))^4-1,"")</f>
        <v/>
      </c>
    </row>
    <row r="52">
      <c r="A52" s="9" t="n">
        <v>43435</v>
      </c>
      <c r="B52" s="10" t="n">
        <v>80.81999999999999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0" t="n">
        <v>80.84</v>
      </c>
      <c r="G52" s="12">
        <f>IF(COUNT(F47:F52)=6,(AVERAGE(F50:F52)/AVERAGE(F47:F49))^4-1,"")</f>
        <v/>
      </c>
      <c r="H52" s="10" t="n">
        <v>84.69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0" t="n">
        <v>84.63</v>
      </c>
      <c r="M52" s="12">
        <f>IF(COUNT(L47:L52)=6,(AVERAGE(L50:L52)/AVERAGE(L47:L49))^4-1,"")</f>
        <v/>
      </c>
      <c r="N52" s="10" t="n">
        <v>82.12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0" t="n">
        <v>82.14</v>
      </c>
      <c r="S52" s="12">
        <f>IF(COUNT(R47:R52)=6,(AVERAGE(R50:R52)/AVERAGE(R47:R49))^4-1,"")</f>
        <v/>
      </c>
      <c r="T52" s="10" t="n">
        <v>80.28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0" t="n">
        <v>79.97</v>
      </c>
      <c r="Y52" s="12">
        <f>IF(COUNT(X47:X52)=6,(AVERAGE(X50:X52)/AVERAGE(X47:X49))^4-1,"")</f>
        <v/>
      </c>
      <c r="Z52" s="10" t="n">
        <v>82.34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0" t="n">
        <v>82.76000000000001</v>
      </c>
      <c r="AE52" s="12">
        <f>IF(COUNT(AD47:AD52)=6,(AVERAGE(AD50:AD52)/AVERAGE(AD47:AD49))^4-1,"")</f>
        <v/>
      </c>
      <c r="AF52" s="10" t="n">
        <v>74.22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0" t="n">
        <v>74.5</v>
      </c>
      <c r="AK52" s="12">
        <f>IF(COUNT(AJ47:AJ52)=6,(AVERAGE(AJ50:AJ52)/AVERAGE(AJ47:AJ49))^4-1,"")</f>
        <v/>
      </c>
      <c r="AL52" s="10" t="n">
        <v>73.13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0" t="n">
        <v>73.13</v>
      </c>
      <c r="AQ52" s="12">
        <f>IF(COUNT(AP47:AP52)=6,(AVERAGE(AP50:AP52)/AVERAGE(AP47:AP49))^4-1,"")</f>
        <v/>
      </c>
      <c r="AR52" s="10" t="n">
        <v>81.93000000000001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82.58150000000001</v>
      </c>
      <c r="AW52" s="12">
        <f>IF(COUNT(AV47:AV52)=6,(AVERAGE(AV50:AV52)/AVERAGE(AV47:AV49))^4-1,"")</f>
        <v/>
      </c>
    </row>
    <row r="53">
      <c r="A53" s="9" t="n">
        <v>43466</v>
      </c>
      <c r="B53" s="10" t="n">
        <v>79.98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0" t="n">
        <v>80.84</v>
      </c>
      <c r="G53" s="12">
        <f>IF(COUNT(F48:F53)=6,(AVERAGE(F51:F53)/AVERAGE(F48:F50))^4-1,"")</f>
        <v/>
      </c>
      <c r="H53" s="10" t="n">
        <v>83.42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0" t="n">
        <v>84.7</v>
      </c>
      <c r="M53" s="12">
        <f>IF(COUNT(L48:L53)=6,(AVERAGE(L51:L53)/AVERAGE(L48:L50))^4-1,"")</f>
        <v/>
      </c>
      <c r="N53" s="10" t="n">
        <v>81.26000000000001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0" t="n">
        <v>82.23</v>
      </c>
      <c r="S53" s="12">
        <f>IF(COUNT(R48:R53)=6,(AVERAGE(R51:R53)/AVERAGE(R48:R50))^4-1,"")</f>
        <v/>
      </c>
      <c r="T53" s="10" t="n">
        <v>79.06999999999999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0" t="n">
        <v>79.89</v>
      </c>
      <c r="Y53" s="12">
        <f>IF(COUNT(X48:X53)=6,(AVERAGE(X51:X53)/AVERAGE(X48:X50))^4-1,"")</f>
        <v/>
      </c>
      <c r="Z53" s="10" t="n">
        <v>81.97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0" t="n">
        <v>82.86</v>
      </c>
      <c r="AE53" s="12">
        <f>IF(COUNT(AD48:AD53)=6,(AVERAGE(AD51:AD53)/AVERAGE(AD48:AD50))^4-1,"")</f>
        <v/>
      </c>
      <c r="AF53" s="10" t="n">
        <v>74.69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0" t="n">
        <v>74.62</v>
      </c>
      <c r="AK53" s="12">
        <f>IF(COUNT(AJ48:AJ53)=6,(AVERAGE(AJ51:AJ53)/AVERAGE(AJ48:AJ50))^4-1,"")</f>
        <v/>
      </c>
      <c r="AL53" s="10" t="n">
        <v>72.48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0" t="n">
        <v>72.48</v>
      </c>
      <c r="AQ53" s="12">
        <f>IF(COUNT(AP48:AP53)=6,(AVERAGE(AP51:AP53)/AVERAGE(AP48:AP50))^4-1,"")</f>
        <v/>
      </c>
      <c r="AR53" s="10" t="n">
        <v>80.91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81.1555</v>
      </c>
      <c r="AW53" s="12">
        <f>IF(COUNT(AV48:AV53)=6,(AVERAGE(AV51:AV53)/AVERAGE(AV48:AV50))^4-1,"")</f>
        <v/>
      </c>
    </row>
    <row r="54">
      <c r="A54" s="9" t="n">
        <v>43497</v>
      </c>
      <c r="B54" s="10" t="n">
        <v>80.23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0" t="n">
        <v>80.94</v>
      </c>
      <c r="G54" s="12">
        <f>IF(COUNT(F49:F54)=6,(AVERAGE(F52:F54)/AVERAGE(F49:F51))^4-1,"")</f>
        <v/>
      </c>
      <c r="H54" s="10" t="n">
        <v>83.64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0" t="n">
        <v>84.70999999999999</v>
      </c>
      <c r="M54" s="12">
        <f>IF(COUNT(L49:L54)=6,(AVERAGE(L52:L54)/AVERAGE(L49:L51))^4-1,"")</f>
        <v/>
      </c>
      <c r="N54" s="10" t="n">
        <v>81.48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0" t="n">
        <v>82.28</v>
      </c>
      <c r="S54" s="12">
        <f>IF(COUNT(R49:R54)=6,(AVERAGE(R52:R54)/AVERAGE(R49:R51))^4-1,"")</f>
        <v/>
      </c>
      <c r="T54" s="10" t="n">
        <v>79.23999999999999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0" t="n">
        <v>80.04000000000001</v>
      </c>
      <c r="Y54" s="12">
        <f>IF(COUNT(X49:X54)=6,(AVERAGE(X52:X54)/AVERAGE(X49:X51))^4-1,"")</f>
        <v/>
      </c>
      <c r="Z54" s="10" t="n">
        <v>82.33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0" t="n">
        <v>82.90000000000001</v>
      </c>
      <c r="AE54" s="12">
        <f>IF(COUNT(AD49:AD54)=6,(AVERAGE(AD52:AD54)/AVERAGE(AD49:AD51))^4-1,"")</f>
        <v/>
      </c>
      <c r="AF54" s="10" t="n">
        <v>74.92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0" t="n">
        <v>74.83</v>
      </c>
      <c r="AK54" s="12">
        <f>IF(COUNT(AJ49:AJ54)=6,(AVERAGE(AJ52:AJ54)/AVERAGE(AJ49:AJ51))^4-1,"")</f>
        <v/>
      </c>
      <c r="AL54" s="10" t="n">
        <v>72.93000000000001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0" t="n">
        <v>72.93000000000001</v>
      </c>
      <c r="AQ54" s="12">
        <f>IF(COUNT(AP49:AP54)=6,(AVERAGE(AP52:AP54)/AVERAGE(AP49:AP51))^4-1,"")</f>
        <v/>
      </c>
      <c r="AR54" s="10" t="n">
        <v>81.44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81.41800000000001</v>
      </c>
      <c r="AW54" s="12">
        <f>IF(COUNT(AV49:AV54)=6,(AVERAGE(AV52:AV54)/AVERAGE(AV49:AV51))^4-1,"")</f>
        <v/>
      </c>
    </row>
    <row r="55">
      <c r="A55" s="9" t="n">
        <v>43525</v>
      </c>
      <c r="B55" s="10" t="n">
        <v>81.05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0" t="n">
        <v>81.11</v>
      </c>
      <c r="G55" s="12">
        <f>IF(COUNT(F50:F55)=6,(AVERAGE(F53:F55)/AVERAGE(F50:F52))^4-1,"")</f>
        <v/>
      </c>
      <c r="H55" s="10" t="n">
        <v>84.75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0" t="n">
        <v>84.86</v>
      </c>
      <c r="M55" s="12">
        <f>IF(COUNT(L50:L55)=6,(AVERAGE(L53:L55)/AVERAGE(L50:L52))^4-1,"")</f>
        <v/>
      </c>
      <c r="N55" s="10" t="n">
        <v>82.33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0" t="n">
        <v>82.39</v>
      </c>
      <c r="S55" s="12">
        <f>IF(COUNT(R50:R55)=6,(AVERAGE(R53:R55)/AVERAGE(R50:R52))^4-1,"")</f>
        <v/>
      </c>
      <c r="T55" s="10" t="n">
        <v>80.47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0" t="n">
        <v>80.17</v>
      </c>
      <c r="Y55" s="12">
        <f>IF(COUNT(X50:X55)=6,(AVERAGE(X53:X55)/AVERAGE(X50:X52))^4-1,"")</f>
        <v/>
      </c>
      <c r="Z55" s="10" t="n">
        <v>82.64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0" t="n">
        <v>83.12</v>
      </c>
      <c r="AE55" s="12">
        <f>IF(COUNT(AD50:AD55)=6,(AVERAGE(AD53:AD55)/AVERAGE(AD50:AD52))^4-1,"")</f>
        <v/>
      </c>
      <c r="AF55" s="10" t="n">
        <v>74.93000000000001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0" t="n">
        <v>74.8</v>
      </c>
      <c r="AK55" s="12">
        <f>IF(COUNT(AJ50:AJ55)=6,(AVERAGE(AJ53:AJ55)/AVERAGE(AJ50:AJ52))^4-1,"")</f>
        <v/>
      </c>
      <c r="AL55" s="10" t="n">
        <v>73.55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0" t="n">
        <v>73.55</v>
      </c>
      <c r="AQ55" s="12">
        <f>IF(COUNT(AP50:AP55)=6,(AVERAGE(AP53:AP55)/AVERAGE(AP50:AP52))^4-1,"")</f>
        <v/>
      </c>
      <c r="AR55" s="10" t="n">
        <v>82.15000000000001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82.59180000000001</v>
      </c>
      <c r="AW55" s="12">
        <f>IF(COUNT(AV50:AV55)=6,(AVERAGE(AV53:AV55)/AVERAGE(AV50:AV52))^4-1,"")</f>
        <v/>
      </c>
    </row>
    <row r="56">
      <c r="A56" s="9" t="n">
        <v>43556</v>
      </c>
      <c r="B56" s="10" t="n">
        <v>81.63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0" t="n">
        <v>81.3</v>
      </c>
      <c r="G56" s="12">
        <f>IF(COUNT(F51:F56)=6,(AVERAGE(F54:F56)/AVERAGE(F51:F53))^4-1,"")</f>
        <v/>
      </c>
      <c r="H56" s="10" t="n">
        <v>85.53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0" t="n">
        <v>85.09999999999999</v>
      </c>
      <c r="M56" s="12">
        <f>IF(COUNT(L51:L56)=6,(AVERAGE(L54:L56)/AVERAGE(L51:L53))^4-1,"")</f>
        <v/>
      </c>
      <c r="N56" s="10" t="n">
        <v>82.93000000000001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0" t="n">
        <v>82.55</v>
      </c>
      <c r="S56" s="12">
        <f>IF(COUNT(R51:R56)=6,(AVERAGE(R54:R56)/AVERAGE(R51:R53))^4-1,"")</f>
        <v/>
      </c>
      <c r="T56" s="10" t="n">
        <v>80.86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0" t="n">
        <v>80.29000000000001</v>
      </c>
      <c r="Y56" s="12">
        <f>IF(COUNT(X51:X56)=6,(AVERAGE(X54:X56)/AVERAGE(X51:X53))^4-1,"")</f>
        <v/>
      </c>
      <c r="Z56" s="10" t="n">
        <v>83.47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0" t="n">
        <v>83.43000000000001</v>
      </c>
      <c r="AE56" s="12">
        <f>IF(COUNT(AD51:AD56)=6,(AVERAGE(AD54:AD56)/AVERAGE(AD51:AD53))^4-1,"")</f>
        <v/>
      </c>
      <c r="AF56" s="10" t="n">
        <v>74.94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0" t="n">
        <v>74.7</v>
      </c>
      <c r="AK56" s="12">
        <f>IF(COUNT(AJ51:AJ56)=6,(AVERAGE(AJ54:AJ56)/AVERAGE(AJ51:AJ53))^4-1,"")</f>
        <v/>
      </c>
      <c r="AL56" s="10" t="n">
        <v>74.05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0" t="n">
        <v>74.05</v>
      </c>
      <c r="AQ56" s="12">
        <f>IF(COUNT(AP51:AP56)=6,(AVERAGE(AP54:AP56)/AVERAGE(AP51:AP53))^4-1,"")</f>
        <v/>
      </c>
      <c r="AR56" s="10" t="n">
        <v>83.56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83.38079999999999</v>
      </c>
      <c r="AW56" s="12">
        <f>IF(COUNT(AV51:AV56)=6,(AVERAGE(AV54:AV56)/AVERAGE(AV51:AV53))^4-1,"")</f>
        <v/>
      </c>
    </row>
    <row r="57">
      <c r="A57" s="9" t="n">
        <v>43586</v>
      </c>
      <c r="B57" s="10" t="n">
        <v>81.73999999999999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0" t="n">
        <v>81.40000000000001</v>
      </c>
      <c r="G57" s="12">
        <f>IF(COUNT(F52:F57)=6,(AVERAGE(F55:F57)/AVERAGE(F52:F54))^4-1,"")</f>
        <v/>
      </c>
      <c r="H57" s="10" t="n">
        <v>85.48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0" t="n">
        <v>85.08</v>
      </c>
      <c r="M57" s="12">
        <f>IF(COUNT(L52:L57)=6,(AVERAGE(L55:L57)/AVERAGE(L52:L54))^4-1,"")</f>
        <v/>
      </c>
      <c r="N57" s="10" t="n">
        <v>82.97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0" t="n">
        <v>82.58</v>
      </c>
      <c r="S57" s="12">
        <f>IF(COUNT(R52:R57)=6,(AVERAGE(R55:R57)/AVERAGE(R52:R54))^4-1,"")</f>
        <v/>
      </c>
      <c r="T57" s="10" t="n">
        <v>81.14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0" t="n">
        <v>80.51000000000001</v>
      </c>
      <c r="Y57" s="12">
        <f>IF(COUNT(X52:X57)=6,(AVERAGE(X55:X57)/AVERAGE(X52:X54))^4-1,"")</f>
        <v/>
      </c>
      <c r="Z57" s="10" t="n">
        <v>83.36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0" t="n">
        <v>83.36</v>
      </c>
      <c r="AE57" s="12">
        <f>IF(COUNT(AD52:AD57)=6,(AVERAGE(AD55:AD57)/AVERAGE(AD52:AD54))^4-1,"")</f>
        <v/>
      </c>
      <c r="AF57" s="10" t="n">
        <v>75.26000000000001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0" t="n">
        <v>74.90000000000001</v>
      </c>
      <c r="AK57" s="12">
        <f>IF(COUNT(AJ52:AJ57)=6,(AVERAGE(AJ55:AJ57)/AVERAGE(AJ52:AJ54))^4-1,"")</f>
        <v/>
      </c>
      <c r="AL57" s="10" t="n">
        <v>74.7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0" t="n">
        <v>74.7</v>
      </c>
      <c r="AQ57" s="12">
        <f>IF(COUNT(AP52:AP57)=6,(AVERAGE(AP55:AP57)/AVERAGE(AP52:AP54))^4-1,"")</f>
        <v/>
      </c>
      <c r="AR57" s="10" t="n">
        <v>83.66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83.5699</v>
      </c>
      <c r="AW57" s="12">
        <f>IF(COUNT(AV52:AV57)=6,(AVERAGE(AV55:AV57)/AVERAGE(AV52:AV54))^4-1,"")</f>
        <v/>
      </c>
    </row>
    <row r="58">
      <c r="A58" s="9" t="n">
        <v>43617</v>
      </c>
      <c r="B58" s="10" t="n">
        <v>81.87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0" t="n">
        <v>81.42</v>
      </c>
      <c r="G58" s="12">
        <f>IF(COUNT(F53:F58)=6,(AVERAGE(F56:F58)/AVERAGE(F53:F55))^4-1,"")</f>
        <v/>
      </c>
      <c r="H58" s="10" t="n">
        <v>85.81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0" t="n">
        <v>85.19</v>
      </c>
      <c r="M58" s="12">
        <f>IF(COUNT(L53:L58)=6,(AVERAGE(L56:L58)/AVERAGE(L53:L55))^4-1,"")</f>
        <v/>
      </c>
      <c r="N58" s="10" t="n">
        <v>83.23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0" t="n">
        <v>82.70999999999999</v>
      </c>
      <c r="S58" s="12">
        <f>IF(COUNT(R53:R58)=6,(AVERAGE(R56:R58)/AVERAGE(R53:R55))^4-1,"")</f>
        <v/>
      </c>
      <c r="T58" s="10" t="n">
        <v>80.84999999999999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0" t="n">
        <v>80.38</v>
      </c>
      <c r="Y58" s="12">
        <f>IF(COUNT(X53:X58)=6,(AVERAGE(X56:X58)/AVERAGE(X53:X55))^4-1,"")</f>
        <v/>
      </c>
      <c r="Z58" s="10" t="n">
        <v>84.03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0" t="n">
        <v>83.56</v>
      </c>
      <c r="AE58" s="12">
        <f>IF(COUNT(AD53:AD58)=6,(AVERAGE(AD56:AD58)/AVERAGE(AD53:AD55))^4-1,"")</f>
        <v/>
      </c>
      <c r="AF58" s="10" t="n">
        <v>75.29000000000001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0" t="n">
        <v>75.09</v>
      </c>
      <c r="AK58" s="12">
        <f>IF(COUNT(AJ53:AJ58)=6,(AVERAGE(AJ56:AJ58)/AVERAGE(AJ53:AJ55))^4-1,"")</f>
        <v/>
      </c>
      <c r="AL58" s="10" t="n">
        <v>73.8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0" t="n">
        <v>73.8</v>
      </c>
      <c r="AQ58" s="12">
        <f>IF(COUNT(AP53:AP58)=6,(AVERAGE(AP56:AP58)/AVERAGE(AP53:AP55))^4-1,"")</f>
        <v/>
      </c>
      <c r="AR58" s="10" t="n">
        <v>83.52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83.47920000000001</v>
      </c>
      <c r="AW58" s="12">
        <f>IF(COUNT(AV53:AV58)=6,(AVERAGE(AV56:AV58)/AVERAGE(AV53:AV55))^4-1,"")</f>
        <v/>
      </c>
    </row>
    <row r="59">
      <c r="A59" s="9" t="n">
        <v>43647</v>
      </c>
      <c r="B59" s="10" t="n">
        <v>81.48999999999999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0" t="n">
        <v>81.45</v>
      </c>
      <c r="G59" s="12">
        <f>IF(COUNT(F54:F59)=6,(AVERAGE(F57:F59)/AVERAGE(F54:F56))^4-1,"")</f>
        <v/>
      </c>
      <c r="H59" s="10" t="n">
        <v>85.28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0" t="n">
        <v>85.22</v>
      </c>
      <c r="M59" s="12">
        <f>IF(COUNT(L54:L59)=6,(AVERAGE(L57:L59)/AVERAGE(L54:L56))^4-1,"")</f>
        <v/>
      </c>
      <c r="N59" s="10" t="n">
        <v>82.84999999999999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0" t="n">
        <v>82.8</v>
      </c>
      <c r="S59" s="12">
        <f>IF(COUNT(R54:R59)=6,(AVERAGE(R57:R59)/AVERAGE(R54:R56))^4-1,"")</f>
        <v/>
      </c>
      <c r="T59" s="10" t="n">
        <v>79.52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0" t="n">
        <v>80.38</v>
      </c>
      <c r="Y59" s="12">
        <f>IF(COUNT(X54:X59)=6,(AVERAGE(X57:X59)/AVERAGE(X54:X56))^4-1,"")</f>
        <v/>
      </c>
      <c r="Z59" s="10" t="n">
        <v>84.84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0" t="n">
        <v>83.64</v>
      </c>
      <c r="AE59" s="12">
        <f>IF(COUNT(AD54:AD59)=6,(AVERAGE(AD57:AD59)/AVERAGE(AD54:AD56))^4-1,"")</f>
        <v/>
      </c>
      <c r="AF59" s="10" t="n">
        <v>75.38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0" t="n">
        <v>75.40000000000001</v>
      </c>
      <c r="AK59" s="12">
        <f>IF(COUNT(AJ54:AJ59)=6,(AVERAGE(AJ57:AJ59)/AVERAGE(AJ54:AJ56))^4-1,"")</f>
        <v/>
      </c>
      <c r="AL59" s="10" t="n">
        <v>73.39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0" t="n">
        <v>73.39</v>
      </c>
      <c r="AQ59" s="12">
        <f>IF(COUNT(AP54:AP59)=6,(AVERAGE(AP57:AP59)/AVERAGE(AP54:AP56))^4-1,"")</f>
        <v/>
      </c>
      <c r="AR59" s="10" t="n">
        <v>83.93000000000001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83.44110000000001</v>
      </c>
      <c r="AW59" s="12">
        <f>IF(COUNT(AV54:AV59)=6,(AVERAGE(AV57:AV59)/AVERAGE(AV54:AV56))^4-1,"")</f>
        <v/>
      </c>
    </row>
    <row r="60">
      <c r="A60" s="9" t="n">
        <v>43678</v>
      </c>
      <c r="B60" s="10" t="n">
        <v>81.59999999999999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0" t="n">
        <v>81.55</v>
      </c>
      <c r="G60" s="12">
        <f>IF(COUNT(F55:F60)=6,(AVERAGE(F58:F60)/AVERAGE(F55:F57))^4-1,"")</f>
        <v/>
      </c>
      <c r="H60" s="10" t="n">
        <v>85.48999999999999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0" t="n">
        <v>85.36</v>
      </c>
      <c r="M60" s="12">
        <f>IF(COUNT(L55:L60)=6,(AVERAGE(L58:L60)/AVERAGE(L55:L57))^4-1,"")</f>
        <v/>
      </c>
      <c r="N60" s="10" t="n">
        <v>83.03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0" t="n">
        <v>82.97</v>
      </c>
      <c r="S60" s="12">
        <f>IF(COUNT(R55:R60)=6,(AVERAGE(R58:R60)/AVERAGE(R55:R57))^4-1,"")</f>
        <v/>
      </c>
      <c r="T60" s="10" t="n">
        <v>79.53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0" t="n">
        <v>80.41</v>
      </c>
      <c r="Y60" s="12">
        <f>IF(COUNT(X55:X60)=6,(AVERAGE(X58:X60)/AVERAGE(X55:X57))^4-1,"")</f>
        <v/>
      </c>
      <c r="Z60" s="10" t="n">
        <v>85.09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0" t="n">
        <v>83.83</v>
      </c>
      <c r="AE60" s="12">
        <f>IF(COUNT(AD55:AD60)=6,(AVERAGE(AD58:AD60)/AVERAGE(AD55:AD57))^4-1,"")</f>
        <v/>
      </c>
      <c r="AF60" s="10" t="n">
        <v>75.5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0" t="n">
        <v>75.68000000000001</v>
      </c>
      <c r="AK60" s="12">
        <f>IF(COUNT(AJ55:AJ60)=6,(AVERAGE(AJ58:AJ60)/AVERAGE(AJ55:AJ57))^4-1,"")</f>
        <v/>
      </c>
      <c r="AL60" s="10" t="n">
        <v>72.95999999999999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0" t="n">
        <v>72.95999999999999</v>
      </c>
      <c r="AQ60" s="12">
        <f>IF(COUNT(AP55:AP60)=6,(AVERAGE(AP58:AP60)/AVERAGE(AP55:AP57))^4-1,"")</f>
        <v/>
      </c>
      <c r="AR60" s="10" t="n">
        <v>84.09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83.4563</v>
      </c>
      <c r="AW60" s="12">
        <f>IF(COUNT(AV55:AV60)=6,(AVERAGE(AV58:AV60)/AVERAGE(AV55:AV57))^4-1,"")</f>
        <v/>
      </c>
    </row>
    <row r="61">
      <c r="A61" s="9" t="n">
        <v>43709</v>
      </c>
      <c r="B61" s="10" t="n">
        <v>81.78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0" t="n">
        <v>81.61</v>
      </c>
      <c r="G61" s="12">
        <f>IF(COUNT(F56:F61)=6,(AVERAGE(F59:F61)/AVERAGE(F56:F58))^4-1,"")</f>
        <v/>
      </c>
      <c r="H61" s="10" t="n">
        <v>85.8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0" t="n">
        <v>85.47</v>
      </c>
      <c r="M61" s="12">
        <f>IF(COUNT(L56:L61)=6,(AVERAGE(L59:L61)/AVERAGE(L56:L58))^4-1,"")</f>
        <v/>
      </c>
      <c r="N61" s="10" t="n">
        <v>83.23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0" t="n">
        <v>83.04000000000001</v>
      </c>
      <c r="S61" s="12">
        <f>IF(COUNT(R56:R61)=6,(AVERAGE(R59:R61)/AVERAGE(R56:R58))^4-1,"")</f>
        <v/>
      </c>
      <c r="T61" s="10" t="n">
        <v>80.56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0" t="n">
        <v>80.44</v>
      </c>
      <c r="Y61" s="12">
        <f>IF(COUNT(X56:X61)=6,(AVERAGE(X59:X61)/AVERAGE(X56:X58))^4-1,"")</f>
        <v/>
      </c>
      <c r="Z61" s="10" t="n">
        <v>84.19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0" t="n">
        <v>83.93000000000001</v>
      </c>
      <c r="AE61" s="12">
        <f>IF(COUNT(AD56:AD61)=6,(AVERAGE(AD59:AD61)/AVERAGE(AD56:AD58))^4-1,"")</f>
        <v/>
      </c>
      <c r="AF61" s="10" t="n">
        <v>75.33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0" t="n">
        <v>75.59</v>
      </c>
      <c r="AK61" s="12">
        <f>IF(COUNT(AJ56:AJ61)=6,(AVERAGE(AJ59:AJ61)/AVERAGE(AJ56:AJ58))^4-1,"")</f>
        <v/>
      </c>
      <c r="AL61" s="10" t="n">
        <v>72.95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0" t="n">
        <v>72.95</v>
      </c>
      <c r="AQ61" s="12">
        <f>IF(COUNT(AP56:AP61)=6,(AVERAGE(AP59:AP61)/AVERAGE(AP56:AP58))^4-1,"")</f>
        <v/>
      </c>
      <c r="AR61" s="10" t="n">
        <v>82.98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82.9676</v>
      </c>
      <c r="AW61" s="12">
        <f>IF(COUNT(AV56:AV61)=6,(AVERAGE(AV59:AV61)/AVERAGE(AV56:AV58))^4-1,"")</f>
        <v/>
      </c>
    </row>
    <row r="62">
      <c r="A62" s="9" t="n">
        <v>43739</v>
      </c>
      <c r="B62" s="10" t="n">
        <v>81.89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0" t="n">
        <v>81.7</v>
      </c>
      <c r="G62" s="12">
        <f>IF(COUNT(F57:F62)=6,(AVERAGE(F60:F62)/AVERAGE(F57:F59))^4-1,"")</f>
        <v/>
      </c>
      <c r="H62" s="10" t="n">
        <v>85.91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0" t="n">
        <v>85.56999999999999</v>
      </c>
      <c r="M62" s="12">
        <f>IF(COUNT(L57:L62)=6,(AVERAGE(L60:L62)/AVERAGE(L57:L59))^4-1,"")</f>
        <v/>
      </c>
      <c r="N62" s="10" t="n">
        <v>83.31999999999999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0" t="n">
        <v>83.09999999999999</v>
      </c>
      <c r="S62" s="12">
        <f>IF(COUNT(R57:R62)=6,(AVERAGE(R60:R62)/AVERAGE(R57:R59))^4-1,"")</f>
        <v/>
      </c>
      <c r="T62" s="10" t="n">
        <v>80.87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0" t="n">
        <v>80.48</v>
      </c>
      <c r="Y62" s="12">
        <f>IF(COUNT(X57:X62)=6,(AVERAGE(X60:X62)/AVERAGE(X57:X59))^4-1,"")</f>
        <v/>
      </c>
      <c r="Z62" s="10" t="n">
        <v>84.04000000000001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0" t="n">
        <v>84.09</v>
      </c>
      <c r="AE62" s="12">
        <f>IF(COUNT(AD57:AD62)=6,(AVERAGE(AD60:AD62)/AVERAGE(AD57:AD59))^4-1,"")</f>
        <v/>
      </c>
      <c r="AF62" s="10" t="n">
        <v>75.39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0" t="n">
        <v>75.53</v>
      </c>
      <c r="AK62" s="12">
        <f>IF(COUNT(AJ57:AJ62)=6,(AVERAGE(AJ60:AJ62)/AVERAGE(AJ57:AJ59))^4-1,"")</f>
        <v/>
      </c>
      <c r="AL62" s="10" t="n">
        <v>73.23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0" t="n">
        <v>73.23</v>
      </c>
      <c r="AQ62" s="12">
        <f>IF(COUNT(AP57:AP62)=6,(AVERAGE(AP60:AP62)/AVERAGE(AP57:AP59))^4-1,"")</f>
        <v/>
      </c>
      <c r="AR62" s="10" t="n">
        <v>83.14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83.04519999999999</v>
      </c>
      <c r="AW62" s="12">
        <f>IF(COUNT(AV57:AV62)=6,(AVERAGE(AV60:AV62)/AVERAGE(AV57:AV59))^4-1,"")</f>
        <v/>
      </c>
    </row>
    <row r="63">
      <c r="A63" s="9" t="n">
        <v>43770</v>
      </c>
      <c r="B63" s="10" t="n">
        <v>81.63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0" t="n">
        <v>81.8</v>
      </c>
      <c r="G63" s="12">
        <f>IF(COUNT(F58:F63)=6,(AVERAGE(F61:F63)/AVERAGE(F58:F60))^4-1,"")</f>
        <v/>
      </c>
      <c r="H63" s="10" t="n">
        <v>85.44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0" t="n">
        <v>85.62</v>
      </c>
      <c r="M63" s="12">
        <f>IF(COUNT(L58:L63)=6,(AVERAGE(L61:L63)/AVERAGE(L58:L60))^4-1,"")</f>
        <v/>
      </c>
      <c r="N63" s="10" t="n">
        <v>83.03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0" t="n">
        <v>83.22</v>
      </c>
      <c r="S63" s="12">
        <f>IF(COUNT(R58:R63)=6,(AVERAGE(R61:R63)/AVERAGE(R58:R60))^4-1,"")</f>
        <v/>
      </c>
      <c r="T63" s="10" t="n">
        <v>81.05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0" t="n">
        <v>80.64</v>
      </c>
      <c r="Y63" s="12">
        <f>IF(COUNT(X58:X63)=6,(AVERAGE(X61:X63)/AVERAGE(X58:X60))^4-1,"")</f>
        <v/>
      </c>
      <c r="Z63" s="10" t="n">
        <v>83.23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0" t="n">
        <v>84.11</v>
      </c>
      <c r="AE63" s="12">
        <f>IF(COUNT(AD58:AD63)=6,(AVERAGE(AD61:AD63)/AVERAGE(AD58:AD60))^4-1,"")</f>
        <v/>
      </c>
      <c r="AF63" s="10" t="n">
        <v>75.66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0" t="n">
        <v>75.88</v>
      </c>
      <c r="AK63" s="12">
        <f>IF(COUNT(AJ58:AJ63)=6,(AVERAGE(AJ61:AJ63)/AVERAGE(AJ58:AJ60))^4-1,"")</f>
        <v/>
      </c>
      <c r="AL63" s="10" t="n">
        <v>73.20999999999999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0" t="n">
        <v>73.20999999999999</v>
      </c>
      <c r="AQ63" s="12">
        <f>IF(COUNT(AP58:AP63)=6,(AVERAGE(AP61:AP63)/AVERAGE(AP58:AP60))^4-1,"")</f>
        <v/>
      </c>
      <c r="AR63" s="10" t="n">
        <v>82.84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83.07040000000001</v>
      </c>
      <c r="AW63" s="12">
        <f>IF(COUNT(AV58:AV63)=6,(AVERAGE(AV61:AV63)/AVERAGE(AV58:AV60))^4-1,"")</f>
        <v/>
      </c>
    </row>
    <row r="64">
      <c r="A64" s="9" t="n">
        <v>43800</v>
      </c>
      <c r="B64" s="10" t="n">
        <v>81.89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0" t="n">
        <v>81.90000000000001</v>
      </c>
      <c r="G64" s="12">
        <f>IF(COUNT(F59:F64)=6,(AVERAGE(F62:F64)/AVERAGE(F59:F61))^4-1,"")</f>
        <v/>
      </c>
      <c r="H64" s="10" t="n">
        <v>85.79000000000001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0" t="n">
        <v>85.7</v>
      </c>
      <c r="M64" s="12">
        <f>IF(COUNT(L59:L64)=6,(AVERAGE(L62:L64)/AVERAGE(L59:L61))^4-1,"")</f>
        <v/>
      </c>
      <c r="N64" s="10" t="n">
        <v>83.31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0" t="n">
        <v>83.33</v>
      </c>
      <c r="S64" s="12">
        <f>IF(COUNT(R59:R64)=6,(AVERAGE(R62:R64)/AVERAGE(R59:R61))^4-1,"")</f>
        <v/>
      </c>
      <c r="T64" s="10" t="n">
        <v>81.04000000000001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0" t="n">
        <v>80.75</v>
      </c>
      <c r="Y64" s="12">
        <f>IF(COUNT(X59:X64)=6,(AVERAGE(X62:X64)/AVERAGE(X59:X61))^4-1,"")</f>
        <v/>
      </c>
      <c r="Z64" s="10" t="n">
        <v>83.83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0" t="n">
        <v>84.2</v>
      </c>
      <c r="AE64" s="12">
        <f>IF(COUNT(AD59:AD64)=6,(AVERAGE(AD62:AD64)/AVERAGE(AD59:AD61))^4-1,"")</f>
        <v/>
      </c>
      <c r="AF64" s="10" t="n">
        <v>75.73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0" t="n">
        <v>76.04000000000001</v>
      </c>
      <c r="AK64" s="12">
        <f>IF(COUNT(AJ59:AJ64)=6,(AVERAGE(AJ62:AJ64)/AVERAGE(AJ59:AJ61))^4-1,"")</f>
        <v/>
      </c>
      <c r="AL64" s="10" t="n">
        <v>73.29000000000001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0" t="n">
        <v>73.29000000000001</v>
      </c>
      <c r="AQ64" s="12">
        <f>IF(COUNT(AP59:AP64)=6,(AVERAGE(AP62:AP64)/AVERAGE(AP59:AP61))^4-1,"")</f>
        <v/>
      </c>
      <c r="AR64" s="10" t="n">
        <v>83.48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84.182</v>
      </c>
      <c r="AW64" s="12">
        <f>IF(COUNT(AV59:AV64)=6,(AVERAGE(AV62:AV64)/AVERAGE(AV59:AV61))^4-1,"")</f>
        <v/>
      </c>
    </row>
    <row r="65">
      <c r="A65" s="9" t="n">
        <v>43831</v>
      </c>
      <c r="B65" s="10" t="n">
        <v>81.06999999999999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0" t="n">
        <v>81.91</v>
      </c>
      <c r="G65" s="12">
        <f>IF(COUNT(F60:F65)=6,(AVERAGE(F63:F65)/AVERAGE(F60:F62))^4-1,"")</f>
        <v/>
      </c>
      <c r="H65" s="10" t="n">
        <v>84.33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0" t="n">
        <v>85.56999999999999</v>
      </c>
      <c r="M65" s="12">
        <f>IF(COUNT(L60:L65)=6,(AVERAGE(L63:L65)/AVERAGE(L60:L62))^4-1,"")</f>
        <v/>
      </c>
      <c r="N65" s="10" t="n">
        <v>82.31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0" t="n">
        <v>83.26000000000001</v>
      </c>
      <c r="S65" s="12">
        <f>IF(COUNT(R60:R65)=6,(AVERAGE(R63:R65)/AVERAGE(R60:R62))^4-1,"")</f>
        <v/>
      </c>
      <c r="T65" s="10" t="n">
        <v>80.04000000000001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0" t="n">
        <v>80.81999999999999</v>
      </c>
      <c r="Y65" s="12">
        <f>IF(COUNT(X60:X65)=6,(AVERAGE(X63:X65)/AVERAGE(X60:X62))^4-1,"")</f>
        <v/>
      </c>
      <c r="Z65" s="10" t="n">
        <v>83.22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0" t="n">
        <v>84.12</v>
      </c>
      <c r="AE65" s="12">
        <f>IF(COUNT(AD60:AD65)=6,(AVERAGE(AD63:AD65)/AVERAGE(AD60:AD62))^4-1,"")</f>
        <v/>
      </c>
      <c r="AF65" s="10" t="n">
        <v>76.23999999999999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0" t="n">
        <v>76.19</v>
      </c>
      <c r="AK65" s="12">
        <f>IF(COUNT(AJ60:AJ65)=6,(AVERAGE(AJ63:AJ65)/AVERAGE(AJ60:AJ62))^4-1,"")</f>
        <v/>
      </c>
      <c r="AL65" s="10" t="n">
        <v>73.87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0" t="n">
        <v>73.87</v>
      </c>
      <c r="AQ65" s="12">
        <f>IF(COUNT(AP60:AP65)=6,(AVERAGE(AP63:AP65)/AVERAGE(AP60:AP62))^4-1,"")</f>
        <v/>
      </c>
      <c r="AR65" s="10" t="n">
        <v>83.34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83.6743</v>
      </c>
      <c r="AW65" s="12">
        <f>IF(COUNT(AV60:AV65)=6,(AVERAGE(AV63:AV65)/AVERAGE(AV60:AV62))^4-1,"")</f>
        <v/>
      </c>
    </row>
    <row r="66">
      <c r="A66" s="9" t="n">
        <v>43862</v>
      </c>
      <c r="B66" s="10" t="n">
        <v>81.20999999999999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0" t="n">
        <v>81.90000000000001</v>
      </c>
      <c r="G66" s="12">
        <f>IF(COUNT(F61:F66)=6,(AVERAGE(F64:F66)/AVERAGE(F61:F63))^4-1,"")</f>
        <v/>
      </c>
      <c r="H66" s="10" t="n">
        <v>84.66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0" t="n">
        <v>85.69</v>
      </c>
      <c r="M66" s="12">
        <f>IF(COUNT(L61:L66)=6,(AVERAGE(L64:L66)/AVERAGE(L61:L63))^4-1,"")</f>
        <v/>
      </c>
      <c r="N66" s="10" t="n">
        <v>82.63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0" t="n">
        <v>83.40000000000001</v>
      </c>
      <c r="S66" s="12">
        <f>IF(COUNT(R61:R66)=6,(AVERAGE(R64:R66)/AVERAGE(R61:R63))^4-1,"")</f>
        <v/>
      </c>
      <c r="T66" s="10" t="n">
        <v>79.95999999999999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0" t="n">
        <v>80.72</v>
      </c>
      <c r="Y66" s="12">
        <f>IF(COUNT(X61:X66)=6,(AVERAGE(X64:X66)/AVERAGE(X61:X63))^4-1,"")</f>
        <v/>
      </c>
      <c r="Z66" s="10" t="n">
        <v>83.65000000000001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0" t="n">
        <v>84.23999999999999</v>
      </c>
      <c r="AE66" s="12">
        <f>IF(COUNT(AD61:AD66)=6,(AVERAGE(AD64:AD66)/AVERAGE(AD61:AD63))^4-1,"")</f>
        <v/>
      </c>
      <c r="AF66" s="10" t="n">
        <v>76.5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0" t="n">
        <v>76.42</v>
      </c>
      <c r="AK66" s="12">
        <f>IF(COUNT(AJ61:AJ66)=6,(AVERAGE(AJ64:AJ66)/AVERAGE(AJ61:AJ63))^4-1,"")</f>
        <v/>
      </c>
      <c r="AL66" s="10" t="n">
        <v>72.67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0" t="n">
        <v>72.67</v>
      </c>
      <c r="AQ66" s="12">
        <f>IF(COUNT(AP61:AP66)=6,(AVERAGE(AP64:AP66)/AVERAGE(AP61:AP63))^4-1,"")</f>
        <v/>
      </c>
      <c r="AR66" s="10" t="n">
        <v>82.94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82.9468</v>
      </c>
      <c r="AW66" s="12">
        <f>IF(COUNT(AV61:AV66)=6,(AVERAGE(AV64:AV66)/AVERAGE(AV61:AV63))^4-1,"")</f>
        <v/>
      </c>
    </row>
    <row r="67">
      <c r="A67" s="9" t="n">
        <v>43891</v>
      </c>
      <c r="B67" s="10" t="n">
        <v>81.65000000000001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0" t="n">
        <v>81.73999999999999</v>
      </c>
      <c r="G67" s="12">
        <f>IF(COUNT(F62:F67)=6,(AVERAGE(F65:F67)/AVERAGE(F62:F64))^4-1,"")</f>
        <v/>
      </c>
      <c r="H67" s="10" t="n">
        <v>85.62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0" t="n">
        <v>85.78</v>
      </c>
      <c r="M67" s="12">
        <f>IF(COUNT(L62:L67)=6,(AVERAGE(L65:L67)/AVERAGE(L62:L64))^4-1,"")</f>
        <v/>
      </c>
      <c r="N67" s="10" t="n">
        <v>83.43000000000001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0" t="n">
        <v>83.52</v>
      </c>
      <c r="S67" s="12">
        <f>IF(COUNT(R62:R67)=6,(AVERAGE(R65:R67)/AVERAGE(R62:R64))^4-1,"")</f>
        <v/>
      </c>
      <c r="T67" s="10" t="n">
        <v>80.69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0" t="n">
        <v>80.43000000000001</v>
      </c>
      <c r="Y67" s="12">
        <f>IF(COUNT(X62:X67)=6,(AVERAGE(X65:X67)/AVERAGE(X62:X64))^4-1,"")</f>
        <v/>
      </c>
      <c r="Z67" s="10" t="n">
        <v>83.73999999999999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0" t="n">
        <v>84.25</v>
      </c>
      <c r="AE67" s="12">
        <f>IF(COUNT(AD62:AD67)=6,(AVERAGE(AD65:AD67)/AVERAGE(AD62:AD64))^4-1,"")</f>
        <v/>
      </c>
      <c r="AF67" s="10" t="n">
        <v>76.76000000000001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0" t="n">
        <v>76.64</v>
      </c>
      <c r="AK67" s="12">
        <f>IF(COUNT(AJ62:AJ67)=6,(AVERAGE(AJ65:AJ67)/AVERAGE(AJ62:AJ64))^4-1,"")</f>
        <v/>
      </c>
      <c r="AL67" s="10" t="n">
        <v>70.26000000000001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0" t="n">
        <v>70.26000000000001</v>
      </c>
      <c r="AQ67" s="12">
        <f>IF(COUNT(AP62:AP67)=6,(AVERAGE(AP65:AP67)/AVERAGE(AP62:AP64))^4-1,"")</f>
        <v/>
      </c>
      <c r="AR67" s="10" t="n">
        <v>81.69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82.0431</v>
      </c>
      <c r="AW67" s="12">
        <f>IF(COUNT(AV62:AV67)=6,(AVERAGE(AV65:AV67)/AVERAGE(AV62:AV64))^4-1,"")</f>
        <v/>
      </c>
    </row>
    <row r="68">
      <c r="A68" s="9" t="n">
        <v>43922</v>
      </c>
      <c r="B68" s="10" t="n">
        <v>81.89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0" t="n">
        <v>81.55</v>
      </c>
      <c r="G68" s="12">
        <f>IF(COUNT(F63:F68)=6,(AVERAGE(F66:F68)/AVERAGE(F63:F65))^4-1,"")</f>
        <v/>
      </c>
      <c r="H68" s="10" t="n">
        <v>86.26000000000001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0" t="n">
        <v>85.84</v>
      </c>
      <c r="M68" s="12">
        <f>IF(COUNT(L63:L68)=6,(AVERAGE(L66:L68)/AVERAGE(L63:L65))^4-1,"")</f>
        <v/>
      </c>
      <c r="N68" s="10" t="n">
        <v>84.11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0" t="n">
        <v>83.72</v>
      </c>
      <c r="S68" s="12">
        <f>IF(COUNT(R63:R68)=6,(AVERAGE(R66:R68)/AVERAGE(R63:R65))^4-1,"")</f>
        <v/>
      </c>
      <c r="T68" s="10" t="n">
        <v>80.56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0" t="n">
        <v>79.98999999999999</v>
      </c>
      <c r="Y68" s="12">
        <f>IF(COUNT(X63:X68)=6,(AVERAGE(X66:X68)/AVERAGE(X63:X65))^4-1,"")</f>
        <v/>
      </c>
      <c r="Z68" s="10" t="n">
        <v>84.44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0" t="n">
        <v>84.37</v>
      </c>
      <c r="AE68" s="12">
        <f>IF(COUNT(AD63:AD68)=6,(AVERAGE(AD66:AD68)/AVERAGE(AD63:AD65))^4-1,"")</f>
        <v/>
      </c>
      <c r="AF68" s="10" t="n">
        <v>77.61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0" t="n">
        <v>77.31999999999999</v>
      </c>
      <c r="AK68" s="12">
        <f>IF(COUNT(AJ63:AJ68)=6,(AVERAGE(AJ66:AJ68)/AVERAGE(AJ63:AJ65))^4-1,"")</f>
        <v/>
      </c>
      <c r="AL68" s="10" t="n">
        <v>66.90000000000001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0" t="n">
        <v>66.90000000000001</v>
      </c>
      <c r="AQ68" s="12">
        <f>IF(COUNT(AP63:AP68)=6,(AVERAGE(AP66:AP68)/AVERAGE(AP63:AP65))^4-1,"")</f>
        <v/>
      </c>
      <c r="AR68" s="10" t="n">
        <v>80.63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80.35420000000001</v>
      </c>
      <c r="AW68" s="12">
        <f>IF(COUNT(AV63:AV68)=6,(AVERAGE(AV66:AV68)/AVERAGE(AV63:AV65))^4-1,"")</f>
        <v/>
      </c>
    </row>
    <row r="69">
      <c r="A69" s="9" t="n">
        <v>43952</v>
      </c>
      <c r="B69" s="10" t="n">
        <v>81.81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0" t="n">
        <v>81.47</v>
      </c>
      <c r="G69" s="12">
        <f>IF(COUNT(F64:F69)=6,(AVERAGE(F67:F69)/AVERAGE(F64:F66))^4-1,"")</f>
        <v/>
      </c>
      <c r="H69" s="10" t="n">
        <v>86.26000000000001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0" t="n">
        <v>85.86</v>
      </c>
      <c r="M69" s="12">
        <f>IF(COUNT(L64:L69)=6,(AVERAGE(L67:L69)/AVERAGE(L64:L66))^4-1,"")</f>
        <v/>
      </c>
      <c r="N69" s="10" t="n">
        <v>84.16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0" t="n">
        <v>83.77</v>
      </c>
      <c r="S69" s="12">
        <f>IF(COUNT(R64:R69)=6,(AVERAGE(R67:R69)/AVERAGE(R64:R66))^4-1,"")</f>
        <v/>
      </c>
      <c r="T69" s="10" t="n">
        <v>80.41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0" t="n">
        <v>79.79000000000001</v>
      </c>
      <c r="Y69" s="12">
        <f>IF(COUNT(X64:X69)=6,(AVERAGE(X67:X69)/AVERAGE(X64:X66))^4-1,"")</f>
        <v/>
      </c>
      <c r="Z69" s="10" t="n">
        <v>84.45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0" t="n">
        <v>84.43000000000001</v>
      </c>
      <c r="AE69" s="12">
        <f>IF(COUNT(AD64:AD69)=6,(AVERAGE(AD67:AD69)/AVERAGE(AD64:AD66))^4-1,"")</f>
        <v/>
      </c>
      <c r="AF69" s="10" t="n">
        <v>77.83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0" t="n">
        <v>77.43000000000001</v>
      </c>
      <c r="AK69" s="12">
        <f>IF(COUNT(AJ64:AJ69)=6,(AVERAGE(AJ67:AJ69)/AVERAGE(AJ64:AJ66))^4-1,"")</f>
        <v/>
      </c>
      <c r="AL69" s="10" t="n">
        <v>65.77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0" t="n">
        <v>65.77</v>
      </c>
      <c r="AQ69" s="12">
        <f>IF(COUNT(AP64:AP69)=6,(AVERAGE(AP67:AP69)/AVERAGE(AP64:AP66))^4-1,"")</f>
        <v/>
      </c>
      <c r="AR69" s="10" t="n">
        <v>79.95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79.90519999999999</v>
      </c>
      <c r="AW69" s="12">
        <f>IF(COUNT(AV64:AV69)=6,(AVERAGE(AV67:AV69)/AVERAGE(AV64:AV66))^4-1,"")</f>
        <v/>
      </c>
    </row>
    <row r="70">
      <c r="A70" s="9" t="n">
        <v>43983</v>
      </c>
      <c r="B70" s="10" t="n">
        <v>82.09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0" t="n">
        <v>81.64</v>
      </c>
      <c r="G70" s="12">
        <f>IF(COUNT(F65:F70)=6,(AVERAGE(F68:F70)/AVERAGE(F65:F67))^4-1,"")</f>
        <v/>
      </c>
      <c r="H70" s="10" t="n">
        <v>86.53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0" t="n">
        <v>85.92</v>
      </c>
      <c r="M70" s="12">
        <f>IF(COUNT(L65:L70)=6,(AVERAGE(L68:L70)/AVERAGE(L65:L67))^4-1,"")</f>
        <v/>
      </c>
      <c r="N70" s="10" t="n">
        <v>84.33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0" t="n">
        <v>83.81999999999999</v>
      </c>
      <c r="S70" s="12">
        <f>IF(COUNT(R65:R70)=6,(AVERAGE(R68:R70)/AVERAGE(R65:R67))^4-1,"")</f>
        <v/>
      </c>
      <c r="T70" s="10" t="n">
        <v>80.44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0" t="n">
        <v>79.98</v>
      </c>
      <c r="Y70" s="12">
        <f>IF(COUNT(X65:X70)=6,(AVERAGE(X68:X70)/AVERAGE(X65:X67))^4-1,"")</f>
        <v/>
      </c>
      <c r="Z70" s="10" t="n">
        <v>85.04000000000001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0" t="n">
        <v>84.58</v>
      </c>
      <c r="AE70" s="12">
        <f>IF(COUNT(AD65:AD70)=6,(AVERAGE(AD68:AD70)/AVERAGE(AD65:AD67))^4-1,"")</f>
        <v/>
      </c>
      <c r="AF70" s="10" t="n">
        <v>77.68000000000001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0" t="n">
        <v>77.44</v>
      </c>
      <c r="AK70" s="12">
        <f>IF(COUNT(AJ65:AJ70)=6,(AVERAGE(AJ68:AJ70)/AVERAGE(AJ65:AJ67))^4-1,"")</f>
        <v/>
      </c>
      <c r="AL70" s="10" t="n">
        <v>66.92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0" t="n">
        <v>66.92</v>
      </c>
      <c r="AQ70" s="12">
        <f>IF(COUNT(AP65:AP70)=6,(AVERAGE(AP68:AP70)/AVERAGE(AP65:AP67))^4-1,"")</f>
        <v/>
      </c>
      <c r="AR70" s="10" t="n">
        <v>80.98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81.0258</v>
      </c>
      <c r="AW70" s="12">
        <f>IF(COUNT(AV65:AV70)=6,(AVERAGE(AV68:AV70)/AVERAGE(AV65:AV67))^4-1,"")</f>
        <v/>
      </c>
    </row>
    <row r="71">
      <c r="A71" s="9" t="n">
        <v>44013</v>
      </c>
      <c r="B71" s="10" t="n">
        <v>81.8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0" t="n">
        <v>81.75</v>
      </c>
      <c r="G71" s="12">
        <f>IF(COUNT(F66:F71)=6,(AVERAGE(F69:F71)/AVERAGE(F66:F68))^4-1,"")</f>
        <v/>
      </c>
      <c r="H71" s="10" t="n">
        <v>86.29000000000001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0" t="n">
        <v>86.2</v>
      </c>
      <c r="M71" s="12">
        <f>IF(COUNT(L66:L71)=6,(AVERAGE(L69:L71)/AVERAGE(L66:L68))^4-1,"")</f>
        <v/>
      </c>
      <c r="N71" s="10" t="n">
        <v>83.97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0" t="n">
        <v>83.90000000000001</v>
      </c>
      <c r="S71" s="12">
        <f>IF(COUNT(R66:R71)=6,(AVERAGE(R69:R71)/AVERAGE(R66:R68))^4-1,"")</f>
        <v/>
      </c>
      <c r="T71" s="10" t="n">
        <v>79.45999999999999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0" t="n">
        <v>80.29000000000001</v>
      </c>
      <c r="Y71" s="12">
        <f>IF(COUNT(X66:X71)=6,(AVERAGE(X69:X71)/AVERAGE(X66:X68))^4-1,"")</f>
        <v/>
      </c>
      <c r="Z71" s="10" t="n">
        <v>85.63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0" t="n">
        <v>84.43000000000001</v>
      </c>
      <c r="AE71" s="12">
        <f>IF(COUNT(AD66:AD71)=6,(AVERAGE(AD69:AD71)/AVERAGE(AD66:AD68))^4-1,"")</f>
        <v/>
      </c>
      <c r="AF71" s="10" t="n">
        <v>76.88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0" t="n">
        <v>76.88</v>
      </c>
      <c r="AK71" s="12">
        <f>IF(COUNT(AJ66:AJ71)=6,(AVERAGE(AJ69:AJ71)/AVERAGE(AJ66:AJ68))^4-1,"")</f>
        <v/>
      </c>
      <c r="AL71" s="10" t="n">
        <v>67.23999999999999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0" t="n">
        <v>67.23999999999999</v>
      </c>
      <c r="AQ71" s="12">
        <f>IF(COUNT(AP66:AP71)=6,(AVERAGE(AP69:AP71)/AVERAGE(AP66:AP68))^4-1,"")</f>
        <v/>
      </c>
      <c r="AR71" s="10" t="n">
        <v>81.52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81.0509</v>
      </c>
      <c r="AW71" s="12">
        <f>IF(COUNT(AV66:AV71)=6,(AVERAGE(AV69:AV71)/AVERAGE(AV66:AV68))^4-1,"")</f>
        <v/>
      </c>
    </row>
    <row r="72">
      <c r="A72" s="9" t="n">
        <v>44044</v>
      </c>
      <c r="B72" s="10" t="n">
        <v>81.45999999999999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0" t="n">
        <v>81.38</v>
      </c>
      <c r="G72" s="12">
        <f>IF(COUNT(F67:F72)=6,(AVERAGE(F70:F72)/AVERAGE(F67:F69))^4-1,"")</f>
        <v/>
      </c>
      <c r="H72" s="10" t="n">
        <v>85.81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0" t="n">
        <v>85.63</v>
      </c>
      <c r="M72" s="12">
        <f>IF(COUNT(L67:L72)=6,(AVERAGE(L70:L72)/AVERAGE(L67:L69))^4-1,"")</f>
        <v/>
      </c>
      <c r="N72" s="10" t="n">
        <v>83.58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0" t="n">
        <v>83.48999999999999</v>
      </c>
      <c r="S72" s="12">
        <f>IF(COUNT(R67:R72)=6,(AVERAGE(R70:R72)/AVERAGE(R67:R69))^4-1,"")</f>
        <v/>
      </c>
      <c r="T72" s="10" t="n">
        <v>78.83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0" t="n">
        <v>79.66</v>
      </c>
      <c r="Y72" s="12">
        <f>IF(COUNT(X67:X72)=6,(AVERAGE(X70:X72)/AVERAGE(X67:X69))^4-1,"")</f>
        <v/>
      </c>
      <c r="Z72" s="10" t="n">
        <v>85.65000000000001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0" t="n">
        <v>84.39</v>
      </c>
      <c r="AE72" s="12">
        <f>IF(COUNT(AD67:AD72)=6,(AVERAGE(AD70:AD72)/AVERAGE(AD67:AD69))^4-1,"")</f>
        <v/>
      </c>
      <c r="AF72" s="10" t="n">
        <v>76.81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0" t="n">
        <v>76.97</v>
      </c>
      <c r="AK72" s="12">
        <f>IF(COUNT(AJ67:AJ72)=6,(AVERAGE(AJ70:AJ72)/AVERAGE(AJ67:AJ69))^4-1,"")</f>
        <v/>
      </c>
      <c r="AL72" s="10" t="n">
        <v>67.25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0" t="n">
        <v>67.25</v>
      </c>
      <c r="AQ72" s="12">
        <f>IF(COUNT(AP67:AP72)=6,(AVERAGE(AP70:AP72)/AVERAGE(AP67:AP69))^4-1,"")</f>
        <v/>
      </c>
      <c r="AR72" s="10" t="n">
        <v>81.48999999999999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80.8533</v>
      </c>
      <c r="AW72" s="12">
        <f>IF(COUNT(AV67:AV72)=6,(AVERAGE(AV70:AV72)/AVERAGE(AV67:AV69))^4-1,"")</f>
        <v/>
      </c>
    </row>
    <row r="73">
      <c r="A73" s="9" t="n">
        <v>44075</v>
      </c>
      <c r="B73" s="10" t="n">
        <v>81.52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0" t="n">
        <v>81.38</v>
      </c>
      <c r="G73" s="12">
        <f>IF(COUNT(F68:F73)=6,(AVERAGE(F71:F73)/AVERAGE(F68:F70))^4-1,"")</f>
        <v/>
      </c>
      <c r="H73" s="10" t="n">
        <v>85.98999999999999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0" t="n">
        <v>85.69</v>
      </c>
      <c r="M73" s="12">
        <f>IF(COUNT(L68:L73)=6,(AVERAGE(L71:L73)/AVERAGE(L68:L70))^4-1,"")</f>
        <v/>
      </c>
      <c r="N73" s="10" t="n">
        <v>83.69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0" t="n">
        <v>83.53</v>
      </c>
      <c r="S73" s="12">
        <f>IF(COUNT(R68:R73)=6,(AVERAGE(R71:R73)/AVERAGE(R68:R70))^4-1,"")</f>
        <v/>
      </c>
      <c r="T73" s="10" t="n">
        <v>79.75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0" t="n">
        <v>79.66</v>
      </c>
      <c r="Y73" s="12">
        <f>IF(COUNT(X68:X73)=6,(AVERAGE(X71:X73)/AVERAGE(X68:X70))^4-1,"")</f>
        <v/>
      </c>
      <c r="Z73" s="10" t="n">
        <v>84.63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0" t="n">
        <v>84.41</v>
      </c>
      <c r="AE73" s="12">
        <f>IF(COUNT(AD68:AD73)=6,(AVERAGE(AD71:AD73)/AVERAGE(AD68:AD70))^4-1,"")</f>
        <v/>
      </c>
      <c r="AF73" s="10" t="n">
        <v>76.68000000000001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0" t="n">
        <v>76.95</v>
      </c>
      <c r="AK73" s="12">
        <f>IF(COUNT(AJ68:AJ73)=6,(AVERAGE(AJ71:AJ73)/AVERAGE(AJ68:AJ70))^4-1,"")</f>
        <v/>
      </c>
      <c r="AL73" s="10" t="n">
        <v>66.95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0" t="n">
        <v>66.95</v>
      </c>
      <c r="AQ73" s="12">
        <f>IF(COUNT(AP68:AP73)=6,(AVERAGE(AP71:AP73)/AVERAGE(AP68:AP70))^4-1,"")</f>
        <v/>
      </c>
      <c r="AR73" s="10" t="n">
        <v>80.34999999999999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80.17749999999999</v>
      </c>
      <c r="AW73" s="12">
        <f>IF(COUNT(AV68:AV73)=6,(AVERAGE(AV71:AV73)/AVERAGE(AV68:AV70))^4-1,"")</f>
        <v/>
      </c>
    </row>
    <row r="74">
      <c r="A74" s="9" t="n">
        <v>44105</v>
      </c>
      <c r="B74" s="10" t="n">
        <v>81.67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0" t="n">
        <v>81.51000000000001</v>
      </c>
      <c r="G74" s="12">
        <f>IF(COUNT(F69:F74)=6,(AVERAGE(F72:F74)/AVERAGE(F69:F71))^4-1,"")</f>
        <v/>
      </c>
      <c r="H74" s="10" t="n">
        <v>86.09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0" t="n">
        <v>85.8</v>
      </c>
      <c r="M74" s="12">
        <f>IF(COUNT(L69:L74)=6,(AVERAGE(L72:L74)/AVERAGE(L69:L71))^4-1,"")</f>
        <v/>
      </c>
      <c r="N74" s="10" t="n">
        <v>83.83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0" t="n">
        <v>83.64</v>
      </c>
      <c r="S74" s="12">
        <f>IF(COUNT(R69:R74)=6,(AVERAGE(R72:R74)/AVERAGE(R69:R71))^4-1,"")</f>
        <v/>
      </c>
      <c r="T74" s="10" t="n">
        <v>80.20999999999999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0" t="n">
        <v>79.84</v>
      </c>
      <c r="Y74" s="12">
        <f>IF(COUNT(X69:X74)=6,(AVERAGE(X72:X74)/AVERAGE(X69:X71))^4-1,"")</f>
        <v/>
      </c>
      <c r="Z74" s="10" t="n">
        <v>84.38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0" t="n">
        <v>84.47</v>
      </c>
      <c r="AE74" s="12">
        <f>IF(COUNT(AD69:AD74)=6,(AVERAGE(AD72:AD74)/AVERAGE(AD69:AD71))^4-1,"")</f>
        <v/>
      </c>
      <c r="AF74" s="10" t="n">
        <v>76.92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0" t="n">
        <v>77.08</v>
      </c>
      <c r="AK74" s="12">
        <f>IF(COUNT(AJ69:AJ74)=6,(AVERAGE(AJ72:AJ74)/AVERAGE(AJ69:AJ71))^4-1,"")</f>
        <v/>
      </c>
      <c r="AL74" s="10" t="n">
        <v>67.2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0" t="n">
        <v>67.2</v>
      </c>
      <c r="AQ74" s="12">
        <f>IF(COUNT(AP69:AP74)=6,(AVERAGE(AP72:AP74)/AVERAGE(AP69:AP71))^4-1,"")</f>
        <v/>
      </c>
      <c r="AR74" s="10" t="n">
        <v>80.31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80.27549999999999</v>
      </c>
      <c r="AW74" s="12">
        <f>IF(COUNT(AV69:AV74)=6,(AVERAGE(AV72:AV74)/AVERAGE(AV69:AV71))^4-1,"")</f>
        <v/>
      </c>
    </row>
    <row r="75">
      <c r="A75" s="9" t="n">
        <v>44136</v>
      </c>
      <c r="B75" s="10" t="n">
        <v>81.40000000000001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0" t="n">
        <v>81.56999999999999</v>
      </c>
      <c r="G75" s="12">
        <f>IF(COUNT(F70:F75)=6,(AVERAGE(F73:F75)/AVERAGE(F70:F72))^4-1,"")</f>
        <v/>
      </c>
      <c r="H75" s="10" t="n">
        <v>85.66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0" t="n">
        <v>85.84</v>
      </c>
      <c r="M75" s="12">
        <f>IF(COUNT(L70:L75)=6,(AVERAGE(L73:L75)/AVERAGE(L70:L72))^4-1,"")</f>
        <v/>
      </c>
      <c r="N75" s="10" t="n">
        <v>83.53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0" t="n">
        <v>83.72</v>
      </c>
      <c r="S75" s="12">
        <f>IF(COUNT(R70:R75)=6,(AVERAGE(R73:R75)/AVERAGE(R70:R72))^4-1,"")</f>
        <v/>
      </c>
      <c r="T75" s="10" t="n">
        <v>80.26000000000001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0" t="n">
        <v>79.89</v>
      </c>
      <c r="Y75" s="12">
        <f>IF(COUNT(X70:X75)=6,(AVERAGE(X73:X75)/AVERAGE(X70:X72))^4-1,"")</f>
        <v/>
      </c>
      <c r="Z75" s="10" t="n">
        <v>83.69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0" t="n">
        <v>84.55</v>
      </c>
      <c r="AE75" s="12">
        <f>IF(COUNT(AD70:AD75)=6,(AVERAGE(AD73:AD75)/AVERAGE(AD70:AD72))^4-1,"")</f>
        <v/>
      </c>
      <c r="AF75" s="10" t="n">
        <v>77.06999999999999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0" t="n">
        <v>77.31</v>
      </c>
      <c r="AK75" s="12">
        <f>IF(COUNT(AJ70:AJ75)=6,(AVERAGE(AJ73:AJ75)/AVERAGE(AJ70:AJ72))^4-1,"")</f>
        <v/>
      </c>
      <c r="AL75" s="10" t="n">
        <v>67.11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0" t="n">
        <v>67.11</v>
      </c>
      <c r="AQ75" s="12">
        <f>IF(COUNT(AP70:AP75)=6,(AVERAGE(AP73:AP75)/AVERAGE(AP70:AP72))^4-1,"")</f>
        <v/>
      </c>
      <c r="AR75" s="10" t="n">
        <v>79.95999999999999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80.3128</v>
      </c>
      <c r="AW75" s="12">
        <f>IF(COUNT(AV70:AV75)=6,(AVERAGE(AV73:AV75)/AVERAGE(AV70:AV72))^4-1,"")</f>
        <v/>
      </c>
    </row>
    <row r="76">
      <c r="A76" s="9" t="n">
        <v>44166</v>
      </c>
      <c r="B76" s="10" t="n">
        <v>81.67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0" t="n">
        <v>81.7</v>
      </c>
      <c r="G76" s="12">
        <f>IF(COUNT(F71:F76)=6,(AVERAGE(F74:F76)/AVERAGE(F71:F73))^4-1,"")</f>
        <v/>
      </c>
      <c r="H76" s="10" t="n">
        <v>85.98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0" t="n">
        <v>85.92</v>
      </c>
      <c r="M76" s="12">
        <f>IF(COUNT(L71:L76)=6,(AVERAGE(L74:L76)/AVERAGE(L71:L73))^4-1,"")</f>
        <v/>
      </c>
      <c r="N76" s="10" t="n">
        <v>83.69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0" t="n">
        <v>83.73</v>
      </c>
      <c r="S76" s="12">
        <f>IF(COUNT(R71:R76)=6,(AVERAGE(R74:R76)/AVERAGE(R71:R73))^4-1,"")</f>
        <v/>
      </c>
      <c r="T76" s="10" t="n">
        <v>80.2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0" t="n">
        <v>79.94</v>
      </c>
      <c r="Y76" s="12">
        <f>IF(COUNT(X71:X76)=6,(AVERAGE(X74:X76)/AVERAGE(X71:X73))^4-1,"")</f>
        <v/>
      </c>
      <c r="Z76" s="10" t="n">
        <v>84.38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0" t="n">
        <v>84.78</v>
      </c>
      <c r="AE76" s="12">
        <f>IF(COUNT(AD71:AD76)=6,(AVERAGE(AD74:AD76)/AVERAGE(AD71:AD73))^4-1,"")</f>
        <v/>
      </c>
      <c r="AF76" s="10" t="n">
        <v>76.73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0" t="n">
        <v>77.06</v>
      </c>
      <c r="AK76" s="12">
        <f>IF(COUNT(AJ71:AJ76)=6,(AVERAGE(AJ74:AJ76)/AVERAGE(AJ71:AJ73))^4-1,"")</f>
        <v/>
      </c>
      <c r="AL76" s="10" t="n">
        <v>68.20999999999999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0" t="n">
        <v>68.20999999999999</v>
      </c>
      <c r="AQ76" s="12">
        <f>IF(COUNT(AP71:AP76)=6,(AVERAGE(AP74:AP76)/AVERAGE(AP71:AP73))^4-1,"")</f>
        <v/>
      </c>
      <c r="AR76" s="10" t="n">
        <v>81.09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81.81910000000001</v>
      </c>
      <c r="AW76" s="12">
        <f>IF(COUNT(AV71:AV76)=6,(AVERAGE(AV74:AV76)/AVERAGE(AV71:AV73))^4-1,"")</f>
        <v/>
      </c>
    </row>
    <row r="77">
      <c r="A77" s="9" t="n">
        <v>44197</v>
      </c>
      <c r="B77" s="10" t="n">
        <v>81.8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0" t="n">
        <v>82.51000000000001</v>
      </c>
      <c r="G77" s="12">
        <f>IF(COUNT(F72:F77)=6,(AVERAGE(F75:F77)/AVERAGE(F72:F74))^4-1,"")</f>
        <v/>
      </c>
      <c r="H77" s="10" t="n">
        <v>85.52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0" t="n">
        <v>86.62</v>
      </c>
      <c r="M77" s="12">
        <f>IF(COUNT(L72:L77)=6,(AVERAGE(L75:L77)/AVERAGE(L72:L74))^4-1,"")</f>
        <v/>
      </c>
      <c r="N77" s="10" t="n">
        <v>83.52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0" t="n">
        <v>84.31999999999999</v>
      </c>
      <c r="S77" s="12">
        <f>IF(COUNT(R72:R77)=6,(AVERAGE(R75:R77)/AVERAGE(R72:R74))^4-1,"")</f>
        <v/>
      </c>
      <c r="T77" s="10" t="n">
        <v>80.41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0" t="n">
        <v>81.12</v>
      </c>
      <c r="Y77" s="12">
        <f>IF(COUNT(X72:X77)=6,(AVERAGE(X75:X77)/AVERAGE(X72:X74))^4-1,"")</f>
        <v/>
      </c>
      <c r="Z77" s="10" t="n">
        <v>84.42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0" t="n">
        <v>85.05</v>
      </c>
      <c r="AE77" s="12">
        <f>IF(COUNT(AD72:AD77)=6,(AVERAGE(AD75:AD77)/AVERAGE(AD72:AD74))^4-1,"")</f>
        <v/>
      </c>
      <c r="AF77" s="10" t="n">
        <v>77.34999999999999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0" t="n">
        <v>77.31999999999999</v>
      </c>
      <c r="AK77" s="12">
        <f>IF(COUNT(AJ72:AJ77)=6,(AVERAGE(AJ75:AJ77)/AVERAGE(AJ72:AJ74))^4-1,"")</f>
        <v/>
      </c>
      <c r="AL77" s="10" t="n">
        <v>70.79000000000001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0" t="n">
        <v>70.79000000000001</v>
      </c>
      <c r="AQ77" s="12">
        <f>IF(COUNT(AP72:AP77)=6,(AVERAGE(AP75:AP77)/AVERAGE(AP72:AP74))^4-1,"")</f>
        <v/>
      </c>
      <c r="AR77" s="10" t="n">
        <v>82.43000000000001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82.8451</v>
      </c>
      <c r="AW77" s="12">
        <f>IF(COUNT(AV72:AV77)=6,(AVERAGE(AV75:AV77)/AVERAGE(AV72:AV74))^4-1,"")</f>
        <v/>
      </c>
    </row>
    <row r="78">
      <c r="A78" s="9" t="n">
        <v>44228</v>
      </c>
      <c r="B78" s="10" t="n">
        <v>81.97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0" t="n">
        <v>82.56</v>
      </c>
      <c r="G78" s="12">
        <f>IF(COUNT(F73:F78)=6,(AVERAGE(F76:F78)/AVERAGE(F73:F75))^4-1,"")</f>
        <v/>
      </c>
      <c r="H78" s="10" t="n">
        <v>85.59999999999999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0" t="n">
        <v>86.53</v>
      </c>
      <c r="M78" s="12">
        <f>IF(COUNT(L73:L78)=6,(AVERAGE(L76:L78)/AVERAGE(L73:L75))^4-1,"")</f>
        <v/>
      </c>
      <c r="N78" s="10" t="n">
        <v>83.62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0" t="n">
        <v>84.28</v>
      </c>
      <c r="S78" s="12">
        <f>IF(COUNT(R73:R78)=6,(AVERAGE(R76:R78)/AVERAGE(R73:R75))^4-1,"")</f>
        <v/>
      </c>
      <c r="T78" s="10" t="n">
        <v>80.52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0" t="n">
        <v>81.17</v>
      </c>
      <c r="Y78" s="12">
        <f>IF(COUNT(X73:X78)=6,(AVERAGE(X76:X78)/AVERAGE(X73:X75))^4-1,"")</f>
        <v/>
      </c>
      <c r="Z78" s="10" t="n">
        <v>84.67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0" t="n">
        <v>85.09</v>
      </c>
      <c r="AE78" s="12">
        <f>IF(COUNT(AD73:AD78)=6,(AVERAGE(AD76:AD78)/AVERAGE(AD73:AD75))^4-1,"")</f>
        <v/>
      </c>
      <c r="AF78" s="10" t="n">
        <v>77.53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0" t="n">
        <v>77.45</v>
      </c>
      <c r="AK78" s="12">
        <f>IF(COUNT(AJ73:AJ78)=6,(AVERAGE(AJ76:AJ78)/AVERAGE(AJ73:AJ75))^4-1,"")</f>
        <v/>
      </c>
      <c r="AL78" s="10" t="n">
        <v>71.47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0" t="n">
        <v>71.47</v>
      </c>
      <c r="AQ78" s="12">
        <f>IF(COUNT(AP73:AP78)=6,(AVERAGE(AP76:AP78)/AVERAGE(AP73:AP75))^4-1,"")</f>
        <v/>
      </c>
      <c r="AR78" s="10" t="n">
        <v>83.27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83.2954</v>
      </c>
      <c r="AW78" s="12">
        <f>IF(COUNT(AV73:AV78)=6,(AVERAGE(AV76:AV78)/AVERAGE(AV73:AV75))^4-1,"")</f>
        <v/>
      </c>
    </row>
    <row r="79">
      <c r="A79" s="9" t="n">
        <v>44256</v>
      </c>
      <c r="B79" s="10" t="n">
        <v>82.73999999999999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0" t="n">
        <v>82.75</v>
      </c>
      <c r="G79" s="12">
        <f>IF(COUNT(F74:F79)=6,(AVERAGE(F77:F79)/AVERAGE(F74:F76))^4-1,"")</f>
        <v/>
      </c>
      <c r="H79" s="10" t="n">
        <v>86.43000000000001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0" t="n">
        <v>86.48999999999999</v>
      </c>
      <c r="M79" s="12">
        <f>IF(COUNT(L74:L79)=6,(AVERAGE(L77:L79)/AVERAGE(L74:L76))^4-1,"")</f>
        <v/>
      </c>
      <c r="N79" s="10" t="n">
        <v>84.25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0" t="n">
        <v>84.26000000000001</v>
      </c>
      <c r="S79" s="12">
        <f>IF(COUNT(R74:R79)=6,(AVERAGE(R77:R79)/AVERAGE(R74:R76))^4-1,"")</f>
        <v/>
      </c>
      <c r="T79" s="10" t="n">
        <v>81.70999999999999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0" t="n">
        <v>81.45999999999999</v>
      </c>
      <c r="Y79" s="12">
        <f>IF(COUNT(X74:X79)=6,(AVERAGE(X77:X79)/AVERAGE(X74:X76))^4-1,"")</f>
        <v/>
      </c>
      <c r="Z79" s="10" t="n">
        <v>84.83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0" t="n">
        <v>85.15000000000001</v>
      </c>
      <c r="AE79" s="12">
        <f>IF(COUNT(AD74:AD79)=6,(AVERAGE(AD77:AD79)/AVERAGE(AD74:AD76))^4-1,"")</f>
        <v/>
      </c>
      <c r="AF79" s="10" t="n">
        <v>77.61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0" t="n">
        <v>77.5</v>
      </c>
      <c r="AK79" s="12">
        <f>IF(COUNT(AJ74:AJ79)=6,(AVERAGE(AJ77:AJ79)/AVERAGE(AJ74:AJ76))^4-1,"")</f>
        <v/>
      </c>
      <c r="AL79" s="10" t="n">
        <v>73.31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0" t="n">
        <v>73.31</v>
      </c>
      <c r="AQ79" s="12">
        <f>IF(COUNT(AP74:AP79)=6,(AVERAGE(AP77:AP79)/AVERAGE(AP74:AP76))^4-1,"")</f>
        <v/>
      </c>
      <c r="AR79" s="10" t="n">
        <v>84.5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84.7916</v>
      </c>
      <c r="AW79" s="12">
        <f>IF(COUNT(AV74:AV79)=6,(AVERAGE(AV77:AV79)/AVERAGE(AV74:AV76))^4-1,"")</f>
        <v/>
      </c>
    </row>
    <row r="80">
      <c r="A80" s="9" t="n">
        <v>44287</v>
      </c>
      <c r="B80" s="10" t="n">
        <v>83.20999999999999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0" t="n">
        <v>82.90000000000001</v>
      </c>
      <c r="G80" s="12">
        <f>IF(COUNT(F75:F80)=6,(AVERAGE(F78:F80)/AVERAGE(F75:F77))^4-1,"")</f>
        <v/>
      </c>
      <c r="H80" s="10" t="n">
        <v>86.89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0" t="n">
        <v>86.53</v>
      </c>
      <c r="M80" s="12">
        <f>IF(COUNT(L75:L80)=6,(AVERAGE(L78:L80)/AVERAGE(L75:L77))^4-1,"")</f>
        <v/>
      </c>
      <c r="N80" s="10" t="n">
        <v>84.72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0" t="n">
        <v>84.36</v>
      </c>
      <c r="S80" s="12">
        <f>IF(COUNT(R75:R80)=6,(AVERAGE(R78:R80)/AVERAGE(R75:R77))^4-1,"")</f>
        <v/>
      </c>
      <c r="T80" s="10" t="n">
        <v>82.25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0" t="n">
        <v>81.69</v>
      </c>
      <c r="Y80" s="12">
        <f>IF(COUNT(X75:X80)=6,(AVERAGE(X78:X80)/AVERAGE(X75:X77))^4-1,"")</f>
        <v/>
      </c>
      <c r="Z80" s="10" t="n">
        <v>85.20999999999999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0" t="n">
        <v>85.18000000000001</v>
      </c>
      <c r="AE80" s="12">
        <f>IF(COUNT(AD75:AD80)=6,(AVERAGE(AD78:AD80)/AVERAGE(AD75:AD77))^4-1,"")</f>
        <v/>
      </c>
      <c r="AF80" s="10" t="n">
        <v>78.06999999999999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0" t="n">
        <v>77.75</v>
      </c>
      <c r="AK80" s="12">
        <f>IF(COUNT(AJ75:AJ80)=6,(AVERAGE(AJ78:AJ80)/AVERAGE(AJ75:AJ77))^4-1,"")</f>
        <v/>
      </c>
      <c r="AL80" s="10" t="n">
        <v>73.83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0" t="n">
        <v>73.83</v>
      </c>
      <c r="AQ80" s="12">
        <f>IF(COUNT(AP75:AP80)=6,(AVERAGE(AP78:AP80)/AVERAGE(AP75:AP77))^4-1,"")</f>
        <v/>
      </c>
      <c r="AR80" s="10" t="n">
        <v>84.70999999999999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84.2801</v>
      </c>
      <c r="AW80" s="12">
        <f>IF(COUNT(AV75:AV80)=6,(AVERAGE(AV78:AV80)/AVERAGE(AV75:AV77))^4-1,"")</f>
        <v/>
      </c>
    </row>
    <row r="81">
      <c r="A81" s="9" t="n">
        <v>44317</v>
      </c>
      <c r="B81" s="10" t="n">
        <v>83.43000000000001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0" t="n">
        <v>83.06999999999999</v>
      </c>
      <c r="G81" s="12">
        <f>IF(COUNT(F76:F81)=6,(AVERAGE(F79:F81)/AVERAGE(F76:F78))^4-1,"")</f>
        <v/>
      </c>
      <c r="H81" s="10" t="n">
        <v>87.06999999999999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0" t="n">
        <v>86.66</v>
      </c>
      <c r="M81" s="12">
        <f>IF(COUNT(L76:L81)=6,(AVERAGE(L79:L81)/AVERAGE(L76:L78))^4-1,"")</f>
        <v/>
      </c>
      <c r="N81" s="10" t="n">
        <v>84.90000000000001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0" t="n">
        <v>84.48</v>
      </c>
      <c r="S81" s="12">
        <f>IF(COUNT(R76:R81)=6,(AVERAGE(R79:R81)/AVERAGE(R76:R78))^4-1,"")</f>
        <v/>
      </c>
      <c r="T81" s="10" t="n">
        <v>82.51000000000001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0" t="n">
        <v>81.90000000000001</v>
      </c>
      <c r="Y81" s="12">
        <f>IF(COUNT(X76:X81)=6,(AVERAGE(X79:X81)/AVERAGE(X76:X78))^4-1,"")</f>
        <v/>
      </c>
      <c r="Z81" s="10" t="n">
        <v>85.37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0" t="n">
        <v>85.29000000000001</v>
      </c>
      <c r="AE81" s="12">
        <f>IF(COUNT(AD76:AD81)=6,(AVERAGE(AD79:AD81)/AVERAGE(AD76:AD78))^4-1,"")</f>
        <v/>
      </c>
      <c r="AF81" s="10" t="n">
        <v>78.23999999999999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0" t="n">
        <v>77.86</v>
      </c>
      <c r="AK81" s="12">
        <f>IF(COUNT(AJ76:AJ81)=6,(AVERAGE(AJ79:AJ81)/AVERAGE(AJ76:AJ78))^4-1,"")</f>
        <v/>
      </c>
      <c r="AL81" s="10" t="n">
        <v>74.40000000000001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0" t="n">
        <v>74.40000000000001</v>
      </c>
      <c r="AQ81" s="12">
        <f>IF(COUNT(AP76:AP81)=6,(AVERAGE(AP79:AP81)/AVERAGE(AP76:AP78))^4-1,"")</f>
        <v/>
      </c>
      <c r="AR81" s="10" t="n">
        <v>85.15000000000001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85.1108</v>
      </c>
      <c r="AW81" s="12">
        <f>IF(COUNT(AV76:AV81)=6,(AVERAGE(AV79:AV81)/AVERAGE(AV76:AV78))^4-1,"")</f>
        <v/>
      </c>
    </row>
    <row r="82">
      <c r="A82" s="9" t="n">
        <v>44348</v>
      </c>
      <c r="B82" s="10" t="n">
        <v>83.65000000000001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0" t="n">
        <v>83.27</v>
      </c>
      <c r="G82" s="12">
        <f>IF(COUNT(F77:F82)=6,(AVERAGE(F80:F82)/AVERAGE(F77:F79))^4-1,"")</f>
        <v/>
      </c>
      <c r="H82" s="10" t="n">
        <v>87.29000000000001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0" t="n">
        <v>86.81</v>
      </c>
      <c r="M82" s="12">
        <f>IF(COUNT(L77:L82)=6,(AVERAGE(L80:L82)/AVERAGE(L77:L79))^4-1,"")</f>
        <v/>
      </c>
      <c r="N82" s="10" t="n">
        <v>85.02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0" t="n">
        <v>84.59</v>
      </c>
      <c r="S82" s="12">
        <f>IF(COUNT(R77:R82)=6,(AVERAGE(R80:R82)/AVERAGE(R77:R79))^4-1,"")</f>
        <v/>
      </c>
      <c r="T82" s="10" t="n">
        <v>82.68000000000001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0" t="n">
        <v>82.20999999999999</v>
      </c>
      <c r="Y82" s="12">
        <f>IF(COUNT(X77:X82)=6,(AVERAGE(X80:X82)/AVERAGE(X77:X79))^4-1,"")</f>
        <v/>
      </c>
      <c r="Z82" s="10" t="n">
        <v>85.67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0" t="n">
        <v>85.33</v>
      </c>
      <c r="AE82" s="12">
        <f>IF(COUNT(AD77:AD82)=6,(AVERAGE(AD80:AD82)/AVERAGE(AD77:AD79))^4-1,"")</f>
        <v/>
      </c>
      <c r="AF82" s="10" t="n">
        <v>78.09999999999999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0" t="n">
        <v>77.84</v>
      </c>
      <c r="AK82" s="12">
        <f>IF(COUNT(AJ77:AJ82)=6,(AVERAGE(AJ80:AJ82)/AVERAGE(AJ77:AJ79))^4-1,"")</f>
        <v/>
      </c>
      <c r="AL82" s="10" t="n">
        <v>75.34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0" t="n">
        <v>75.34</v>
      </c>
      <c r="AQ82" s="12">
        <f>IF(COUNT(AP77:AP82)=6,(AVERAGE(AP80:AP82)/AVERAGE(AP77:AP79))^4-1,"")</f>
        <v/>
      </c>
      <c r="AR82" s="10" t="n">
        <v>85.78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85.8811</v>
      </c>
      <c r="AW82" s="12">
        <f>IF(COUNT(AV77:AV82)=6,(AVERAGE(AV80:AV82)/AVERAGE(AV77:AV79))^4-1,"")</f>
        <v/>
      </c>
    </row>
    <row r="83">
      <c r="A83" s="9" t="n">
        <v>44378</v>
      </c>
      <c r="B83" s="10" t="n">
        <v>83.58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0" t="n">
        <v>83.67</v>
      </c>
      <c r="G83" s="12">
        <f>IF(COUNT(F78:F83)=6,(AVERAGE(F81:F83)/AVERAGE(F78:F80))^4-1,"")</f>
        <v/>
      </c>
      <c r="H83" s="10" t="n">
        <v>86.91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0" t="n">
        <v>87.06999999999999</v>
      </c>
      <c r="M83" s="12">
        <f>IF(COUNT(L78:L83)=6,(AVERAGE(L81:L83)/AVERAGE(L78:L80))^4-1,"")</f>
        <v/>
      </c>
      <c r="N83" s="10" t="n">
        <v>84.73999999999999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0" t="n">
        <v>84.84999999999999</v>
      </c>
      <c r="S83" s="12">
        <f>IF(COUNT(R78:R83)=6,(AVERAGE(R81:R83)/AVERAGE(R78:R80))^4-1,"")</f>
        <v/>
      </c>
      <c r="T83" s="10" t="n">
        <v>82.08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0" t="n">
        <v>82.81999999999999</v>
      </c>
      <c r="Y83" s="12">
        <f>IF(COUNT(X78:X83)=6,(AVERAGE(X81:X83)/AVERAGE(X78:X80))^4-1,"")</f>
        <v/>
      </c>
      <c r="Z83" s="10" t="n">
        <v>86.34999999999999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0" t="n">
        <v>85.43000000000001</v>
      </c>
      <c r="AE83" s="12">
        <f>IF(COUNT(AD78:AD83)=6,(AVERAGE(AD81:AD83)/AVERAGE(AD78:AD80))^4-1,"")</f>
        <v/>
      </c>
      <c r="AF83" s="10" t="n">
        <v>78.11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0" t="n">
        <v>78.09999999999999</v>
      </c>
      <c r="AK83" s="12">
        <f>IF(COUNT(AJ78:AJ83)=6,(AVERAGE(AJ81:AJ83)/AVERAGE(AJ78:AJ80))^4-1,"")</f>
        <v/>
      </c>
      <c r="AL83" s="10" t="n">
        <v>76.88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0" t="n">
        <v>76.88</v>
      </c>
      <c r="AQ83" s="12">
        <f>IF(COUNT(AP78:AP83)=6,(AVERAGE(AP81:AP83)/AVERAGE(AP78:AP80))^4-1,"")</f>
        <v/>
      </c>
      <c r="AR83" s="10" t="n">
        <v>87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86.45480000000001</v>
      </c>
      <c r="AW83" s="12">
        <f>IF(COUNT(AV78:AV83)=6,(AVERAGE(AV81:AV83)/AVERAGE(AV78:AV80))^4-1,"")</f>
        <v/>
      </c>
    </row>
    <row r="84">
      <c r="A84" s="9" t="n">
        <v>44409</v>
      </c>
      <c r="B84" s="10" t="n">
        <v>83.87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0" t="n">
        <v>83.95999999999999</v>
      </c>
      <c r="G84" s="12">
        <f>IF(COUNT(F79:F84)=6,(AVERAGE(F82:F84)/AVERAGE(F79:F81))^4-1,"")</f>
        <v/>
      </c>
      <c r="H84" s="10" t="n">
        <v>87.14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0" t="n">
        <v>87.23</v>
      </c>
      <c r="M84" s="12">
        <f>IF(COUNT(L79:L84)=6,(AVERAGE(L82:L84)/AVERAGE(L79:L81))^4-1,"")</f>
        <v/>
      </c>
      <c r="N84" s="10" t="n">
        <v>84.97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0" t="n">
        <v>85.06999999999999</v>
      </c>
      <c r="S84" s="12">
        <f>IF(COUNT(R79:R84)=6,(AVERAGE(R82:R84)/AVERAGE(R79:R81))^4-1,"")</f>
        <v/>
      </c>
      <c r="T84" s="10" t="n">
        <v>82.39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0" t="n">
        <v>83.15000000000001</v>
      </c>
      <c r="Y84" s="12">
        <f>IF(COUNT(X79:X84)=6,(AVERAGE(X82:X84)/AVERAGE(X79:X81))^4-1,"")</f>
        <v/>
      </c>
      <c r="Z84" s="10" t="n">
        <v>86.62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0" t="n">
        <v>85.64</v>
      </c>
      <c r="AE84" s="12">
        <f>IF(COUNT(AD79:AD84)=6,(AVERAGE(AD82:AD84)/AVERAGE(AD79:AD81))^4-1,"")</f>
        <v/>
      </c>
      <c r="AF84" s="10" t="n">
        <v>78.31999999999999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0" t="n">
        <v>78.48</v>
      </c>
      <c r="AK84" s="12">
        <f>IF(COUNT(AJ79:AJ84)=6,(AVERAGE(AJ82:AJ84)/AVERAGE(AJ79:AJ81))^4-1,"")</f>
        <v/>
      </c>
      <c r="AL84" s="10" t="n">
        <v>77.63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0" t="n">
        <v>77.63</v>
      </c>
      <c r="AQ84" s="12">
        <f>IF(COUNT(AP79:AP84)=6,(AVERAGE(AP82:AP84)/AVERAGE(AP79:AP81))^4-1,"")</f>
        <v/>
      </c>
      <c r="AR84" s="10" t="n">
        <v>87.44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86.74590000000001</v>
      </c>
      <c r="AW84" s="12">
        <f>IF(COUNT(AV79:AV84)=6,(AVERAGE(AV82:AV84)/AVERAGE(AV79:AV81))^4-1,"")</f>
        <v/>
      </c>
    </row>
    <row r="85">
      <c r="A85" s="9" t="n">
        <v>44440</v>
      </c>
      <c r="B85" s="10" t="n">
        <v>84.26000000000001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0" t="n">
        <v>84.20999999999999</v>
      </c>
      <c r="G85" s="12">
        <f>IF(COUNT(F80:F85)=6,(AVERAGE(F83:F85)/AVERAGE(F80:F82))^4-1,"")</f>
        <v/>
      </c>
      <c r="H85" s="10" t="n">
        <v>87.59999999999999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0" t="n">
        <v>87.42</v>
      </c>
      <c r="M85" s="12">
        <f>IF(COUNT(L80:L85)=6,(AVERAGE(L83:L85)/AVERAGE(L80:L82))^4-1,"")</f>
        <v/>
      </c>
      <c r="N85" s="10" t="n">
        <v>85.28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0" t="n">
        <v>85.22</v>
      </c>
      <c r="S85" s="12">
        <f>IF(COUNT(R80:R85)=6,(AVERAGE(R83:R85)/AVERAGE(R80:R82))^4-1,"")</f>
        <v/>
      </c>
      <c r="T85" s="10" t="n">
        <v>83.42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0" t="n">
        <v>83.34</v>
      </c>
      <c r="Y85" s="12">
        <f>IF(COUNT(X80:X85)=6,(AVERAGE(X83:X85)/AVERAGE(X80:X82))^4-1,"")</f>
        <v/>
      </c>
      <c r="Z85" s="10" t="n">
        <v>86.09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0" t="n">
        <v>85.98</v>
      </c>
      <c r="AE85" s="12">
        <f>IF(COUNT(AD80:AD85)=6,(AVERAGE(AD83:AD85)/AVERAGE(AD80:AD82))^4-1,"")</f>
        <v/>
      </c>
      <c r="AF85" s="10" t="n">
        <v>78.23999999999999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0" t="n">
        <v>78.53</v>
      </c>
      <c r="AK85" s="12">
        <f>IF(COUNT(AJ80:AJ85)=6,(AVERAGE(AJ83:AJ85)/AVERAGE(AJ80:AJ82))^4-1,"")</f>
        <v/>
      </c>
      <c r="AL85" s="10" t="n">
        <v>78.69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0" t="n">
        <v>78.69</v>
      </c>
      <c r="AQ85" s="12">
        <f>IF(COUNT(AP80:AP85)=6,(AVERAGE(AP83:AP85)/AVERAGE(AP80:AP82))^4-1,"")</f>
        <v/>
      </c>
      <c r="AR85" s="10" t="n">
        <v>87.14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86.7898</v>
      </c>
      <c r="AW85" s="12">
        <f>IF(COUNT(AV80:AV85)=6,(AVERAGE(AV83:AV85)/AVERAGE(AV80:AV82))^4-1,"")</f>
        <v/>
      </c>
    </row>
    <row r="86">
      <c r="A86" s="9" t="n">
        <v>44470</v>
      </c>
      <c r="B86" s="10" t="n">
        <v>84.98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0" t="n">
        <v>84.86</v>
      </c>
      <c r="G86" s="12">
        <f>IF(COUNT(F81:F86)=6,(AVERAGE(F84:F86)/AVERAGE(F81:F83))^4-1,"")</f>
        <v/>
      </c>
      <c r="H86" s="10" t="n">
        <v>87.86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0" t="n">
        <v>87.62</v>
      </c>
      <c r="M86" s="12">
        <f>IF(COUNT(L81:L86)=6,(AVERAGE(L84:L86)/AVERAGE(L81:L83))^4-1,"")</f>
        <v/>
      </c>
      <c r="N86" s="10" t="n">
        <v>85.53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0" t="n">
        <v>85.38</v>
      </c>
      <c r="S86" s="12">
        <f>IF(COUNT(R81:R86)=6,(AVERAGE(R84:R86)/AVERAGE(R81:R83))^4-1,"")</f>
        <v/>
      </c>
      <c r="T86" s="10" t="n">
        <v>84.62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0" t="n">
        <v>84.23999999999999</v>
      </c>
      <c r="Y86" s="12">
        <f>IF(COUNT(X81:X86)=6,(AVERAGE(X84:X86)/AVERAGE(X81:X83))^4-1,"")</f>
        <v/>
      </c>
      <c r="Z86" s="10" t="n">
        <v>86.12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0" t="n">
        <v>86.28</v>
      </c>
      <c r="AE86" s="12">
        <f>IF(COUNT(AD81:AD86)=6,(AVERAGE(AD84:AD86)/AVERAGE(AD81:AD83))^4-1,"")</f>
        <v/>
      </c>
      <c r="AF86" s="10" t="n">
        <v>78.42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0" t="n">
        <v>78.58</v>
      </c>
      <c r="AK86" s="12">
        <f>IF(COUNT(AJ81:AJ86)=6,(AVERAGE(AJ84:AJ86)/AVERAGE(AJ81:AJ83))^4-1,"")</f>
        <v/>
      </c>
      <c r="AL86" s="10" t="n">
        <v>83.12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0" t="n">
        <v>83.12</v>
      </c>
      <c r="AQ86" s="12">
        <f>IF(COUNT(AP81:AP86)=6,(AVERAGE(AP84:AP86)/AVERAGE(AP81:AP83))^4-1,"")</f>
        <v/>
      </c>
      <c r="AR86" s="10" t="n">
        <v>88.68000000000001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88.73260000000001</v>
      </c>
      <c r="AW86" s="12">
        <f>IF(COUNT(AV81:AV86)=6,(AVERAGE(AV84:AV86)/AVERAGE(AV81:AV83))^4-1,"")</f>
        <v/>
      </c>
    </row>
    <row r="87">
      <c r="A87" s="9" t="n">
        <v>44501</v>
      </c>
      <c r="B87" s="10" t="n">
        <v>85.36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0" t="n">
        <v>85.47</v>
      </c>
      <c r="G87" s="12">
        <f>IF(COUNT(F82:F87)=6,(AVERAGE(F85:F87)/AVERAGE(F82:F84))^4-1,"")</f>
        <v/>
      </c>
      <c r="H87" s="10" t="n">
        <v>87.89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0" t="n">
        <v>87.98999999999999</v>
      </c>
      <c r="M87" s="12">
        <f>IF(COUNT(L82:L87)=6,(AVERAGE(L85:L87)/AVERAGE(L82:L84))^4-1,"")</f>
        <v/>
      </c>
      <c r="N87" s="10" t="n">
        <v>85.64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0" t="n">
        <v>85.76000000000001</v>
      </c>
      <c r="S87" s="12">
        <f>IF(COUNT(R82:R87)=6,(AVERAGE(R85:R87)/AVERAGE(R82:R84))^4-1,"")</f>
        <v/>
      </c>
      <c r="T87" s="10" t="n">
        <v>85.36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0" t="n">
        <v>85</v>
      </c>
      <c r="Y87" s="12">
        <f>IF(COUNT(X82:X87)=6,(AVERAGE(X85:X87)/AVERAGE(X82:X84))^4-1,"")</f>
        <v/>
      </c>
      <c r="Z87" s="10" t="n">
        <v>85.95999999999999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0" t="n">
        <v>86.67</v>
      </c>
      <c r="AE87" s="12">
        <f>IF(COUNT(AD82:AD87)=6,(AVERAGE(AD85:AD87)/AVERAGE(AD82:AD84))^4-1,"")</f>
        <v/>
      </c>
      <c r="AF87" s="10" t="n">
        <v>78.76000000000001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0" t="n">
        <v>78.98999999999999</v>
      </c>
      <c r="AK87" s="12">
        <f>IF(COUNT(AJ82:AJ87)=6,(AVERAGE(AJ85:AJ87)/AVERAGE(AJ82:AJ84))^4-1,"")</f>
        <v/>
      </c>
      <c r="AL87" s="10" t="n">
        <v>85.56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0" t="n">
        <v>85.56</v>
      </c>
      <c r="AQ87" s="12">
        <f>IF(COUNT(AP82:AP87)=6,(AVERAGE(AP85:AP87)/AVERAGE(AP82:AP84))^4-1,"")</f>
        <v/>
      </c>
      <c r="AR87" s="10" t="n">
        <v>89.56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90.09350000000001</v>
      </c>
      <c r="AW87" s="12">
        <f>IF(COUNT(AV82:AV87)=6,(AVERAGE(AV85:AV87)/AVERAGE(AV82:AV84))^4-1,"")</f>
        <v/>
      </c>
    </row>
    <row r="88">
      <c r="A88" s="9" t="n">
        <v>44531</v>
      </c>
      <c r="B88" s="10" t="n">
        <v>85.72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0" t="n">
        <v>85.8</v>
      </c>
      <c r="G88" s="12">
        <f>IF(COUNT(F83:F88)=6,(AVERAGE(F86:F88)/AVERAGE(F83:F85))^4-1,"")</f>
        <v/>
      </c>
      <c r="H88" s="10" t="n">
        <v>88.23999999999999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0" t="n">
        <v>88.23</v>
      </c>
      <c r="M88" s="12">
        <f>IF(COUNT(L83:L88)=6,(AVERAGE(L86:L88)/AVERAGE(L83:L85))^4-1,"")</f>
        <v/>
      </c>
      <c r="N88" s="10" t="n">
        <v>86.01000000000001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0" t="n">
        <v>86.09999999999999</v>
      </c>
      <c r="S88" s="12">
        <f>IF(COUNT(R83:R88)=6,(AVERAGE(R86:R88)/AVERAGE(R83:R85))^4-1,"")</f>
        <v/>
      </c>
      <c r="T88" s="10" t="n">
        <v>85.65000000000001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0" t="n">
        <v>85.41</v>
      </c>
      <c r="Y88" s="12">
        <f>IF(COUNT(X83:X88)=6,(AVERAGE(X86:X88)/AVERAGE(X83:X85))^4-1,"")</f>
        <v/>
      </c>
      <c r="Z88" s="10" t="n">
        <v>86.44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0" t="n">
        <v>86.88</v>
      </c>
      <c r="AE88" s="12">
        <f>IF(COUNT(AD83:AD88)=6,(AVERAGE(AD86:AD88)/AVERAGE(AD83:AD85))^4-1,"")</f>
        <v/>
      </c>
      <c r="AF88" s="10" t="n">
        <v>79.22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0" t="n">
        <v>79.58</v>
      </c>
      <c r="AK88" s="12">
        <f>IF(COUNT(AJ83:AJ88)=6,(AVERAGE(AJ86:AJ88)/AVERAGE(AJ83:AJ85))^4-1,"")</f>
        <v/>
      </c>
      <c r="AL88" s="10" t="n">
        <v>85.87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0" t="n">
        <v>85.87</v>
      </c>
      <c r="AQ88" s="12">
        <f>IF(COUNT(AP83:AP88)=6,(AVERAGE(AP86:AP88)/AVERAGE(AP83:AP85))^4-1,"")</f>
        <v/>
      </c>
      <c r="AR88" s="10" t="n">
        <v>89.40000000000001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90.2847</v>
      </c>
      <c r="AW88" s="12">
        <f>IF(COUNT(AV83:AV88)=6,(AVERAGE(AV86:AV88)/AVERAGE(AV83:AV85))^4-1,"")</f>
        <v/>
      </c>
    </row>
    <row r="89">
      <c r="A89" s="9" t="n">
        <v>44562</v>
      </c>
      <c r="B89" s="10" t="n">
        <v>85.98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0" t="n">
        <v>86.70999999999999</v>
      </c>
      <c r="G89" s="12">
        <f>IF(COUNT(F84:F89)=6,(AVERAGE(F87:F89)/AVERAGE(F84:F86))^4-1,"")</f>
        <v/>
      </c>
      <c r="H89" s="10" t="n">
        <v>87.45999999999999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0" t="n">
        <v>88.58</v>
      </c>
      <c r="M89" s="12">
        <f>IF(COUNT(L84:L89)=6,(AVERAGE(L87:L89)/AVERAGE(L84:L86))^4-1,"")</f>
        <v/>
      </c>
      <c r="N89" s="10" t="n">
        <v>85.65000000000001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0" t="n">
        <v>86.47</v>
      </c>
      <c r="S89" s="12">
        <f>IF(COUNT(R84:R89)=6,(AVERAGE(R87:R89)/AVERAGE(R84:R86))^4-1,"")</f>
        <v/>
      </c>
      <c r="T89" s="10" t="n">
        <v>86.13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0" t="n">
        <v>86.81999999999999</v>
      </c>
      <c r="Y89" s="12">
        <f>IF(COUNT(X84:X89)=6,(AVERAGE(X87:X89)/AVERAGE(X84:X86))^4-1,"")</f>
        <v/>
      </c>
      <c r="Z89" s="10" t="n">
        <v>86.39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0" t="n">
        <v>87.09999999999999</v>
      </c>
      <c r="AE89" s="12">
        <f>IF(COUNT(AD84:AD89)=6,(AVERAGE(AD87:AD89)/AVERAGE(AD84:AD86))^4-1,"")</f>
        <v/>
      </c>
      <c r="AF89" s="10" t="n">
        <v>80.08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0" t="n">
        <v>80.06</v>
      </c>
      <c r="AK89" s="12">
        <f>IF(COUNT(AJ84:AJ89)=6,(AVERAGE(AJ87:AJ89)/AVERAGE(AJ84:AJ86))^4-1,"")</f>
        <v/>
      </c>
      <c r="AL89" s="10" t="n">
        <v>91.17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0" t="n">
        <v>91.17</v>
      </c>
      <c r="AQ89" s="12">
        <f>IF(COUNT(AP84:AP89)=6,(AVERAGE(AP87:AP89)/AVERAGE(AP84:AP86))^4-1,"")</f>
        <v/>
      </c>
      <c r="AR89" s="10" t="n">
        <v>90.08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90.6126</v>
      </c>
      <c r="AW89" s="12">
        <f>IF(COUNT(AV84:AV89)=6,(AVERAGE(AV87:AV89)/AVERAGE(AV84:AV86))^4-1,"")</f>
        <v/>
      </c>
    </row>
    <row r="90">
      <c r="A90" s="9" t="n">
        <v>44593</v>
      </c>
      <c r="B90" s="10" t="n">
        <v>86.79000000000001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0" t="n">
        <v>87.38</v>
      </c>
      <c r="G90" s="12">
        <f>IF(COUNT(F85:F90)=6,(AVERAGE(F88:F90)/AVERAGE(F85:F87))^4-1,"")</f>
        <v/>
      </c>
      <c r="H90" s="10" t="n">
        <v>87.93000000000001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0" t="n">
        <v>88.84999999999999</v>
      </c>
      <c r="M90" s="12">
        <f>IF(COUNT(L85:L90)=6,(AVERAGE(L88:L90)/AVERAGE(L85:L87))^4-1,"")</f>
        <v/>
      </c>
      <c r="N90" s="10" t="n">
        <v>86.17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0" t="n">
        <v>86.83</v>
      </c>
      <c r="S90" s="12">
        <f>IF(COUNT(R85:R90)=6,(AVERAGE(R88:R90)/AVERAGE(R85:R87))^4-1,"")</f>
        <v/>
      </c>
      <c r="T90" s="10" t="n">
        <v>87.25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0" t="n">
        <v>87.84999999999999</v>
      </c>
      <c r="Y90" s="12">
        <f>IF(COUNT(X85:X90)=6,(AVERAGE(X88:X90)/AVERAGE(X85:X87))^4-1,"")</f>
        <v/>
      </c>
      <c r="Z90" s="10" t="n">
        <v>86.77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0" t="n">
        <v>87.25</v>
      </c>
      <c r="AE90" s="12">
        <f>IF(COUNT(AD85:AD90)=6,(AVERAGE(AD88:AD90)/AVERAGE(AD85:AD87))^4-1,"")</f>
        <v/>
      </c>
      <c r="AF90" s="10" t="n">
        <v>80.75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0" t="n">
        <v>80.66</v>
      </c>
      <c r="AK90" s="12">
        <f>IF(COUNT(AJ85:AJ90)=6,(AVERAGE(AJ88:AJ90)/AVERAGE(AJ85:AJ87))^4-1,"")</f>
        <v/>
      </c>
      <c r="AL90" s="10" t="n">
        <v>94.31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0" t="n">
        <v>94.31</v>
      </c>
      <c r="AQ90" s="12">
        <f>IF(COUNT(AP85:AP90)=6,(AVERAGE(AP88:AP90)/AVERAGE(AP85:AP87))^4-1,"")</f>
        <v/>
      </c>
      <c r="AR90" s="10" t="n">
        <v>91.77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91.8087</v>
      </c>
      <c r="AW90" s="12">
        <f>IF(COUNT(AV85:AV90)=6,(AVERAGE(AV88:AV90)/AVERAGE(AV85:AV87))^4-1,"")</f>
        <v/>
      </c>
    </row>
    <row r="91">
      <c r="A91" s="9" t="n">
        <v>44621</v>
      </c>
      <c r="B91" s="10" t="n">
        <v>88.90000000000001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0" t="n">
        <v>88.95999999999999</v>
      </c>
      <c r="G91" s="12">
        <f>IF(COUNT(F86:F91)=6,(AVERAGE(F89:F91)/AVERAGE(F86:F88))^4-1,"")</f>
        <v/>
      </c>
      <c r="H91" s="10" t="n">
        <v>88.98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0" t="n">
        <v>89.11</v>
      </c>
      <c r="M91" s="12">
        <f>IF(COUNT(L86:L91)=6,(AVERAGE(L89:L91)/AVERAGE(L86:L88))^4-1,"")</f>
        <v/>
      </c>
      <c r="N91" s="10" t="n">
        <v>87.14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0" t="n">
        <v>87.20999999999999</v>
      </c>
      <c r="S91" s="12">
        <f>IF(COUNT(R86:R91)=6,(AVERAGE(R89:R91)/AVERAGE(R86:R88))^4-1,"")</f>
        <v/>
      </c>
      <c r="T91" s="10" t="n">
        <v>90.64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0" t="n">
        <v>90.38</v>
      </c>
      <c r="Y91" s="12">
        <f>IF(COUNT(X86:X91)=6,(AVERAGE(X89:X91)/AVERAGE(X86:X88))^4-1,"")</f>
        <v/>
      </c>
      <c r="Z91" s="10" t="n">
        <v>87.09999999999999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0" t="n">
        <v>87.52</v>
      </c>
      <c r="AE91" s="12">
        <f>IF(COUNT(AD86:AD91)=6,(AVERAGE(AD89:AD91)/AVERAGE(AD86:AD88))^4-1,"")</f>
        <v/>
      </c>
      <c r="AF91" s="10" t="n">
        <v>81.48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0" t="n">
        <v>81.38</v>
      </c>
      <c r="AK91" s="12">
        <f>IF(COUNT(AJ86:AJ91)=6,(AVERAGE(AJ89:AJ91)/AVERAGE(AJ86:AJ88))^4-1,"")</f>
        <v/>
      </c>
      <c r="AL91" s="10" t="n">
        <v>105.8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0" t="n">
        <v>105.8</v>
      </c>
      <c r="AQ91" s="12">
        <f>IF(COUNT(AP86:AP91)=6,(AVERAGE(AP89:AP91)/AVERAGE(AP86:AP88))^4-1,"")</f>
        <v/>
      </c>
      <c r="AR91" s="10" t="n">
        <v>96.66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96.8986</v>
      </c>
      <c r="AW91" s="12">
        <f>IF(COUNT(AV86:AV91)=6,(AVERAGE(AV89:AV91)/AVERAGE(AV86:AV88))^4-1,"")</f>
        <v/>
      </c>
    </row>
    <row r="92">
      <c r="A92" s="9" t="n">
        <v>44652</v>
      </c>
      <c r="B92" s="10" t="n">
        <v>89.41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0" t="n">
        <v>89.06</v>
      </c>
      <c r="G92" s="12">
        <f>IF(COUNT(F87:F92)=6,(AVERAGE(F90:F92)/AVERAGE(F87:F89))^4-1,"")</f>
        <v/>
      </c>
      <c r="H92" s="10" t="n">
        <v>89.92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0" t="n">
        <v>89.51000000000001</v>
      </c>
      <c r="M92" s="12">
        <f>IF(COUNT(L87:L92)=6,(AVERAGE(L90:L92)/AVERAGE(L87:L89))^4-1,"")</f>
        <v/>
      </c>
      <c r="N92" s="10" t="n">
        <v>88.23999999999999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0" t="n">
        <v>87.84</v>
      </c>
      <c r="S92" s="12">
        <f>IF(COUNT(R87:R92)=6,(AVERAGE(R90:R92)/AVERAGE(R87:R89))^4-1,"")</f>
        <v/>
      </c>
      <c r="T92" s="10" t="n">
        <v>90.87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0" t="n">
        <v>90.29000000000001</v>
      </c>
      <c r="Y92" s="12">
        <f>IF(COUNT(X87:X92)=6,(AVERAGE(X90:X92)/AVERAGE(X87:X89))^4-1,"")</f>
        <v/>
      </c>
      <c r="Z92" s="10" t="n">
        <v>88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0" t="n">
        <v>87.87</v>
      </c>
      <c r="AE92" s="12">
        <f>IF(COUNT(AD87:AD92)=6,(AVERAGE(AD90:AD92)/AVERAGE(AD87:AD89))^4-1,"")</f>
        <v/>
      </c>
      <c r="AF92" s="10" t="n">
        <v>83.02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0" t="n">
        <v>82.66</v>
      </c>
      <c r="AK92" s="12">
        <f>IF(COUNT(AJ87:AJ92)=6,(AVERAGE(AJ90:AJ92)/AVERAGE(AJ87:AJ89))^4-1,"")</f>
        <v/>
      </c>
      <c r="AL92" s="10" t="n">
        <v>101.54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0" t="n">
        <v>101.54</v>
      </c>
      <c r="AQ92" s="12">
        <f>IF(COUNT(AP87:AP92)=6,(AVERAGE(AP90:AP92)/AVERAGE(AP87:AP89))^4-1,"")</f>
        <v/>
      </c>
      <c r="AR92" s="10" t="n">
        <v>95.59999999999999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94.9365</v>
      </c>
      <c r="AW92" s="12">
        <f>IF(COUNT(AV87:AV92)=6,(AVERAGE(AV90:AV92)/AVERAGE(AV87:AV89))^4-1,"")</f>
        <v/>
      </c>
    </row>
    <row r="93">
      <c r="A93" s="9" t="n">
        <v>44682</v>
      </c>
      <c r="B93" s="10" t="n">
        <v>90.15000000000001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0" t="n">
        <v>89.78</v>
      </c>
      <c r="G93" s="12">
        <f>IF(COUNT(F88:F93)=6,(AVERAGE(F91:F93)/AVERAGE(F88:F90))^4-1,"")</f>
        <v/>
      </c>
      <c r="H93" s="10" t="n">
        <v>90.34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0" t="n">
        <v>89.92</v>
      </c>
      <c r="M93" s="12">
        <f>IF(COUNT(L88:L93)=6,(AVERAGE(L91:L93)/AVERAGE(L88:L90))^4-1,"")</f>
        <v/>
      </c>
      <c r="N93" s="10" t="n">
        <v>88.83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0" t="n">
        <v>88.41</v>
      </c>
      <c r="S93" s="12">
        <f>IF(COUNT(R88:R93)=6,(AVERAGE(R91:R93)/AVERAGE(R88:R90))^4-1,"")</f>
        <v/>
      </c>
      <c r="T93" s="10" t="n">
        <v>91.90000000000001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0" t="n">
        <v>91.28</v>
      </c>
      <c r="Y93" s="12">
        <f>IF(COUNT(X88:X93)=6,(AVERAGE(X91:X93)/AVERAGE(X88:X90))^4-1,"")</f>
        <v/>
      </c>
      <c r="Z93" s="10" t="n">
        <v>88.34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0" t="n">
        <v>88.22</v>
      </c>
      <c r="AE93" s="12">
        <f>IF(COUNT(AD88:AD93)=6,(AVERAGE(AD91:AD93)/AVERAGE(AD88:AD90))^4-1,"")</f>
        <v/>
      </c>
      <c r="AF93" s="10" t="n">
        <v>84.09999999999999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0" t="n">
        <v>83.70999999999999</v>
      </c>
      <c r="AK93" s="12">
        <f>IF(COUNT(AJ88:AJ93)=6,(AVERAGE(AJ91:AJ93)/AVERAGE(AJ88:AJ90))^4-1,"")</f>
        <v/>
      </c>
      <c r="AL93" s="10" t="n">
        <v>103.52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0" t="n">
        <v>103.52</v>
      </c>
      <c r="AQ93" s="12">
        <f>IF(COUNT(AP88:AP93)=6,(AVERAGE(AP91:AP93)/AVERAGE(AP88:AP90))^4-1,"")</f>
        <v/>
      </c>
      <c r="AR93" s="10" t="n">
        <v>96.92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96.8622</v>
      </c>
      <c r="AW93" s="12">
        <f>IF(COUNT(AV88:AV93)=6,(AVERAGE(AV91:AV93)/AVERAGE(AV88:AV90))^4-1,"")</f>
        <v/>
      </c>
    </row>
    <row r="94">
      <c r="A94" s="9" t="n">
        <v>44713</v>
      </c>
      <c r="B94" s="10" t="n">
        <v>90.88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0" t="n">
        <v>90.48</v>
      </c>
      <c r="G94" s="12">
        <f>IF(COUNT(F89:F94)=6,(AVERAGE(F92:F94)/AVERAGE(F89:F91))^4-1,"")</f>
        <v/>
      </c>
      <c r="H94" s="10" t="n">
        <v>90.55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0" t="n">
        <v>90.04000000000001</v>
      </c>
      <c r="M94" s="12">
        <f>IF(COUNT(L89:L94)=6,(AVERAGE(L92:L94)/AVERAGE(L89:L91))^4-1,"")</f>
        <v/>
      </c>
      <c r="N94" s="10" t="n">
        <v>89.22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0" t="n">
        <v>88.77</v>
      </c>
      <c r="S94" s="12">
        <f>IF(COUNT(R89:R94)=6,(AVERAGE(R92:R94)/AVERAGE(R89:R91))^4-1,"")</f>
        <v/>
      </c>
      <c r="T94" s="10" t="n">
        <v>93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0" t="n">
        <v>92.51000000000001</v>
      </c>
      <c r="Y94" s="12">
        <f>IF(COUNT(X89:X94)=6,(AVERAGE(X92:X94)/AVERAGE(X89:X91))^4-1,"")</f>
        <v/>
      </c>
      <c r="Z94" s="10" t="n">
        <v>88.55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0" t="n">
        <v>88.16</v>
      </c>
      <c r="AE94" s="12">
        <f>IF(COUNT(AD89:AD94)=6,(AVERAGE(AD92:AD94)/AVERAGE(AD89:AD91))^4-1,"")</f>
        <v/>
      </c>
      <c r="AF94" s="10" t="n">
        <v>85.05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0" t="n">
        <v>84.78</v>
      </c>
      <c r="AK94" s="12">
        <f>IF(COUNT(AJ89:AJ94)=6,(AVERAGE(AJ92:AJ94)/AVERAGE(AJ89:AJ91))^4-1,"")</f>
        <v/>
      </c>
      <c r="AL94" s="10" t="n">
        <v>107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0" t="n">
        <v>107</v>
      </c>
      <c r="AQ94" s="12">
        <f>IF(COUNT(AP89:AP94)=6,(AVERAGE(AP92:AP94)/AVERAGE(AP89:AP91))^4-1,"")</f>
        <v/>
      </c>
      <c r="AR94" s="10" t="n">
        <v>97.98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98.1879</v>
      </c>
      <c r="AW94" s="12">
        <f>IF(COUNT(AV89:AV94)=6,(AVERAGE(AV92:AV94)/AVERAGE(AV89:AV91))^4-1,"")</f>
        <v/>
      </c>
    </row>
    <row r="95">
      <c r="A95" s="9" t="n">
        <v>44743</v>
      </c>
      <c r="B95" s="10" t="n">
        <v>90.98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0" t="n">
        <v>91.01000000000001</v>
      </c>
      <c r="G95" s="12">
        <f>IF(COUNT(F90:F95)=6,(AVERAGE(F93:F95)/AVERAGE(F90:F92))^4-1,"")</f>
        <v/>
      </c>
      <c r="H95" s="10" t="n">
        <v>90.40000000000001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0" t="n">
        <v>90.47</v>
      </c>
      <c r="M95" s="12">
        <f>IF(COUNT(L90:L95)=6,(AVERAGE(L93:L95)/AVERAGE(L90:L92))^4-1,"")</f>
        <v/>
      </c>
      <c r="N95" s="10" t="n">
        <v>89.3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0" t="n">
        <v>89.33</v>
      </c>
      <c r="S95" s="12">
        <f>IF(COUNT(R90:R95)=6,(AVERAGE(R93:R95)/AVERAGE(R90:R92))^4-1,"")</f>
        <v/>
      </c>
      <c r="T95" s="10" t="n">
        <v>92.45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0" t="n">
        <v>93.19</v>
      </c>
      <c r="Y95" s="12">
        <f>IF(COUNT(X90:X95)=6,(AVERAGE(X93:X95)/AVERAGE(X90:X92))^4-1,"")</f>
        <v/>
      </c>
      <c r="Z95" s="10" t="n">
        <v>89.58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0" t="n">
        <v>88.51000000000001</v>
      </c>
      <c r="AE95" s="12">
        <f>IF(COUNT(AD90:AD95)=6,(AVERAGE(AD93:AD95)/AVERAGE(AD90:AD92))^4-1,"")</f>
        <v/>
      </c>
      <c r="AF95" s="10" t="n">
        <v>85.78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0" t="n">
        <v>85.76000000000001</v>
      </c>
      <c r="AK95" s="12">
        <f>IF(COUNT(AJ90:AJ95)=6,(AVERAGE(AJ93:AJ95)/AVERAGE(AJ90:AJ92))^4-1,"")</f>
        <v/>
      </c>
      <c r="AL95" s="10" t="n">
        <v>107.31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0" t="n">
        <v>107.31</v>
      </c>
      <c r="AQ95" s="12">
        <f>IF(COUNT(AP90:AP95)=6,(AVERAGE(AP93:AP95)/AVERAGE(AP90:AP92))^4-1,"")</f>
        <v/>
      </c>
      <c r="AR95" s="10" t="n">
        <v>97.95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97.3092</v>
      </c>
      <c r="AW95" s="12">
        <f>IF(COUNT(AV90:AV95)=6,(AVERAGE(AV93:AV95)/AVERAGE(AV90:AV92))^4-1,"")</f>
        <v/>
      </c>
    </row>
    <row r="96">
      <c r="A96" s="9" t="n">
        <v>44774</v>
      </c>
      <c r="B96" s="10" t="n">
        <v>91.53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0" t="n">
        <v>91.58</v>
      </c>
      <c r="G96" s="12">
        <f>IF(COUNT(F91:F96)=6,(AVERAGE(F94:F96)/AVERAGE(F91:F93))^4-1,"")</f>
        <v/>
      </c>
      <c r="H96" s="10" t="n">
        <v>90.89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0" t="n">
        <v>90.92</v>
      </c>
      <c r="M96" s="12">
        <f>IF(COUNT(L91:L96)=6,(AVERAGE(L94:L96)/AVERAGE(L91:L93))^4-1,"")</f>
        <v/>
      </c>
      <c r="N96" s="10" t="n">
        <v>89.89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0" t="n">
        <v>89.93000000000001</v>
      </c>
      <c r="S96" s="12">
        <f>IF(COUNT(R91:R96)=6,(AVERAGE(R94:R96)/AVERAGE(R91:R93))^4-1,"")</f>
        <v/>
      </c>
      <c r="T96" s="10" t="n">
        <v>93.17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0" t="n">
        <v>93.92</v>
      </c>
      <c r="Y96" s="12">
        <f>IF(COUNT(X91:X96)=6,(AVERAGE(X94:X96)/AVERAGE(X91:X93))^4-1,"")</f>
        <v/>
      </c>
      <c r="Z96" s="10" t="n">
        <v>89.89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0" t="n">
        <v>88.84999999999999</v>
      </c>
      <c r="AE96" s="12">
        <f>IF(COUNT(AD91:AD96)=6,(AVERAGE(AD94:AD96)/AVERAGE(AD91:AD93))^4-1,"")</f>
        <v/>
      </c>
      <c r="AF96" s="10" t="n">
        <v>86.64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0" t="n">
        <v>86.8</v>
      </c>
      <c r="AK96" s="12">
        <f>IF(COUNT(AJ91:AJ96)=6,(AVERAGE(AJ94:AJ96)/AVERAGE(AJ91:AJ93))^4-1,"")</f>
        <v/>
      </c>
      <c r="AL96" s="10" t="n">
        <v>107.62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0" t="n">
        <v>107.62</v>
      </c>
      <c r="AQ96" s="12">
        <f>IF(COUNT(AP91:AP96)=6,(AVERAGE(AP94:AP96)/AVERAGE(AP91:AP93))^4-1,"")</f>
        <v/>
      </c>
      <c r="AR96" s="10" t="n">
        <v>96.04000000000001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95.26009999999999</v>
      </c>
      <c r="AW96" s="12">
        <f>IF(COUNT(AV91:AV96)=6,(AVERAGE(AV94:AV96)/AVERAGE(AV91:AV93))^4-1,"")</f>
        <v/>
      </c>
    </row>
    <row r="97">
      <c r="A97" s="9" t="n">
        <v>44805</v>
      </c>
      <c r="B97" s="10" t="n">
        <v>92.63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0" t="n">
        <v>92.56999999999999</v>
      </c>
      <c r="G97" s="12">
        <f>IF(COUNT(F92:F97)=6,(AVERAGE(F95:F97)/AVERAGE(F92:F94))^4-1,"")</f>
        <v/>
      </c>
      <c r="H97" s="10" t="n">
        <v>91.76000000000001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0" t="n">
        <v>91.56999999999999</v>
      </c>
      <c r="M97" s="12">
        <f>IF(COUNT(L92:L97)=6,(AVERAGE(L95:L97)/AVERAGE(L92:L94))^4-1,"")</f>
        <v/>
      </c>
      <c r="N97" s="10" t="n">
        <v>90.73999999999999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0" t="n">
        <v>90.67</v>
      </c>
      <c r="S97" s="12">
        <f>IF(COUNT(R92:R97)=6,(AVERAGE(R95:R97)/AVERAGE(R92:R94))^4-1,"")</f>
        <v/>
      </c>
      <c r="T97" s="10" t="n">
        <v>95.15000000000001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0" t="n">
        <v>95.06</v>
      </c>
      <c r="Y97" s="12">
        <f>IF(COUNT(X92:X97)=6,(AVERAGE(X95:X97)/AVERAGE(X92:X94))^4-1,"")</f>
        <v/>
      </c>
      <c r="Z97" s="10" t="n">
        <v>89.76000000000001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0" t="n">
        <v>89.63</v>
      </c>
      <c r="AE97" s="12">
        <f>IF(COUNT(AD92:AD97)=6,(AVERAGE(AD95:AD97)/AVERAGE(AD92:AD94))^4-1,"")</f>
        <v/>
      </c>
      <c r="AF97" s="10" t="n">
        <v>87.44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0" t="n">
        <v>87.77</v>
      </c>
      <c r="AK97" s="12">
        <f>IF(COUNT(AJ92:AJ97)=6,(AVERAGE(AJ95:AJ97)/AVERAGE(AJ92:AJ94))^4-1,"")</f>
        <v/>
      </c>
      <c r="AL97" s="10" t="n">
        <v>110.74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0" t="n">
        <v>110.74</v>
      </c>
      <c r="AQ97" s="12">
        <f>IF(COUNT(AP92:AP97)=6,(AVERAGE(AP95:AP97)/AVERAGE(AP92:AP94))^4-1,"")</f>
        <v/>
      </c>
      <c r="AR97" s="10" t="n">
        <v>96.58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96.02930000000001</v>
      </c>
      <c r="AW97" s="12">
        <f>IF(COUNT(AV92:AV97)=6,(AVERAGE(AV95:AV97)/AVERAGE(AV92:AV94))^4-1,"")</f>
        <v/>
      </c>
    </row>
    <row r="98">
      <c r="A98" s="9" t="n">
        <v>44835</v>
      </c>
      <c r="B98" s="10" t="n">
        <v>94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0" t="n">
        <v>93.87</v>
      </c>
      <c r="G98" s="12">
        <f>IF(COUNT(F93:F98)=6,(AVERAGE(F96:F98)/AVERAGE(F93:F95))^4-1,"")</f>
        <v/>
      </c>
      <c r="H98" s="10" t="n">
        <v>92.27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0" t="n">
        <v>92.01000000000001</v>
      </c>
      <c r="M98" s="12">
        <f>IF(COUNT(L93:L98)=6,(AVERAGE(L96:L98)/AVERAGE(L93:L95))^4-1,"")</f>
        <v/>
      </c>
      <c r="N98" s="10" t="n">
        <v>91.44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0" t="n">
        <v>91.28</v>
      </c>
      <c r="S98" s="12">
        <f>IF(COUNT(R93:R98)=6,(AVERAGE(R96:R98)/AVERAGE(R93:R95))^4-1,"")</f>
        <v/>
      </c>
      <c r="T98" s="10" t="n">
        <v>97.44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0" t="n">
        <v>97.02</v>
      </c>
      <c r="Y98" s="12">
        <f>IF(COUNT(X93:X98)=6,(AVERAGE(X96:X98)/AVERAGE(X93:X95))^4-1,"")</f>
        <v/>
      </c>
      <c r="Z98" s="10" t="n">
        <v>89.86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0" t="n">
        <v>89.98999999999999</v>
      </c>
      <c r="AE98" s="12">
        <f>IF(COUNT(AD93:AD98)=6,(AVERAGE(AD96:AD98)/AVERAGE(AD93:AD95))^4-1,"")</f>
        <v/>
      </c>
      <c r="AF98" s="10" t="n">
        <v>88.72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0" t="n">
        <v>88.89</v>
      </c>
      <c r="AK98" s="12">
        <f>IF(COUNT(AJ93:AJ98)=6,(AVERAGE(AJ96:AJ98)/AVERAGE(AJ93:AJ95))^4-1,"")</f>
        <v/>
      </c>
      <c r="AL98" s="10" t="n">
        <v>117.62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0" t="n">
        <v>117.62</v>
      </c>
      <c r="AQ98" s="12">
        <f>IF(COUNT(AP93:AP98)=6,(AVERAGE(AP96:AP98)/AVERAGE(AP93:AP95))^4-1,"")</f>
        <v/>
      </c>
      <c r="AR98" s="10" t="n">
        <v>97.45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97.5945</v>
      </c>
      <c r="AW98" s="12">
        <f>IF(COUNT(AV93:AV98)=6,(AVERAGE(AV96:AV98)/AVERAGE(AV93:AV95))^4-1,"")</f>
        <v/>
      </c>
    </row>
    <row r="99">
      <c r="A99" s="9" t="n">
        <v>44866</v>
      </c>
      <c r="B99" s="10" t="n">
        <v>93.94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0" t="n">
        <v>94.09</v>
      </c>
      <c r="G99" s="12">
        <f>IF(COUNT(F94:F99)=6,(AVERAGE(F97:F99)/AVERAGE(F94:F96))^4-1,"")</f>
        <v/>
      </c>
      <c r="H99" s="10" t="n">
        <v>92.27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0" t="n">
        <v>92.42</v>
      </c>
      <c r="M99" s="12">
        <f>IF(COUNT(L94:L99)=6,(AVERAGE(L97:L99)/AVERAGE(L94:L96))^4-1,"")</f>
        <v/>
      </c>
      <c r="N99" s="10" t="n">
        <v>91.64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0" t="n">
        <v>91.8</v>
      </c>
      <c r="S99" s="12">
        <f>IF(COUNT(R94:R99)=6,(AVERAGE(R97:R99)/AVERAGE(R94:R96))^4-1,"")</f>
        <v/>
      </c>
      <c r="T99" s="10" t="n">
        <v>97.51000000000001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0" t="n">
        <v>97.13</v>
      </c>
      <c r="Y99" s="12">
        <f>IF(COUNT(X94:X99)=6,(AVERAGE(X97:X99)/AVERAGE(X94:X96))^4-1,"")</f>
        <v/>
      </c>
      <c r="Z99" s="10" t="n">
        <v>89.59999999999999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0" t="n">
        <v>90.38</v>
      </c>
      <c r="AE99" s="12">
        <f>IF(COUNT(AD94:AD99)=6,(AVERAGE(AD97:AD99)/AVERAGE(AD94:AD96))^4-1,"")</f>
        <v/>
      </c>
      <c r="AF99" s="10" t="n">
        <v>89.48999999999999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0" t="n">
        <v>89.73999999999999</v>
      </c>
      <c r="AK99" s="12">
        <f>IF(COUNT(AJ94:AJ99)=6,(AVERAGE(AJ97:AJ99)/AVERAGE(AJ94:AJ96))^4-1,"")</f>
        <v/>
      </c>
      <c r="AL99" s="10" t="n">
        <v>115.41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0" t="n">
        <v>115.41</v>
      </c>
      <c r="AQ99" s="12">
        <f>IF(COUNT(AP94:AP99)=6,(AVERAGE(AP97:AP99)/AVERAGE(AP94:AP96))^4-1,"")</f>
        <v/>
      </c>
      <c r="AR99" s="10" t="n">
        <v>97.28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97.9991</v>
      </c>
      <c r="AW99" s="12">
        <f>IF(COUNT(AV94:AV99)=6,(AVERAGE(AV97:AV99)/AVERAGE(AV94:AV96))^4-1,"")</f>
        <v/>
      </c>
    </row>
    <row r="100">
      <c r="A100" s="9" t="n">
        <v>44896</v>
      </c>
      <c r="B100" s="10" t="n">
        <v>93.61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0" t="n">
        <v>93.73</v>
      </c>
      <c r="G100" s="12">
        <f>IF(COUNT(F95:F100)=6,(AVERAGE(F98:F100)/AVERAGE(F95:F97))^4-1,"")</f>
        <v/>
      </c>
      <c r="H100" s="10" t="n">
        <v>92.81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0" t="n">
        <v>92.86</v>
      </c>
      <c r="M100" s="12">
        <f>IF(COUNT(L95:L100)=6,(AVERAGE(L98:L100)/AVERAGE(L95:L97))^4-1,"")</f>
        <v/>
      </c>
      <c r="N100" s="10" t="n">
        <v>92.2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0" t="n">
        <v>92.34</v>
      </c>
      <c r="S100" s="12">
        <f>IF(COUNT(R95:R100)=6,(AVERAGE(R98:R100)/AVERAGE(R95:R97))^4-1,"")</f>
        <v/>
      </c>
      <c r="T100" s="10" t="n">
        <v>96.48999999999999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0" t="n">
        <v>96.25</v>
      </c>
      <c r="Y100" s="12">
        <f>IF(COUNT(X95:X100)=6,(AVERAGE(X98:X100)/AVERAGE(X95:X97))^4-1,"")</f>
        <v/>
      </c>
      <c r="Z100" s="10" t="n">
        <v>90.23999999999999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0" t="n">
        <v>90.76000000000001</v>
      </c>
      <c r="AE100" s="12">
        <f>IF(COUNT(AD95:AD100)=6,(AVERAGE(AD98:AD100)/AVERAGE(AD95:AD97))^4-1,"")</f>
        <v/>
      </c>
      <c r="AF100" s="10" t="n">
        <v>90.13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0" t="n">
        <v>90.53</v>
      </c>
      <c r="AK100" s="12">
        <f>IF(COUNT(AJ95:AJ100)=6,(AVERAGE(AJ98:AJ100)/AVERAGE(AJ95:AJ97))^4-1,"")</f>
        <v/>
      </c>
      <c r="AL100" s="10" t="n">
        <v>107.79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0" t="n">
        <v>107.79</v>
      </c>
      <c r="AQ100" s="12">
        <f>IF(COUNT(AP95:AP100)=6,(AVERAGE(AP98:AP100)/AVERAGE(AP95:AP97))^4-1,"")</f>
        <v/>
      </c>
      <c r="AR100" s="10" t="n">
        <v>95.56999999999999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96.6097</v>
      </c>
      <c r="AW100" s="12">
        <f>IF(COUNT(AV95:AV100)=6,(AVERAGE(AV98:AV100)/AVERAGE(AV95:AV97))^4-1,"")</f>
        <v/>
      </c>
    </row>
    <row r="101">
      <c r="A101" s="9" t="n">
        <v>44927</v>
      </c>
      <c r="B101" s="10" t="n">
        <v>93.41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0" t="n">
        <v>94.36</v>
      </c>
      <c r="G101" s="12">
        <f>IF(COUNT(F96:F101)=6,(AVERAGE(F99:F101)/AVERAGE(F96:F98))^4-1,"")</f>
        <v/>
      </c>
      <c r="H101" s="10" t="n">
        <v>92.09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0" t="n">
        <v>93.44</v>
      </c>
      <c r="M101" s="12">
        <f>IF(COUNT(L96:L101)=6,(AVERAGE(L99:L101)/AVERAGE(L96:L98))^4-1,"")</f>
        <v/>
      </c>
      <c r="N101" s="10" t="n">
        <v>91.93000000000001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0" t="n">
        <v>92.95999999999999</v>
      </c>
      <c r="S101" s="12">
        <f>IF(COUNT(R96:R101)=6,(AVERAGE(R99:R101)/AVERAGE(R96:R98))^4-1,"")</f>
        <v/>
      </c>
      <c r="T101" s="10" t="n">
        <v>96.19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0" t="n">
        <v>96.98</v>
      </c>
      <c r="Y101" s="12">
        <f>IF(COUNT(X96:X101)=6,(AVERAGE(X99:X101)/AVERAGE(X96:X98))^4-1,"")</f>
        <v/>
      </c>
      <c r="Z101" s="10" t="n">
        <v>90.16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0" t="n">
        <v>91.26000000000001</v>
      </c>
      <c r="AE101" s="12">
        <f>IF(COUNT(AD96:AD101)=6,(AVERAGE(AD99:AD101)/AVERAGE(AD96:AD98))^4-1,"")</f>
        <v/>
      </c>
      <c r="AF101" s="10" t="n">
        <v>91.36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0" t="n">
        <v>91.33</v>
      </c>
      <c r="AK101" s="12">
        <f>IF(COUNT(AJ96:AJ101)=6,(AVERAGE(AJ99:AJ101)/AVERAGE(AJ96:AJ98))^4-1,"")</f>
        <v/>
      </c>
      <c r="AL101" s="10" t="n">
        <v>108.4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0" t="n">
        <v>108.4</v>
      </c>
      <c r="AQ101" s="12">
        <f>IF(COUNT(AP96:AP101)=6,(AVERAGE(AP99:AP101)/AVERAGE(AP96:AP98))^4-1,"")</f>
        <v/>
      </c>
      <c r="AR101" s="10" t="n">
        <v>96.48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97.13509999999999</v>
      </c>
      <c r="AW101" s="12">
        <f>IF(COUNT(AV96:AV101)=6,(AVERAGE(AV99:AV101)/AVERAGE(AV96:AV98))^4-1,"")</f>
        <v/>
      </c>
    </row>
    <row r="102">
      <c r="A102" s="9" t="n">
        <v>44958</v>
      </c>
      <c r="B102" s="10" t="n">
        <v>94.17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0" t="n">
        <v>94.86</v>
      </c>
      <c r="G102" s="12">
        <f>IF(COUNT(F97:F102)=6,(AVERAGE(F100:F102)/AVERAGE(F97:F99))^4-1,"")</f>
        <v/>
      </c>
      <c r="H102" s="10" t="n">
        <v>92.86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0" t="n">
        <v>93.89</v>
      </c>
      <c r="M102" s="12">
        <f>IF(COUNT(L97:L102)=6,(AVERAGE(L100:L102)/AVERAGE(L97:L99))^4-1,"")</f>
        <v/>
      </c>
      <c r="N102" s="10" t="n">
        <v>92.87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0" t="n">
        <v>93.63</v>
      </c>
      <c r="S102" s="12">
        <f>IF(COUNT(R97:R102)=6,(AVERAGE(R100:R102)/AVERAGE(R97:R99))^4-1,"")</f>
        <v/>
      </c>
      <c r="T102" s="10" t="n">
        <v>96.92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0" t="n">
        <v>97.56</v>
      </c>
      <c r="Y102" s="12">
        <f>IF(COUNT(X97:X102)=6,(AVERAGE(X100:X102)/AVERAGE(X97:X99))^4-1,"")</f>
        <v/>
      </c>
      <c r="Z102" s="10" t="n">
        <v>90.95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0" t="n">
        <v>91.67</v>
      </c>
      <c r="AE102" s="12">
        <f>IF(COUNT(AD97:AD102)=6,(AVERAGE(AD100:AD102)/AVERAGE(AD97:AD99))^4-1,"")</f>
        <v/>
      </c>
      <c r="AF102" s="10" t="n">
        <v>92.88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0" t="n">
        <v>92.77</v>
      </c>
      <c r="AK102" s="12">
        <f>IF(COUNT(AJ97:AJ102)=6,(AVERAGE(AJ100:AJ102)/AVERAGE(AJ97:AJ99))^4-1,"")</f>
        <v/>
      </c>
      <c r="AL102" s="10" t="n">
        <v>107.21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0" t="n">
        <v>107.21</v>
      </c>
      <c r="AQ102" s="12">
        <f>IF(COUNT(AP97:AP102)=6,(AVERAGE(AP100:AP102)/AVERAGE(AP97:AP99))^4-1,"")</f>
        <v/>
      </c>
      <c r="AR102" s="10" t="n">
        <v>97.06999999999999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97.12009999999999</v>
      </c>
      <c r="AW102" s="12">
        <f>IF(COUNT(AV97:AV102)=6,(AVERAGE(AV100:AV102)/AVERAGE(AV97:AV99))^4-1,"")</f>
        <v/>
      </c>
    </row>
    <row r="103">
      <c r="A103" s="9" t="n">
        <v>44986</v>
      </c>
      <c r="B103" s="10" t="n">
        <v>95.02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0" t="n">
        <v>95.15000000000001</v>
      </c>
      <c r="G103" s="12">
        <f>IF(COUNT(F98:F103)=6,(AVERAGE(F101:F103)/AVERAGE(F98:F100))^4-1,"")</f>
        <v/>
      </c>
      <c r="H103" s="10" t="n">
        <v>94.02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0" t="n">
        <v>94.25</v>
      </c>
      <c r="M103" s="12">
        <f>IF(COUNT(L98:L103)=6,(AVERAGE(L101:L103)/AVERAGE(L98:L100))^4-1,"")</f>
        <v/>
      </c>
      <c r="N103" s="10" t="n">
        <v>94.04000000000001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0" t="n">
        <v>94.18000000000001</v>
      </c>
      <c r="S103" s="12">
        <f>IF(COUNT(R98:R103)=6,(AVERAGE(R101:R103)/AVERAGE(R98:R100))^4-1,"")</f>
        <v/>
      </c>
      <c r="T103" s="10" t="n">
        <v>98.02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0" t="n">
        <v>97.73999999999999</v>
      </c>
      <c r="Y103" s="12">
        <f>IF(COUNT(X98:X103)=6,(AVERAGE(X101:X103)/AVERAGE(X98:X100))^4-1,"")</f>
        <v/>
      </c>
      <c r="Z103" s="10" t="n">
        <v>91.5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0" t="n">
        <v>92.08</v>
      </c>
      <c r="AE103" s="12">
        <f>IF(COUNT(AD98:AD103)=6,(AVERAGE(AD101:AD103)/AVERAGE(AD98:AD100))^4-1,"")</f>
        <v/>
      </c>
      <c r="AF103" s="10" t="n">
        <v>94.06999999999999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0" t="n">
        <v>93.95</v>
      </c>
      <c r="AK103" s="12">
        <f>IF(COUNT(AJ98:AJ103)=6,(AVERAGE(AJ101:AJ103)/AVERAGE(AJ98:AJ100))^4-1,"")</f>
        <v/>
      </c>
      <c r="AL103" s="10" t="n">
        <v>104.83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0" t="n">
        <v>104.83</v>
      </c>
      <c r="AQ103" s="12">
        <f>IF(COUNT(AP98:AP103)=6,(AVERAGE(AP101:AP103)/AVERAGE(AP98:AP100))^4-1,"")</f>
        <v/>
      </c>
      <c r="AR103" s="10" t="n">
        <v>97.3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97.4408</v>
      </c>
      <c r="AW103" s="12">
        <f>IF(COUNT(AV98:AV103)=6,(AVERAGE(AV101:AV103)/AVERAGE(AV98:AV100))^4-1,"")</f>
        <v/>
      </c>
    </row>
    <row r="104">
      <c r="A104" s="9" t="n">
        <v>45017</v>
      </c>
      <c r="B104" s="10" t="n">
        <v>95.62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0" t="n">
        <v>95.23999999999999</v>
      </c>
      <c r="G104" s="12">
        <f>IF(COUNT(F99:F104)=6,(AVERAGE(F102:F104)/AVERAGE(F99:F101))^4-1,"")</f>
        <v/>
      </c>
      <c r="H104" s="10" t="n">
        <v>94.95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0" t="n">
        <v>94.53</v>
      </c>
      <c r="M104" s="12">
        <f>IF(COUNT(L99:L104)=6,(AVERAGE(L102:L104)/AVERAGE(L99:L101))^4-1,"")</f>
        <v/>
      </c>
      <c r="N104" s="10" t="n">
        <v>94.79000000000001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0" t="n">
        <v>94.37</v>
      </c>
      <c r="S104" s="12">
        <f>IF(COUNT(R99:R104)=6,(AVERAGE(R102:R104)/AVERAGE(R99:R101))^4-1,"")</f>
        <v/>
      </c>
      <c r="T104" s="10" t="n">
        <v>98.25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0" t="n">
        <v>97.63</v>
      </c>
      <c r="Y104" s="12">
        <f>IF(COUNT(X99:X104)=6,(AVERAGE(X102:X104)/AVERAGE(X99:X101))^4-1,"")</f>
        <v/>
      </c>
      <c r="Z104" s="10" t="n">
        <v>92.56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0" t="n">
        <v>92.42</v>
      </c>
      <c r="AE104" s="12">
        <f>IF(COUNT(AD99:AD104)=6,(AVERAGE(AD102:AD104)/AVERAGE(AD99:AD101))^4-1,"")</f>
        <v/>
      </c>
      <c r="AF104" s="10" t="n">
        <v>94.23999999999999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0" t="n">
        <v>93.84999999999999</v>
      </c>
      <c r="AK104" s="12">
        <f>IF(COUNT(AJ99:AJ104)=6,(AVERAGE(AJ102:AJ104)/AVERAGE(AJ99:AJ101))^4-1,"")</f>
        <v/>
      </c>
      <c r="AL104" s="10" t="n">
        <v>103.88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0" t="n">
        <v>103.88</v>
      </c>
      <c r="AQ104" s="12">
        <f>IF(COUNT(AP99:AP104)=6,(AVERAGE(AP102:AP104)/AVERAGE(AP99:AP101))^4-1,"")</f>
        <v/>
      </c>
      <c r="AR104" s="10" t="n">
        <v>98.56999999999999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97.6966</v>
      </c>
      <c r="AW104" s="12">
        <f>IF(COUNT(AV99:AV104)=6,(AVERAGE(AV102:AV104)/AVERAGE(AV99:AV101))^4-1,"")</f>
        <v/>
      </c>
    </row>
    <row r="105">
      <c r="A105" s="9" t="n">
        <v>45047</v>
      </c>
      <c r="B105" s="10" t="n">
        <v>95.65000000000001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0" t="n">
        <v>95.23999999999999</v>
      </c>
      <c r="G105" s="12">
        <f>IF(COUNT(F100:F105)=6,(AVERAGE(F103:F105)/AVERAGE(F100:F102))^4-1,"")</f>
        <v/>
      </c>
      <c r="H105" s="10" t="n">
        <v>95.17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0" t="n">
        <v>94.70999999999999</v>
      </c>
      <c r="M105" s="12">
        <f>IF(COUNT(L100:L105)=6,(AVERAGE(L103:L105)/AVERAGE(L100:L102))^4-1,"")</f>
        <v/>
      </c>
      <c r="N105" s="10" t="n">
        <v>95.04000000000001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0" t="n">
        <v>94.59</v>
      </c>
      <c r="S105" s="12">
        <f>IF(COUNT(R100:R105)=6,(AVERAGE(R103:R105)/AVERAGE(R100:R102))^4-1,"")</f>
        <v/>
      </c>
      <c r="T105" s="10" t="n">
        <v>98.13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0" t="n">
        <v>97.48</v>
      </c>
      <c r="Y105" s="12">
        <f>IF(COUNT(X100:X105)=6,(AVERAGE(X103:X105)/AVERAGE(X100:X102))^4-1,"")</f>
        <v/>
      </c>
      <c r="Z105" s="10" t="n">
        <v>92.77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0" t="n">
        <v>92.59999999999999</v>
      </c>
      <c r="AE105" s="12">
        <f>IF(COUNT(AD100:AD105)=6,(AVERAGE(AD103:AD105)/AVERAGE(AD100:AD102))^4-1,"")</f>
        <v/>
      </c>
      <c r="AF105" s="10" t="n">
        <v>94.59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0" t="n">
        <v>94.2</v>
      </c>
      <c r="AK105" s="12">
        <f>IF(COUNT(AJ100:AJ105)=6,(AVERAGE(AJ103:AJ105)/AVERAGE(AJ100:AJ102))^4-1,"")</f>
        <v/>
      </c>
      <c r="AL105" s="10" t="n">
        <v>101.68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0" t="n">
        <v>101.68</v>
      </c>
      <c r="AQ105" s="12">
        <f>IF(COUNT(AP100:AP105)=6,(AVERAGE(AP103:AP105)/AVERAGE(AP100:AP102))^4-1,"")</f>
        <v/>
      </c>
      <c r="AR105" s="10" t="n">
        <v>97.06999999999999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97.00620000000001</v>
      </c>
      <c r="AW105" s="12">
        <f>IF(COUNT(AV100:AV105)=6,(AVERAGE(AV103:AV105)/AVERAGE(AV100:AV102))^4-1,"")</f>
        <v/>
      </c>
    </row>
    <row r="106">
      <c r="A106" s="9" t="n">
        <v>45078</v>
      </c>
      <c r="B106" s="10" t="n">
        <v>95.90000000000001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0" t="n">
        <v>95.41</v>
      </c>
      <c r="G106" s="12">
        <f>IF(COUNT(F101:F106)=6,(AVERAGE(F104:F106)/AVERAGE(F101:F103))^4-1,"")</f>
        <v/>
      </c>
      <c r="H106" s="10" t="n">
        <v>95.51000000000001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0" t="n">
        <v>94.90000000000001</v>
      </c>
      <c r="M106" s="12">
        <f>IF(COUNT(L101:L106)=6,(AVERAGE(L104:L106)/AVERAGE(L101:L103))^4-1,"")</f>
        <v/>
      </c>
      <c r="N106" s="10" t="n">
        <v>95.38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0" t="n">
        <v>94.84999999999999</v>
      </c>
      <c r="S106" s="12">
        <f>IF(COUNT(R101:R106)=6,(AVERAGE(R104:R106)/AVERAGE(R101:R103))^4-1,"")</f>
        <v/>
      </c>
      <c r="T106" s="10" t="n">
        <v>98.09999999999999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0" t="n">
        <v>97.62</v>
      </c>
      <c r="Y106" s="12">
        <f>IF(COUNT(X101:X106)=6,(AVERAGE(X104:X106)/AVERAGE(X101:X103))^4-1,"")</f>
        <v/>
      </c>
      <c r="Z106" s="10" t="n">
        <v>93.34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0" t="n">
        <v>92.81999999999999</v>
      </c>
      <c r="AE106" s="12">
        <f>IF(COUNT(AD101:AD106)=6,(AVERAGE(AD104:AD106)/AVERAGE(AD101:AD103))^4-1,"")</f>
        <v/>
      </c>
      <c r="AF106" s="10" t="n">
        <v>94.92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0" t="n">
        <v>94.65000000000001</v>
      </c>
      <c r="AK106" s="12">
        <f>IF(COUNT(AJ101:AJ106)=6,(AVERAGE(AJ104:AJ106)/AVERAGE(AJ101:AJ103))^4-1,"")</f>
        <v/>
      </c>
      <c r="AL106" s="10" t="n">
        <v>101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0" t="n">
        <v>101</v>
      </c>
      <c r="AQ106" s="12">
        <f>IF(COUNT(AP101:AP106)=6,(AVERAGE(AP104:AP106)/AVERAGE(AP101:AP103))^4-1,"")</f>
        <v/>
      </c>
      <c r="AR106" s="10" t="n">
        <v>97.5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97.8022</v>
      </c>
      <c r="AW106" s="12">
        <f>IF(COUNT(AV101:AV106)=6,(AVERAGE(AV104:AV106)/AVERAGE(AV101:AV103))^4-1,"")</f>
        <v/>
      </c>
    </row>
    <row r="107">
      <c r="A107" s="9" t="n">
        <v>45108</v>
      </c>
      <c r="B107" s="10" t="n">
        <v>95.81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0" t="n">
        <v>95.64</v>
      </c>
      <c r="G107" s="12">
        <f>IF(COUNT(F102:F107)=6,(AVERAGE(F105:F107)/AVERAGE(F102:F104))^4-1,"")</f>
        <v/>
      </c>
      <c r="H107" s="10" t="n">
        <v>95.37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0" t="n">
        <v>95.13</v>
      </c>
      <c r="M107" s="12">
        <f>IF(COUNT(L102:L107)=6,(AVERAGE(L105:L107)/AVERAGE(L102:L104))^4-1,"")</f>
        <v/>
      </c>
      <c r="N107" s="10" t="n">
        <v>95.3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0" t="n">
        <v>95.11</v>
      </c>
      <c r="S107" s="12">
        <f>IF(COUNT(R102:R107)=6,(AVERAGE(R105:R107)/AVERAGE(R102:R104))^4-1,"")</f>
        <v/>
      </c>
      <c r="T107" s="10" t="n">
        <v>96.90000000000001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0" t="n">
        <v>97.73999999999999</v>
      </c>
      <c r="Y107" s="12">
        <f>IF(COUNT(X102:X107)=6,(AVERAGE(X105:X107)/AVERAGE(X102:X104))^4-1,"")</f>
        <v/>
      </c>
      <c r="Z107" s="10" t="n">
        <v>94.59999999999999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0" t="n">
        <v>93.17</v>
      </c>
      <c r="AE107" s="12">
        <f>IF(COUNT(AD102:AD107)=6,(AVERAGE(AD105:AD107)/AVERAGE(AD102:AD104))^4-1,"")</f>
        <v/>
      </c>
      <c r="AF107" s="10" t="n">
        <v>95.05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0" t="n">
        <v>95.02</v>
      </c>
      <c r="AK107" s="12">
        <f>IF(COUNT(AJ102:AJ107)=6,(AVERAGE(AJ105:AJ107)/AVERAGE(AJ102:AJ104))^4-1,"")</f>
        <v/>
      </c>
      <c r="AL107" s="10" t="n">
        <v>100.8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0" t="n">
        <v>100.8</v>
      </c>
      <c r="AQ107" s="12">
        <f>IF(COUNT(AP102:AP107)=6,(AVERAGE(AP105:AP107)/AVERAGE(AP102:AP104))^4-1,"")</f>
        <v/>
      </c>
      <c r="AR107" s="10" t="n">
        <v>98.81999999999999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98.1468</v>
      </c>
      <c r="AW107" s="12">
        <f>IF(COUNT(AV102:AV107)=6,(AVERAGE(AV105:AV107)/AVERAGE(AV102:AV104))^4-1,"")</f>
        <v/>
      </c>
    </row>
    <row r="108">
      <c r="A108" s="9" t="n">
        <v>45139</v>
      </c>
      <c r="B108" s="10" t="n">
        <v>96.33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0" t="n">
        <v>96.18000000000001</v>
      </c>
      <c r="G108" s="12">
        <f>IF(COUNT(F103:F108)=6,(AVERAGE(F106:F108)/AVERAGE(F103:F105))^4-1,"")</f>
        <v/>
      </c>
      <c r="H108" s="10" t="n">
        <v>95.69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0" t="n">
        <v>95.43000000000001</v>
      </c>
      <c r="M108" s="12">
        <f>IF(COUNT(L103:L108)=6,(AVERAGE(L106:L108)/AVERAGE(L103:L105))^4-1,"")</f>
        <v/>
      </c>
      <c r="N108" s="10" t="n">
        <v>95.56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0" t="n">
        <v>95.39</v>
      </c>
      <c r="S108" s="12">
        <f>IF(COUNT(R103:R108)=6,(AVERAGE(R106:R108)/AVERAGE(R103:R105))^4-1,"")</f>
        <v/>
      </c>
      <c r="T108" s="10" t="n">
        <v>97.69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0" t="n">
        <v>98.5</v>
      </c>
      <c r="Y108" s="12">
        <f>IF(COUNT(X103:X108)=6,(AVERAGE(X106:X108)/AVERAGE(X103:X105))^4-1,"")</f>
        <v/>
      </c>
      <c r="Z108" s="10" t="n">
        <v>94.81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0" t="n">
        <v>93.45</v>
      </c>
      <c r="AE108" s="12">
        <f>IF(COUNT(AD103:AD108)=6,(AVERAGE(AD106:AD108)/AVERAGE(AD103:AD105))^4-1,"")</f>
        <v/>
      </c>
      <c r="AF108" s="10" t="n">
        <v>95.08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0" t="n">
        <v>95.25</v>
      </c>
      <c r="AK108" s="12">
        <f>IF(COUNT(AJ103:AJ108)=6,(AVERAGE(AJ106:AJ108)/AVERAGE(AJ103:AJ105))^4-1,"")</f>
        <v/>
      </c>
      <c r="AL108" s="10" t="n">
        <v>104.08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0" t="n">
        <v>104.08</v>
      </c>
      <c r="AQ108" s="12">
        <f>IF(COUNT(AP103:AP108)=6,(AVERAGE(AP106:AP108)/AVERAGE(AP103:AP105))^4-1,"")</f>
        <v/>
      </c>
      <c r="AR108" s="10" t="n">
        <v>100.12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99.28279999999999</v>
      </c>
      <c r="AW108" s="12">
        <f>IF(COUNT(AV103:AV108)=6,(AVERAGE(AV106:AV108)/AVERAGE(AV103:AV105))^4-1,"")</f>
        <v/>
      </c>
    </row>
    <row r="109">
      <c r="A109" s="9" t="n">
        <v>45170</v>
      </c>
      <c r="B109" s="10" t="n">
        <v>96.64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0" t="n">
        <v>96.48999999999999</v>
      </c>
      <c r="G109" s="12">
        <f>IF(COUNT(F104:F109)=6,(AVERAGE(F107:F109)/AVERAGE(F104:F106))^4-1,"")</f>
        <v/>
      </c>
      <c r="H109" s="10" t="n">
        <v>95.91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0" t="n">
        <v>95.59</v>
      </c>
      <c r="M109" s="12">
        <f>IF(COUNT(L104:L109)=6,(AVERAGE(L107:L109)/AVERAGE(L104:L106))^4-1,"")</f>
        <v/>
      </c>
      <c r="N109" s="10" t="n">
        <v>95.73999999999999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0" t="n">
        <v>95.56999999999999</v>
      </c>
      <c r="S109" s="12">
        <f>IF(COUNT(R104:R109)=6,(AVERAGE(R107:R109)/AVERAGE(R104:R106))^4-1,"")</f>
        <v/>
      </c>
      <c r="T109" s="10" t="n">
        <v>98.92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0" t="n">
        <v>98.83</v>
      </c>
      <c r="Y109" s="12">
        <f>IF(COUNT(X104:X109)=6,(AVERAGE(X107:X109)/AVERAGE(X104:X106))^4-1,"")</f>
        <v/>
      </c>
      <c r="Z109" s="10" t="n">
        <v>94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0" t="n">
        <v>93.73</v>
      </c>
      <c r="AE109" s="12">
        <f>IF(COUNT(AD104:AD109)=6,(AVERAGE(AD107:AD109)/AVERAGE(AD104:AD106))^4-1,"")</f>
        <v/>
      </c>
      <c r="AF109" s="10" t="n">
        <v>95.14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0" t="n">
        <v>95.48</v>
      </c>
      <c r="AK109" s="12">
        <f>IF(COUNT(AJ104:AJ109)=6,(AVERAGE(AJ107:AJ109)/AVERAGE(AJ104:AJ106))^4-1,"")</f>
        <v/>
      </c>
      <c r="AL109" s="10" t="n">
        <v>105.67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0" t="n">
        <v>105.67</v>
      </c>
      <c r="AQ109" s="12">
        <f>IF(COUNT(AP104:AP109)=6,(AVERAGE(AP107:AP109)/AVERAGE(AP104:AP106))^4-1,"")</f>
        <v/>
      </c>
      <c r="AR109" s="10" t="n">
        <v>100.05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99.30200000000001</v>
      </c>
      <c r="AW109" s="12">
        <f>IF(COUNT(AV104:AV109)=6,(AVERAGE(AV107:AV109)/AVERAGE(AV104:AV106))^4-1,"")</f>
        <v/>
      </c>
    </row>
    <row r="110">
      <c r="A110" s="9" t="n">
        <v>45200</v>
      </c>
      <c r="B110" s="10" t="n">
        <v>96.73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0" t="n">
        <v>96.51000000000001</v>
      </c>
      <c r="G110" s="12">
        <f>IF(COUNT(F105:F110)=6,(AVERAGE(F108:F110)/AVERAGE(F105:F107))^4-1,"")</f>
        <v/>
      </c>
      <c r="H110" s="10" t="n">
        <v>96.13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0" t="n">
        <v>95.77</v>
      </c>
      <c r="M110" s="12">
        <f>IF(COUNT(L105:L110)=6,(AVERAGE(L108:L110)/AVERAGE(L105:L107))^4-1,"")</f>
        <v/>
      </c>
      <c r="N110" s="10" t="n">
        <v>95.95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0" t="n">
        <v>95.70999999999999</v>
      </c>
      <c r="S110" s="12">
        <f>IF(COUNT(R105:R110)=6,(AVERAGE(R108:R110)/AVERAGE(R105:R107))^4-1,"")</f>
        <v/>
      </c>
      <c r="T110" s="10" t="n">
        <v>99.08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0" t="n">
        <v>98.65000000000001</v>
      </c>
      <c r="Y110" s="12">
        <f>IF(COUNT(X105:X110)=6,(AVERAGE(X108:X110)/AVERAGE(X105:X107))^4-1,"")</f>
        <v/>
      </c>
      <c r="Z110" s="10" t="n">
        <v>93.98999999999999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0" t="n">
        <v>93.98</v>
      </c>
      <c r="AE110" s="12">
        <f>IF(COUNT(AD105:AD110)=6,(AVERAGE(AD108:AD110)/AVERAGE(AD105:AD107))^4-1,"")</f>
        <v/>
      </c>
      <c r="AF110" s="10" t="n">
        <v>95.33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0" t="n">
        <v>95.5</v>
      </c>
      <c r="AK110" s="12">
        <f>IF(COUNT(AJ105:AJ110)=6,(AVERAGE(AJ108:AJ110)/AVERAGE(AJ105:AJ107))^4-1,"")</f>
        <v/>
      </c>
      <c r="AL110" s="10" t="n">
        <v>104.46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0" t="n">
        <v>104.46</v>
      </c>
      <c r="AQ110" s="12">
        <f>IF(COUNT(AP105:AP110)=6,(AVERAGE(AP108:AP110)/AVERAGE(AP105:AP107))^4-1,"")</f>
        <v/>
      </c>
      <c r="AR110" s="10" t="n">
        <v>99.73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99.9659</v>
      </c>
      <c r="AW110" s="12">
        <f>IF(COUNT(AV105:AV110)=6,(AVERAGE(AV108:AV110)/AVERAGE(AV105:AV107))^4-1,"")</f>
        <v/>
      </c>
    </row>
    <row r="111">
      <c r="A111" s="9" t="n">
        <v>45231</v>
      </c>
      <c r="B111" s="10" t="n">
        <v>96.19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0" t="n">
        <v>96.47</v>
      </c>
      <c r="G111" s="12">
        <f>IF(COUNT(F106:F111)=6,(AVERAGE(F109:F111)/AVERAGE(F106:F108))^4-1,"")</f>
        <v/>
      </c>
      <c r="H111" s="10" t="n">
        <v>95.56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0" t="n">
        <v>95.88</v>
      </c>
      <c r="M111" s="12">
        <f>IF(COUNT(L106:L111)=6,(AVERAGE(L109:L111)/AVERAGE(L106:L108))^4-1,"")</f>
        <v/>
      </c>
      <c r="N111" s="10" t="n">
        <v>95.58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0" t="n">
        <v>95.89</v>
      </c>
      <c r="S111" s="12">
        <f>IF(COUNT(R106:R111)=6,(AVERAGE(R109:R111)/AVERAGE(R106:R108))^4-1,"")</f>
        <v/>
      </c>
      <c r="T111" s="10" t="n">
        <v>98.77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0" t="n">
        <v>98.40000000000001</v>
      </c>
      <c r="Y111" s="12">
        <f>IF(COUNT(X106:X111)=6,(AVERAGE(X109:X111)/AVERAGE(X106:X108))^4-1,"")</f>
        <v/>
      </c>
      <c r="Z111" s="10" t="n">
        <v>93.19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0" t="n">
        <v>94.2</v>
      </c>
      <c r="AE111" s="12">
        <f>IF(COUNT(AD106:AD111)=6,(AVERAGE(AD109:AD111)/AVERAGE(AD106:AD108))^4-1,"")</f>
        <v/>
      </c>
      <c r="AF111" s="10" t="n">
        <v>95.65000000000001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0" t="n">
        <v>95.89</v>
      </c>
      <c r="AK111" s="12">
        <f>IF(COUNT(AJ106:AJ111)=6,(AVERAGE(AJ109:AJ111)/AVERAGE(AJ106:AJ108))^4-1,"")</f>
        <v/>
      </c>
      <c r="AL111" s="10" t="n">
        <v>102.18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0" t="n">
        <v>102.18</v>
      </c>
      <c r="AQ111" s="12">
        <f>IF(COUNT(AP106:AP111)=6,(AVERAGE(AP109:AP111)/AVERAGE(AP106:AP108))^4-1,"")</f>
        <v/>
      </c>
      <c r="AR111" s="10" t="n">
        <v>98.11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98.98260000000001</v>
      </c>
      <c r="AW111" s="12">
        <f>IF(COUNT(AV106:AV111)=6,(AVERAGE(AV109:AV111)/AVERAGE(AV106:AV108))^4-1,"")</f>
        <v/>
      </c>
    </row>
    <row r="112">
      <c r="A112" s="9" t="n">
        <v>45261</v>
      </c>
      <c r="B112" s="10" t="n">
        <v>96.34999999999999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0" t="n">
        <v>96.51000000000001</v>
      </c>
      <c r="G112" s="12">
        <f>IF(COUNT(F107:F112)=6,(AVERAGE(F110:F112)/AVERAGE(F107:F109))^4-1,"")</f>
        <v/>
      </c>
      <c r="H112" s="10" t="n">
        <v>95.98999999999999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0" t="n">
        <v>96.11</v>
      </c>
      <c r="M112" s="12">
        <f>IF(COUNT(L107:L112)=6,(AVERAGE(L110:L112)/AVERAGE(L107:L109))^4-1,"")</f>
        <v/>
      </c>
      <c r="N112" s="10" t="n">
        <v>95.91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0" t="n">
        <v>96.09</v>
      </c>
      <c r="S112" s="12">
        <f>IF(COUNT(R107:R112)=6,(AVERAGE(R110:R112)/AVERAGE(R107:R109))^4-1,"")</f>
        <v/>
      </c>
      <c r="T112" s="10" t="n">
        <v>98.5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0" t="n">
        <v>98.29000000000001</v>
      </c>
      <c r="Y112" s="12">
        <f>IF(COUNT(X107:X112)=6,(AVERAGE(X110:X112)/AVERAGE(X107:X109))^4-1,"")</f>
        <v/>
      </c>
      <c r="Z112" s="10" t="n">
        <v>93.84999999999999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0" t="n">
        <v>94.43000000000001</v>
      </c>
      <c r="AE112" s="12">
        <f>IF(COUNT(AD107:AD112)=6,(AVERAGE(AD110:AD112)/AVERAGE(AD107:AD109))^4-1,"")</f>
        <v/>
      </c>
      <c r="AF112" s="10" t="n">
        <v>95.61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0" t="n">
        <v>96.03</v>
      </c>
      <c r="AK112" s="12">
        <f>IF(COUNT(AJ107:AJ112)=6,(AVERAGE(AJ110:AJ112)/AVERAGE(AJ107:AJ109))^4-1,"")</f>
        <v/>
      </c>
      <c r="AL112" s="10" t="n">
        <v>100.59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0" t="n">
        <v>100.59</v>
      </c>
      <c r="AQ112" s="12">
        <f>IF(COUNT(AP107:AP112)=6,(AVERAGE(AP110:AP112)/AVERAGE(AP107:AP109))^4-1,"")</f>
        <v/>
      </c>
      <c r="AR112" s="10" t="n">
        <v>97.94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99.10209999999999</v>
      </c>
      <c r="AW112" s="12">
        <f>IF(COUNT(AV107:AV112)=6,(AVERAGE(AV110:AV112)/AVERAGE(AV107:AV109))^4-1,"")</f>
        <v/>
      </c>
    </row>
    <row r="113">
      <c r="A113" s="9" t="n">
        <v>45292</v>
      </c>
      <c r="B113" s="10" t="n">
        <v>96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0" t="n">
        <v>96.95</v>
      </c>
      <c r="G113" s="12">
        <f>IF(COUNT(F108:F113)=6,(AVERAGE(F111:F113)/AVERAGE(F108:F110))^4-1,"")</f>
        <v/>
      </c>
      <c r="H113" s="10" t="n">
        <v>95.09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0" t="n">
        <v>96.44</v>
      </c>
      <c r="M113" s="12">
        <f>IF(COUNT(L108:L113)=6,(AVERAGE(L111:L113)/AVERAGE(L108:L110))^4-1,"")</f>
        <v/>
      </c>
      <c r="N113" s="10" t="n">
        <v>95.40000000000001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0" t="n">
        <v>96.45</v>
      </c>
      <c r="S113" s="12">
        <f>IF(COUNT(R108:R113)=6,(AVERAGE(R111:R113)/AVERAGE(R108:R110))^4-1,"")</f>
        <v/>
      </c>
      <c r="T113" s="10" t="n">
        <v>97.94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0" t="n">
        <v>98.72</v>
      </c>
      <c r="Y113" s="12">
        <f>IF(COUNT(X108:X113)=6,(AVERAGE(X111:X113)/AVERAGE(X108:X110))^4-1,"")</f>
        <v/>
      </c>
      <c r="Z113" s="10" t="n">
        <v>93.76000000000001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0" t="n">
        <v>94.88</v>
      </c>
      <c r="AE113" s="12">
        <f>IF(COUNT(AD108:AD113)=6,(AVERAGE(AD111:AD113)/AVERAGE(AD108:AD110))^4-1,"")</f>
        <v/>
      </c>
      <c r="AF113" s="10" t="n">
        <v>96.51000000000001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0" t="n">
        <v>96.47</v>
      </c>
      <c r="AK113" s="12">
        <f>IF(COUNT(AJ108:AJ113)=6,(AVERAGE(AJ111:AJ113)/AVERAGE(AJ108:AJ110))^4-1,"")</f>
        <v/>
      </c>
      <c r="AL113" s="10" t="n">
        <v>101.79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0" t="n">
        <v>101.79</v>
      </c>
      <c r="AQ113" s="12">
        <f>IF(COUNT(AP108:AP113)=6,(AVERAGE(AP111:AP113)/AVERAGE(AP108:AP110))^4-1,"")</f>
        <v/>
      </c>
      <c r="AR113" s="10" t="n">
        <v>97.38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98.129</v>
      </c>
      <c r="AW113" s="12">
        <f>IF(COUNT(AV108:AV113)=6,(AVERAGE(AV111:AV113)/AVERAGE(AV108:AV110))^4-1,"")</f>
        <v/>
      </c>
    </row>
    <row r="114">
      <c r="A114" s="9" t="n">
        <v>45323</v>
      </c>
      <c r="B114" s="10" t="n">
        <v>96.59999999999999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0" t="n">
        <v>97.26000000000001</v>
      </c>
      <c r="G114" s="12">
        <f>IF(COUNT(F109:F114)=6,(AVERAGE(F112:F114)/AVERAGE(F109:F111))^4-1,"")</f>
        <v/>
      </c>
      <c r="H114" s="10" t="n">
        <v>95.73999999999999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0" t="n">
        <v>96.7</v>
      </c>
      <c r="M114" s="12">
        <f>IF(COUNT(L109:L114)=6,(AVERAGE(L112:L114)/AVERAGE(L109:L111))^4-1,"")</f>
        <v/>
      </c>
      <c r="N114" s="10" t="n">
        <v>95.91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0" t="n">
        <v>96.64</v>
      </c>
      <c r="S114" s="12">
        <f>IF(COUNT(R109:R114)=6,(AVERAGE(R112:R114)/AVERAGE(R109:R111))^4-1,"")</f>
        <v/>
      </c>
      <c r="T114" s="10" t="n">
        <v>98.36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0" t="n">
        <v>98.95</v>
      </c>
      <c r="Y114" s="12">
        <f>IF(COUNT(X109:X114)=6,(AVERAGE(X112:X114)/AVERAGE(X109:X111))^4-1,"")</f>
        <v/>
      </c>
      <c r="Z114" s="10" t="n">
        <v>94.56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0" t="n">
        <v>95.28</v>
      </c>
      <c r="AE114" s="12">
        <f>IF(COUNT(AD109:AD114)=6,(AVERAGE(AD112:AD114)/AVERAGE(AD109:AD111))^4-1,"")</f>
        <v/>
      </c>
      <c r="AF114" s="10" t="n">
        <v>96.53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0" t="n">
        <v>96.40000000000001</v>
      </c>
      <c r="AK114" s="12">
        <f>IF(COUNT(AJ109:AJ114)=6,(AVERAGE(AJ112:AJ114)/AVERAGE(AJ109:AJ111))^4-1,"")</f>
        <v/>
      </c>
      <c r="AL114" s="10" t="n">
        <v>103.2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0" t="n">
        <v>103.2</v>
      </c>
      <c r="AQ114" s="12">
        <f>IF(COUNT(AP109:AP114)=6,(AVERAGE(AP112:AP114)/AVERAGE(AP109:AP111))^4-1,"")</f>
        <v/>
      </c>
      <c r="AR114" s="10" t="n">
        <v>98.68000000000001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98.74339999999999</v>
      </c>
      <c r="AW114" s="12">
        <f>IF(COUNT(AV109:AV114)=6,(AVERAGE(AV112:AV114)/AVERAGE(AV109:AV111))^4-1,"")</f>
        <v/>
      </c>
    </row>
    <row r="115">
      <c r="A115" s="9" t="n">
        <v>45352</v>
      </c>
      <c r="B115" s="10" t="n">
        <v>97.33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0" t="n">
        <v>97.41</v>
      </c>
      <c r="G115" s="12">
        <f>IF(COUNT(F110:F115)=6,(AVERAGE(F113:F115)/AVERAGE(F110:F112))^4-1,"")</f>
        <v/>
      </c>
      <c r="H115" s="10" t="n">
        <v>96.79000000000001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0" t="n">
        <v>96.95999999999999</v>
      </c>
      <c r="M115" s="12">
        <f>IF(COUNT(L110:L115)=6,(AVERAGE(L113:L115)/AVERAGE(L110:L112))^4-1,"")</f>
        <v/>
      </c>
      <c r="N115" s="10" t="n">
        <v>96.73999999999999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0" t="n">
        <v>96.84</v>
      </c>
      <c r="S115" s="12">
        <f>IF(COUNT(R110:R115)=6,(AVERAGE(R113:R115)/AVERAGE(R110:R112))^4-1,"")</f>
        <v/>
      </c>
      <c r="T115" s="10" t="n">
        <v>99.18000000000001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0" t="n">
        <v>98.90000000000001</v>
      </c>
      <c r="Y115" s="12">
        <f>IF(COUNT(X110:X115)=6,(AVERAGE(X113:X115)/AVERAGE(X110:X112))^4-1,"")</f>
        <v/>
      </c>
      <c r="Z115" s="10" t="n">
        <v>95.18000000000001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0" t="n">
        <v>95.68000000000001</v>
      </c>
      <c r="AE115" s="12">
        <f>IF(COUNT(AD110:AD115)=6,(AVERAGE(AD113:AD115)/AVERAGE(AD110:AD112))^4-1,"")</f>
        <v/>
      </c>
      <c r="AF115" s="10" t="n">
        <v>96.55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0" t="n">
        <v>96.41</v>
      </c>
      <c r="AK115" s="12">
        <f>IF(COUNT(AJ110:AJ115)=6,(AVERAGE(AJ113:AJ115)/AVERAGE(AJ110:AJ112))^4-1,"")</f>
        <v/>
      </c>
      <c r="AL115" s="10" t="n">
        <v>102.95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0" t="n">
        <v>102.95</v>
      </c>
      <c r="AQ115" s="12">
        <f>IF(COUNT(AP110:AP115)=6,(AVERAGE(AP113:AP115)/AVERAGE(AP110:AP112))^4-1,"")</f>
        <v/>
      </c>
      <c r="AR115" s="10" t="n">
        <v>99.42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99.4641</v>
      </c>
      <c r="AW115" s="12">
        <f>IF(COUNT(AV110:AV115)=6,(AVERAGE(AV113:AV115)/AVERAGE(AV110:AV112))^4-1,"")</f>
        <v/>
      </c>
    </row>
    <row r="116">
      <c r="A116" s="9" t="n">
        <v>45383</v>
      </c>
      <c r="B116" s="10" t="n">
        <v>97.89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0" t="n">
        <v>97.55</v>
      </c>
      <c r="G116" s="12">
        <f>IF(COUNT(F111:F116)=6,(AVERAGE(F114:F116)/AVERAGE(F111:F113))^4-1,"")</f>
        <v/>
      </c>
      <c r="H116" s="10" t="n">
        <v>97.47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0" t="n">
        <v>97.09999999999999</v>
      </c>
      <c r="M116" s="12">
        <f>IF(COUNT(L111:L116)=6,(AVERAGE(L114:L116)/AVERAGE(L111:L113))^4-1,"")</f>
        <v/>
      </c>
      <c r="N116" s="10" t="n">
        <v>97.34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0" t="n">
        <v>96.95999999999999</v>
      </c>
      <c r="S116" s="12">
        <f>IF(COUNT(R111:R116)=6,(AVERAGE(R114:R116)/AVERAGE(R111:R113))^4-1,"")</f>
        <v/>
      </c>
      <c r="T116" s="10" t="n">
        <v>99.54000000000001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0" t="n">
        <v>98.95</v>
      </c>
      <c r="Y116" s="12">
        <f>IF(COUNT(X111:X116)=6,(AVERAGE(X114:X116)/AVERAGE(X111:X113))^4-1,"")</f>
        <v/>
      </c>
      <c r="Z116" s="10" t="n">
        <v>95.98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0" t="n">
        <v>95.92</v>
      </c>
      <c r="AE116" s="12">
        <f>IF(COUNT(AD111:AD116)=6,(AVERAGE(AD114:AD116)/AVERAGE(AD111:AD113))^4-1,"")</f>
        <v/>
      </c>
      <c r="AF116" s="10" t="n">
        <v>96.84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0" t="n">
        <v>96.45999999999999</v>
      </c>
      <c r="AK116" s="12">
        <f>IF(COUNT(AJ111:AJ116)=6,(AVERAGE(AJ114:AJ116)/AVERAGE(AJ111:AJ113))^4-1,"")</f>
        <v/>
      </c>
      <c r="AL116" s="10" t="n">
        <v>103.23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0" t="n">
        <v>103.23</v>
      </c>
      <c r="AQ116" s="12">
        <f>IF(COUNT(AP111:AP116)=6,(AVERAGE(AP114:AP116)/AVERAGE(AP111:AP113))^4-1,"")</f>
        <v/>
      </c>
      <c r="AR116" s="10" t="n">
        <v>100.34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99.2543</v>
      </c>
      <c r="AW116" s="12">
        <f>IF(COUNT(AV111:AV116)=6,(AVERAGE(AV114:AV116)/AVERAGE(AV111:AV113))^4-1,"")</f>
        <v/>
      </c>
    </row>
    <row r="117">
      <c r="A117" s="9" t="n">
        <v>45413</v>
      </c>
      <c r="B117" s="10" t="n">
        <v>98.09999999999999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0" t="n">
        <v>97.67</v>
      </c>
      <c r="G117" s="12">
        <f>IF(COUNT(F112:F117)=6,(AVERAGE(F115:F117)/AVERAGE(F112:F114))^4-1,"")</f>
        <v/>
      </c>
      <c r="H117" s="10" t="n">
        <v>97.89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0" t="n">
        <v>97.39</v>
      </c>
      <c r="M117" s="12">
        <f>IF(COUNT(L112:L117)=6,(AVERAGE(L115:L117)/AVERAGE(L112:L114))^4-1,"")</f>
        <v/>
      </c>
      <c r="N117" s="10" t="n">
        <v>97.70999999999999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0" t="n">
        <v>97.23</v>
      </c>
      <c r="S117" s="12">
        <f>IF(COUNT(R112:R117)=6,(AVERAGE(R115:R117)/AVERAGE(R112:R114))^4-1,"")</f>
        <v/>
      </c>
      <c r="T117" s="10" t="n">
        <v>99.41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0" t="n">
        <v>98.79000000000001</v>
      </c>
      <c r="Y117" s="12">
        <f>IF(COUNT(X112:X117)=6,(AVERAGE(X115:X117)/AVERAGE(X112:X114))^4-1,"")</f>
        <v/>
      </c>
      <c r="Z117" s="10" t="n">
        <v>96.59999999999999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0" t="n">
        <v>96.37</v>
      </c>
      <c r="AE117" s="12">
        <f>IF(COUNT(AD112:AD117)=6,(AVERAGE(AD115:AD117)/AVERAGE(AD112:AD114))^4-1,"")</f>
        <v/>
      </c>
      <c r="AF117" s="10" t="n">
        <v>97.03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0" t="n">
        <v>96.65000000000001</v>
      </c>
      <c r="AK117" s="12">
        <f>IF(COUNT(AJ112:AJ117)=6,(AVERAGE(AJ115:AJ117)/AVERAGE(AJ112:AJ114))^4-1,"")</f>
        <v/>
      </c>
      <c r="AL117" s="10" t="n">
        <v>101.98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0" t="n">
        <v>101.98</v>
      </c>
      <c r="AQ117" s="12">
        <f>IF(COUNT(AP112:AP117)=6,(AVERAGE(AP115:AP117)/AVERAGE(AP112:AP114))^4-1,"")</f>
        <v/>
      </c>
      <c r="AR117" s="10" t="n">
        <v>99.81999999999999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99.7527</v>
      </c>
      <c r="AW117" s="12">
        <f>IF(COUNT(AV112:AV117)=6,(AVERAGE(AV115:AV117)/AVERAGE(AV112:AV114))^4-1,"")</f>
        <v/>
      </c>
    </row>
    <row r="118">
      <c r="A118" s="9" t="n">
        <v>45444</v>
      </c>
      <c r="B118" s="10" t="n">
        <v>98.31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0" t="n">
        <v>97.83</v>
      </c>
      <c r="G118" s="12">
        <f>IF(COUNT(F113:F118)=6,(AVERAGE(F116:F118)/AVERAGE(F113:F115))^4-1,"")</f>
        <v/>
      </c>
      <c r="H118" s="10" t="n">
        <v>98.23999999999999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0" t="n">
        <v>97.62</v>
      </c>
      <c r="M118" s="12">
        <f>IF(COUNT(L113:L118)=6,(AVERAGE(L116:L118)/AVERAGE(L113:L115))^4-1,"")</f>
        <v/>
      </c>
      <c r="N118" s="10" t="n">
        <v>98.02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0" t="n">
        <v>97.48</v>
      </c>
      <c r="S118" s="12">
        <f>IF(COUNT(R113:R118)=6,(AVERAGE(R116:R118)/AVERAGE(R113:R115))^4-1,"")</f>
        <v/>
      </c>
      <c r="T118" s="10" t="n">
        <v>99.29000000000001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0" t="n">
        <v>98.84999999999999</v>
      </c>
      <c r="Y118" s="12">
        <f>IF(COUNT(X113:X118)=6,(AVERAGE(X116:X118)/AVERAGE(X113:X115))^4-1,"")</f>
        <v/>
      </c>
      <c r="Z118" s="10" t="n">
        <v>97.19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0" t="n">
        <v>96.64</v>
      </c>
      <c r="AE118" s="12">
        <f>IF(COUNT(AD113:AD118)=6,(AVERAGE(AD116:AD118)/AVERAGE(AD113:AD115))^4-1,"")</f>
        <v/>
      </c>
      <c r="AF118" s="10" t="n">
        <v>97.22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0" t="n">
        <v>97</v>
      </c>
      <c r="AK118" s="12">
        <f>IF(COUNT(AJ113:AJ118)=6,(AVERAGE(AJ116:AJ118)/AVERAGE(AJ113:AJ115))^4-1,"")</f>
        <v/>
      </c>
      <c r="AL118" s="10" t="n">
        <v>101.19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0" t="n">
        <v>101.19</v>
      </c>
      <c r="AQ118" s="12">
        <f>IF(COUNT(AP113:AP118)=6,(AVERAGE(AP116:AP118)/AVERAGE(AP113:AP115))^4-1,"")</f>
        <v/>
      </c>
      <c r="AR118" s="10" t="n">
        <v>99.47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99.8725</v>
      </c>
      <c r="AW118" s="12">
        <f>IF(COUNT(AV113:AV118)=6,(AVERAGE(AV116:AV118)/AVERAGE(AV113:AV115))^4-1,"")</f>
        <v/>
      </c>
    </row>
    <row r="119">
      <c r="A119" s="9" t="n">
        <v>45474</v>
      </c>
      <c r="B119" s="10" t="n">
        <v>98.29000000000001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0" t="n">
        <v>98.06999999999999</v>
      </c>
      <c r="G119" s="12">
        <f>IF(COUNT(F114:F119)=6,(AVERAGE(F117:F119)/AVERAGE(F114:F116))^4-1,"")</f>
        <v/>
      </c>
      <c r="H119" s="10" t="n">
        <v>98.08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0" t="n">
        <v>97.79000000000001</v>
      </c>
      <c r="M119" s="12">
        <f>IF(COUNT(L114:L119)=6,(AVERAGE(L117:L119)/AVERAGE(L114:L116))^4-1,"")</f>
        <v/>
      </c>
      <c r="N119" s="10" t="n">
        <v>97.90000000000001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0" t="n">
        <v>97.66</v>
      </c>
      <c r="S119" s="12">
        <f>IF(COUNT(R114:R119)=6,(AVERAGE(R117:R119)/AVERAGE(R114:R116))^4-1,"")</f>
        <v/>
      </c>
      <c r="T119" s="10" t="n">
        <v>98.22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0" t="n">
        <v>99.05</v>
      </c>
      <c r="Y119" s="12">
        <f>IF(COUNT(X114:X119)=6,(AVERAGE(X117:X119)/AVERAGE(X114:X116))^4-1,"")</f>
        <v/>
      </c>
      <c r="Z119" s="10" t="n">
        <v>98.37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0" t="n">
        <v>96.92</v>
      </c>
      <c r="AE119" s="12">
        <f>IF(COUNT(AD114:AD119)=6,(AVERAGE(AD117:AD119)/AVERAGE(AD114:AD116))^4-1,"")</f>
        <v/>
      </c>
      <c r="AF119" s="10" t="n">
        <v>97.23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0" t="n">
        <v>97.2</v>
      </c>
      <c r="AK119" s="12">
        <f>IF(COUNT(AJ114:AJ119)=6,(AVERAGE(AJ117:AJ119)/AVERAGE(AJ114:AJ116))^4-1,"")</f>
        <v/>
      </c>
      <c r="AL119" s="10" t="n">
        <v>102.03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0" t="n">
        <v>102.03</v>
      </c>
      <c r="AQ119" s="12">
        <f>IF(COUNT(AP114:AP119)=6,(AVERAGE(AP117:AP119)/AVERAGE(AP114:AP116))^4-1,"")</f>
        <v/>
      </c>
      <c r="AR119" s="10" t="n">
        <v>100.53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99.81310000000001</v>
      </c>
      <c r="AW119" s="12">
        <f>IF(COUNT(AV114:AV119)=6,(AVERAGE(AV117:AV119)/AVERAGE(AV114:AV116))^4-1,"")</f>
        <v/>
      </c>
    </row>
    <row r="120">
      <c r="A120" s="9" t="n">
        <v>45505</v>
      </c>
      <c r="B120" s="10" t="n">
        <v>98.42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0" t="n">
        <v>98.2</v>
      </c>
      <c r="G120" s="12">
        <f>IF(COUNT(F115:F120)=6,(AVERAGE(F118:F120)/AVERAGE(F115:F117))^4-1,"")</f>
        <v/>
      </c>
      <c r="H120" s="10" t="n">
        <v>98.40000000000001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0" t="n">
        <v>98.04000000000001</v>
      </c>
      <c r="M120" s="12">
        <f>IF(COUNT(L115:L120)=6,(AVERAGE(L118:L120)/AVERAGE(L115:L117))^4-1,"")</f>
        <v/>
      </c>
      <c r="N120" s="10" t="n">
        <v>98.17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0" t="n">
        <v>97.92</v>
      </c>
      <c r="S120" s="12">
        <f>IF(COUNT(R115:R120)=6,(AVERAGE(R118:R120)/AVERAGE(R115:R117))^4-1,"")</f>
        <v/>
      </c>
      <c r="T120" s="10" t="n">
        <v>98.17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0" t="n">
        <v>98.95</v>
      </c>
      <c r="Y120" s="12">
        <f>IF(COUNT(X115:X120)=6,(AVERAGE(X118:X120)/AVERAGE(X115:X117))^4-1,"")</f>
        <v/>
      </c>
      <c r="Z120" s="10" t="n">
        <v>98.70999999999999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0" t="n">
        <v>97.33</v>
      </c>
      <c r="AE120" s="12">
        <f>IF(COUNT(AD115:AD120)=6,(AVERAGE(AD118:AD120)/AVERAGE(AD115:AD117))^4-1,"")</f>
        <v/>
      </c>
      <c r="AF120" s="10" t="n">
        <v>97.31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0" t="n">
        <v>97.47</v>
      </c>
      <c r="AK120" s="12">
        <f>IF(COUNT(AJ115:AJ120)=6,(AVERAGE(AJ118:AJ120)/AVERAGE(AJ115:AJ117))^4-1,"")</f>
        <v/>
      </c>
      <c r="AL120" s="10" t="n">
        <v>100.92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0" t="n">
        <v>100.92</v>
      </c>
      <c r="AQ120" s="12">
        <f>IF(COUNT(AP115:AP120)=6,(AVERAGE(AP118:AP120)/AVERAGE(AP115:AP117))^4-1,"")</f>
        <v/>
      </c>
      <c r="AR120" s="10" t="n">
        <v>100.1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99.2345</v>
      </c>
      <c r="AW120" s="12">
        <f>IF(COUNT(AV115:AV120)=6,(AVERAGE(AV118:AV120)/AVERAGE(AV115:AV117))^4-1,"")</f>
        <v/>
      </c>
    </row>
    <row r="121">
      <c r="A121" s="9" t="n">
        <v>45536</v>
      </c>
      <c r="B121" s="10" t="n">
        <v>98.33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0" t="n">
        <v>98.15000000000001</v>
      </c>
      <c r="G121" s="12">
        <f>IF(COUNT(F116:F121)=6,(AVERAGE(F119:F121)/AVERAGE(F116:F118))^4-1,"")</f>
        <v/>
      </c>
      <c r="H121" s="10" t="n">
        <v>98.47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0" t="n">
        <v>98.13</v>
      </c>
      <c r="M121" s="12">
        <f>IF(COUNT(L116:L121)=6,(AVERAGE(L119:L121)/AVERAGE(L116:L118))^4-1,"")</f>
        <v/>
      </c>
      <c r="N121" s="10" t="n">
        <v>98.23999999999999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0" t="n">
        <v>98.05</v>
      </c>
      <c r="S121" s="12">
        <f>IF(COUNT(R116:R121)=6,(AVERAGE(R119:R121)/AVERAGE(R116:R118))^4-1,"")</f>
        <v/>
      </c>
      <c r="T121" s="10" t="n">
        <v>98.89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0" t="n">
        <v>98.79000000000001</v>
      </c>
      <c r="Y121" s="12">
        <f>IF(COUNT(X116:X121)=6,(AVERAGE(X119:X121)/AVERAGE(X116:X118))^4-1,"")</f>
        <v/>
      </c>
      <c r="Z121" s="10" t="n">
        <v>97.68000000000001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0" t="n">
        <v>97.41</v>
      </c>
      <c r="AE121" s="12">
        <f>IF(COUNT(AD116:AD121)=6,(AVERAGE(AD119:AD121)/AVERAGE(AD116:AD118))^4-1,"")</f>
        <v/>
      </c>
      <c r="AF121" s="10" t="n">
        <v>97.42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0" t="n">
        <v>97.75</v>
      </c>
      <c r="AK121" s="12">
        <f>IF(COUNT(AJ116:AJ121)=6,(AVERAGE(AJ119:AJ121)/AVERAGE(AJ116:AJ118))^4-1,"")</f>
        <v/>
      </c>
      <c r="AL121" s="10" t="n">
        <v>99.23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0" t="n">
        <v>99.23</v>
      </c>
      <c r="AQ121" s="12">
        <f>IF(COUNT(AP116:AP121)=6,(AVERAGE(AP119:AP121)/AVERAGE(AP116:AP118))^4-1,"")</f>
        <v/>
      </c>
      <c r="AR121" s="10" t="n">
        <v>97.97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97.0556</v>
      </c>
      <c r="AW121" s="12">
        <f>IF(COUNT(AV116:AV121)=6,(AVERAGE(AV119:AV121)/AVERAGE(AV116:AV118))^4-1,"")</f>
        <v/>
      </c>
    </row>
    <row r="122">
      <c r="A122" s="9" t="n">
        <v>45566</v>
      </c>
      <c r="B122" s="10" t="n">
        <v>98.67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0" t="n">
        <v>98.43000000000001</v>
      </c>
      <c r="G122" s="12">
        <f>IF(COUNT(F117:F122)=6,(AVERAGE(F120:F122)/AVERAGE(F117:F119))^4-1,"")</f>
        <v/>
      </c>
      <c r="H122" s="10" t="n">
        <v>98.70999999999999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0" t="n">
        <v>98.33</v>
      </c>
      <c r="M122" s="12">
        <f>IF(COUNT(L117:L122)=6,(AVERAGE(L120:L122)/AVERAGE(L117:L119))^4-1,"")</f>
        <v/>
      </c>
      <c r="N122" s="10" t="n">
        <v>98.56999999999999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0" t="n">
        <v>98.31</v>
      </c>
      <c r="S122" s="12">
        <f>IF(COUNT(R117:R122)=6,(AVERAGE(R120:R122)/AVERAGE(R117:R119))^4-1,"")</f>
        <v/>
      </c>
      <c r="T122" s="10" t="n">
        <v>99.51000000000001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0" t="n">
        <v>99.09</v>
      </c>
      <c r="Y122" s="12">
        <f>IF(COUNT(X117:X122)=6,(AVERAGE(X120:X122)/AVERAGE(X117:X119))^4-1,"")</f>
        <v/>
      </c>
      <c r="Z122" s="10" t="n">
        <v>97.69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0" t="n">
        <v>97.65000000000001</v>
      </c>
      <c r="AE122" s="12">
        <f>IF(COUNT(AD117:AD122)=6,(AVERAGE(AD120:AD122)/AVERAGE(AD117:AD119))^4-1,"")</f>
        <v/>
      </c>
      <c r="AF122" s="10" t="n">
        <v>98.06999999999999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0" t="n">
        <v>98.23999999999999</v>
      </c>
      <c r="AK122" s="12">
        <f>IF(COUNT(AJ117:AJ122)=6,(AVERAGE(AJ120:AJ122)/AVERAGE(AJ117:AJ119))^4-1,"")</f>
        <v/>
      </c>
      <c r="AL122" s="10" t="n">
        <v>99.62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0" t="n">
        <v>99.62</v>
      </c>
      <c r="AQ122" s="12">
        <f>IF(COUNT(AP117:AP122)=6,(AVERAGE(AP120:AP122)/AVERAGE(AP117:AP119))^4-1,"")</f>
        <v/>
      </c>
      <c r="AR122" s="10" t="n">
        <v>98.52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98.848</v>
      </c>
      <c r="AW122" s="12">
        <f>IF(COUNT(AV117:AV122)=6,(AVERAGE(AV120:AV122)/AVERAGE(AV117:AV119))^4-1,"")</f>
        <v/>
      </c>
    </row>
    <row r="123">
      <c r="A123" s="9" t="n">
        <v>45597</v>
      </c>
      <c r="B123" s="10" t="n">
        <v>98.34999999999999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0" t="n">
        <v>98.64</v>
      </c>
      <c r="G123" s="12">
        <f>IF(COUNT(F118:F123)=6,(AVERAGE(F121:F123)/AVERAGE(F118:F120))^4-1,"")</f>
        <v/>
      </c>
      <c r="H123" s="10" t="n">
        <v>98.15000000000001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0" t="n">
        <v>98.5</v>
      </c>
      <c r="M123" s="12">
        <f>IF(COUNT(L118:L123)=6,(AVERAGE(L121:L123)/AVERAGE(L118:L120))^4-1,"")</f>
        <v/>
      </c>
      <c r="N123" s="10" t="n">
        <v>98.17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0" t="n">
        <v>98.48999999999999</v>
      </c>
      <c r="S123" s="12">
        <f>IF(COUNT(R118:R123)=6,(AVERAGE(R121:R123)/AVERAGE(R118:R120))^4-1,"")</f>
        <v/>
      </c>
      <c r="T123" s="10" t="n">
        <v>99.66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0" t="n">
        <v>99.31</v>
      </c>
      <c r="Y123" s="12">
        <f>IF(COUNT(X118:X123)=6,(AVERAGE(X121:X123)/AVERAGE(X118:X120))^4-1,"")</f>
        <v/>
      </c>
      <c r="Z123" s="10" t="n">
        <v>96.83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0" t="n">
        <v>97.86</v>
      </c>
      <c r="AE123" s="12">
        <f>IF(COUNT(AD118:AD123)=6,(AVERAGE(AD121:AD123)/AVERAGE(AD118:AD120))^4-1,"")</f>
        <v/>
      </c>
      <c r="AF123" s="10" t="n">
        <v>98.23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0" t="n">
        <v>98.45999999999999</v>
      </c>
      <c r="AK123" s="12">
        <f>IF(COUNT(AJ118:AJ123)=6,(AVERAGE(AJ121:AJ123)/AVERAGE(AJ118:AJ120))^4-1,"")</f>
        <v/>
      </c>
      <c r="AL123" s="10" t="n">
        <v>100.11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0" t="n">
        <v>100.11</v>
      </c>
      <c r="AQ123" s="12">
        <f>IF(COUNT(AP118:AP123)=6,(AVERAGE(AP121:AP123)/AVERAGE(AP118:AP120))^4-1,"")</f>
        <v/>
      </c>
      <c r="AR123" s="10" t="n">
        <v>98.06999999999999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99.1045</v>
      </c>
      <c r="AW123" s="12">
        <f>IF(COUNT(AV118:AV123)=6,(AVERAGE(AV121:AV123)/AVERAGE(AV118:AV120))^4-1,"")</f>
        <v/>
      </c>
    </row>
    <row r="124">
      <c r="A124" s="9" t="n">
        <v>45627</v>
      </c>
      <c r="B124" s="10" t="n">
        <v>98.69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0" t="n">
        <v>98.88</v>
      </c>
      <c r="G124" s="12">
        <f>IF(COUNT(F119:F124)=6,(AVERAGE(F122:F124)/AVERAGE(F119:F121))^4-1,"")</f>
        <v/>
      </c>
      <c r="H124" s="10" t="n">
        <v>98.59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0" t="n">
        <v>98.73999999999999</v>
      </c>
      <c r="M124" s="12">
        <f>IF(COUNT(L119:L124)=6,(AVERAGE(L122:L124)/AVERAGE(L119:L121))^4-1,"")</f>
        <v/>
      </c>
      <c r="N124" s="10" t="n">
        <v>98.48999999999999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0" t="n">
        <v>98.7</v>
      </c>
      <c r="S124" s="12">
        <f>IF(COUNT(R119:R124)=6,(AVERAGE(R122:R124)/AVERAGE(R119:R121))^4-1,"")</f>
        <v/>
      </c>
      <c r="T124" s="10" t="n">
        <v>99.67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0" t="n">
        <v>99.48</v>
      </c>
      <c r="Y124" s="12">
        <f>IF(COUNT(X119:X124)=6,(AVERAGE(X122:X124)/AVERAGE(X119:X121))^4-1,"")</f>
        <v/>
      </c>
      <c r="Z124" s="10" t="n">
        <v>97.56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0" t="n">
        <v>98.19</v>
      </c>
      <c r="AE124" s="12">
        <f>IF(COUNT(AD119:AD124)=6,(AVERAGE(AD122:AD124)/AVERAGE(AD119:AD121))^4-1,"")</f>
        <v/>
      </c>
      <c r="AF124" s="10" t="n">
        <v>98.11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0" t="n">
        <v>98.53</v>
      </c>
      <c r="AK124" s="12">
        <f>IF(COUNT(AJ119:AJ124)=6,(AVERAGE(AJ122:AJ124)/AVERAGE(AJ119:AJ121))^4-1,"")</f>
        <v/>
      </c>
      <c r="AL124" s="10" t="n">
        <v>100.73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0" t="n">
        <v>100.73</v>
      </c>
      <c r="AQ124" s="12">
        <f>IF(COUNT(AP119:AP124)=6,(AVERAGE(AP122:AP124)/AVERAGE(AP119:AP121))^4-1,"")</f>
        <v/>
      </c>
      <c r="AR124" s="10" t="n">
        <v>99.13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100.4002</v>
      </c>
      <c r="AW124" s="12">
        <f>IF(COUNT(AV119:AV124)=6,(AVERAGE(AV122:AV124)/AVERAGE(AV119:AV121))^4-1,"")</f>
        <v/>
      </c>
    </row>
    <row r="125">
      <c r="A125" s="9" t="n">
        <v>45658</v>
      </c>
      <c r="B125" s="10" t="n">
        <v>98.42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0" t="n">
        <v>99.34999999999999</v>
      </c>
      <c r="G125" s="12">
        <f>IF(COUNT(F120:F125)=6,(AVERAGE(F123:F125)/AVERAGE(F120:F122))^4-1,"")</f>
        <v/>
      </c>
      <c r="H125" s="10" t="n">
        <v>97.66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0" t="n">
        <v>98.97</v>
      </c>
      <c r="M125" s="12">
        <f>IF(COUNT(L120:L125)=6,(AVERAGE(L123:L125)/AVERAGE(L120:L122))^4-1,"")</f>
        <v/>
      </c>
      <c r="N125" s="10" t="n">
        <v>97.89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0" t="n">
        <v>98.91</v>
      </c>
      <c r="S125" s="12">
        <f>IF(COUNT(R120:R125)=6,(AVERAGE(R123:R125)/AVERAGE(R120:R122))^4-1,"")</f>
        <v/>
      </c>
      <c r="T125" s="10" t="n">
        <v>99.29000000000001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0" t="n">
        <v>100.08</v>
      </c>
      <c r="Y125" s="12">
        <f>IF(COUNT(X120:X125)=6,(AVERAGE(X123:X125)/AVERAGE(X120:X122))^4-1,"")</f>
        <v/>
      </c>
      <c r="Z125" s="10" t="n">
        <v>97.42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0" t="n">
        <v>98.48999999999999</v>
      </c>
      <c r="AE125" s="12">
        <f>IF(COUNT(AD120:AD125)=6,(AVERAGE(AD123:AD125)/AVERAGE(AD120:AD122))^4-1,"")</f>
        <v/>
      </c>
      <c r="AF125" s="10" t="n">
        <v>98.73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0" t="n">
        <v>98.68000000000001</v>
      </c>
      <c r="AK125" s="12">
        <f>IF(COUNT(AJ120:AJ125)=6,(AVERAGE(AJ123:AJ125)/AVERAGE(AJ120:AJ122))^4-1,"")</f>
        <v/>
      </c>
      <c r="AL125" s="10" t="n">
        <v>103.7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0" t="n">
        <v>103.7</v>
      </c>
      <c r="AQ125" s="12">
        <f>IF(COUNT(AP120:AP125)=6,(AVERAGE(AP123:AP125)/AVERAGE(AP120:AP122))^4-1,"")</f>
        <v/>
      </c>
      <c r="AR125" s="10" t="n">
        <v>99.34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100.1927</v>
      </c>
      <c r="AW125" s="12">
        <f>IF(COUNT(AV120:AV125)=6,(AVERAGE(AV123:AV125)/AVERAGE(AV120:AV122))^4-1,"")</f>
        <v/>
      </c>
    </row>
    <row r="126">
      <c r="A126" s="9" t="n">
        <v>45689</v>
      </c>
      <c r="B126" s="10" t="n">
        <v>98.84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0" t="n">
        <v>99.45</v>
      </c>
      <c r="G126" s="12">
        <f>IF(COUNT(F121:F126)=6,(AVERAGE(F124:F126)/AVERAGE(F121:F123))^4-1,"")</f>
        <v/>
      </c>
      <c r="H126" s="10" t="n">
        <v>98.19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0" t="n">
        <v>99.08</v>
      </c>
      <c r="M126" s="12">
        <f>IF(COUNT(L121:L126)=6,(AVERAGE(L124:L126)/AVERAGE(L121:L123))^4-1,"")</f>
        <v/>
      </c>
      <c r="N126" s="10" t="n">
        <v>98.38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0" t="n">
        <v>99.05</v>
      </c>
      <c r="S126" s="12">
        <f>IF(COUNT(R121:R126)=6,(AVERAGE(R124:R126)/AVERAGE(R121:R123))^4-1,"")</f>
        <v/>
      </c>
      <c r="T126" s="10" t="n">
        <v>99.55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0" t="n">
        <v>100.12</v>
      </c>
      <c r="Y126" s="12">
        <f>IF(COUNT(X121:X126)=6,(AVERAGE(X124:X126)/AVERAGE(X121:X123))^4-1,"")</f>
        <v/>
      </c>
      <c r="Z126" s="10" t="n">
        <v>98.02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0" t="n">
        <v>98.68000000000001</v>
      </c>
      <c r="AE126" s="12">
        <f>IF(COUNT(AD121:AD126)=6,(AVERAGE(AD124:AD126)/AVERAGE(AD121:AD123))^4-1,"")</f>
        <v/>
      </c>
      <c r="AF126" s="10" t="n">
        <v>99.09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0" t="n">
        <v>98.94</v>
      </c>
      <c r="AK126" s="12">
        <f>IF(COUNT(AJ121:AJ126)=6,(AVERAGE(AJ124:AJ126)/AVERAGE(AJ121:AJ123))^4-1,"")</f>
        <v/>
      </c>
      <c r="AL126" s="10" t="n">
        <v>103.39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0" t="n">
        <v>103.39</v>
      </c>
      <c r="AQ126" s="12">
        <f>IF(COUNT(AP121:AP126)=6,(AVERAGE(AP124:AP126)/AVERAGE(AP121:AP123))^4-1,"")</f>
        <v/>
      </c>
      <c r="AR126" s="10" t="n">
        <v>99.75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99.8295</v>
      </c>
      <c r="AW126" s="12">
        <f>IF(COUNT(AV121:AV126)=6,(AVERAGE(AV124:AV126)/AVERAGE(AV121:AV123))^4-1,"")</f>
        <v/>
      </c>
    </row>
    <row r="127">
      <c r="A127" s="9" t="n">
        <v>45717</v>
      </c>
      <c r="B127" s="10" t="n">
        <v>99.45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0" t="n">
        <v>99.56999999999999</v>
      </c>
      <c r="G127" s="12">
        <f>IF(COUNT(F122:F127)=6,(AVERAGE(F125:F127)/AVERAGE(F122:F124))^4-1,"")</f>
        <v/>
      </c>
      <c r="H127" s="10" t="n">
        <v>99.14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0" t="n">
        <v>99.36</v>
      </c>
      <c r="M127" s="12">
        <f>IF(COUNT(L122:L127)=6,(AVERAGE(L125:L127)/AVERAGE(L122:L124))^4-1,"")</f>
        <v/>
      </c>
      <c r="N127" s="10" t="n">
        <v>99.19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0" t="n">
        <v>99.33</v>
      </c>
      <c r="S127" s="12">
        <f>IF(COUNT(R122:R127)=6,(AVERAGE(R125:R127)/AVERAGE(R122:R124))^4-1,"")</f>
        <v/>
      </c>
      <c r="T127" s="10" t="n">
        <v>100.3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0" t="n">
        <v>100.02</v>
      </c>
      <c r="Y127" s="12">
        <f>IF(COUNT(X122:X127)=6,(AVERAGE(X125:X127)/AVERAGE(X122:X124))^4-1,"")</f>
        <v/>
      </c>
      <c r="Z127" s="10" t="n">
        <v>98.45999999999999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0" t="n">
        <v>99.06</v>
      </c>
      <c r="AE127" s="12">
        <f>IF(COUNT(AD122:AD127)=6,(AVERAGE(AD125:AD127)/AVERAGE(AD122:AD124))^4-1,"")</f>
        <v/>
      </c>
      <c r="AF127" s="10" t="n">
        <v>99.38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0" t="n">
        <v>99.22</v>
      </c>
      <c r="AK127" s="12">
        <f>IF(COUNT(AJ122:AJ127)=6,(AVERAGE(AJ125:AJ127)/AVERAGE(AJ122:AJ124))^4-1,"")</f>
        <v/>
      </c>
      <c r="AL127" s="10" t="n">
        <v>101.94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0" t="n">
        <v>101.94</v>
      </c>
      <c r="AQ127" s="12">
        <f>IF(COUNT(AP122:AP127)=6,(AVERAGE(AP125:AP127)/AVERAGE(AP122:AP124))^4-1,"")</f>
        <v/>
      </c>
      <c r="AR127" s="10" t="n">
        <v>99.31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99.25709999999999</v>
      </c>
      <c r="AW127" s="12">
        <f>IF(COUNT(AV122:AV127)=6,(AVERAGE(AV125:AV127)/AVERAGE(AV122:AV124))^4-1,"")</f>
        <v/>
      </c>
    </row>
    <row r="128">
      <c r="A128" s="9" t="n">
        <v>45748</v>
      </c>
      <c r="B128" s="10" t="n">
        <v>100.01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0" t="n">
        <v>99.61</v>
      </c>
      <c r="G128" s="12">
        <f>IF(COUNT(F123:F128)=6,(AVERAGE(F126:F128)/AVERAGE(F123:F125))^4-1,"")</f>
        <v/>
      </c>
      <c r="H128" s="10" t="n">
        <v>100.15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0" t="n">
        <v>99.69</v>
      </c>
      <c r="M128" s="12">
        <f>IF(COUNT(L123:L128)=6,(AVERAGE(L126:L128)/AVERAGE(L123:L125))^4-1,"")</f>
        <v/>
      </c>
      <c r="N128" s="10" t="n">
        <v>100.06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0" t="n">
        <v>99.61</v>
      </c>
      <c r="S128" s="12">
        <f>IF(COUNT(R123:R128)=6,(AVERAGE(R126:R128)/AVERAGE(R123:R125))^4-1,"")</f>
        <v/>
      </c>
      <c r="T128" s="10" t="n">
        <v>100.2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0" t="n">
        <v>99.59999999999999</v>
      </c>
      <c r="Y128" s="12">
        <f>IF(COUNT(X123:X128)=6,(AVERAGE(X126:X128)/AVERAGE(X123:X125))^4-1,"")</f>
        <v/>
      </c>
      <c r="Z128" s="10" t="n">
        <v>99.8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0" t="n">
        <v>99.62</v>
      </c>
      <c r="AE128" s="12">
        <f>IF(COUNT(AD123:AD128)=6,(AVERAGE(AD126:AD128)/AVERAGE(AD123:AD125))^4-1,"")</f>
        <v/>
      </c>
      <c r="AF128" s="10" t="n">
        <v>99.70999999999999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0" t="n">
        <v>99.33</v>
      </c>
      <c r="AK128" s="12">
        <f>IF(COUNT(AJ123:AJ128)=6,(AVERAGE(AJ126:AJ128)/AVERAGE(AJ123:AJ125))^4-1,"")</f>
        <v/>
      </c>
      <c r="AL128" s="10" t="n">
        <v>99.56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0" t="n">
        <v>99.56</v>
      </c>
      <c r="AQ128" s="12">
        <f>IF(COUNT(AP123:AP128)=6,(AVERAGE(AP126:AP128)/AVERAGE(AP123:AP125))^4-1,"")</f>
        <v/>
      </c>
      <c r="AR128" s="10" t="n">
        <v>100.37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99.0825</v>
      </c>
      <c r="AW128" s="12">
        <f>IF(COUNT(AV123:AV128)=6,(AVERAGE(AV126:AV128)/AVERAGE(AV123:AV125))^4-1,"")</f>
        <v/>
      </c>
    </row>
    <row r="129">
      <c r="A129" s="9" t="n">
        <v>45778</v>
      </c>
      <c r="B129" s="10" t="n">
        <v>99.95999999999999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0" t="n">
        <v>99.51000000000001</v>
      </c>
      <c r="G129" s="12">
        <f>IF(COUNT(F124:F129)=6,(AVERAGE(F127:F129)/AVERAGE(F124:F126))^4-1,"")</f>
        <v/>
      </c>
      <c r="H129" s="10" t="n">
        <v>100.12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0" t="n">
        <v>99.59999999999999</v>
      </c>
      <c r="M129" s="12">
        <f>IF(COUNT(L124:L129)=6,(AVERAGE(L127:L129)/AVERAGE(L124:L126))^4-1,"")</f>
        <v/>
      </c>
      <c r="N129" s="10" t="n">
        <v>100.12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0" t="n">
        <v>99.63</v>
      </c>
      <c r="S129" s="12">
        <f>IF(COUNT(R124:R129)=6,(AVERAGE(R127:R129)/AVERAGE(R124:R126))^4-1,"")</f>
        <v/>
      </c>
      <c r="T129" s="10" t="n">
        <v>100.17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0" t="n">
        <v>99.56</v>
      </c>
      <c r="Y129" s="12">
        <f>IF(COUNT(X124:X129)=6,(AVERAGE(X127:X129)/AVERAGE(X124:X126))^4-1,"")</f>
        <v/>
      </c>
      <c r="Z129" s="10" t="n">
        <v>99.70999999999999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0" t="n">
        <v>99.45999999999999</v>
      </c>
      <c r="AE129" s="12">
        <f>IF(COUNT(AD124:AD129)=6,(AVERAGE(AD127:AD129)/AVERAGE(AD124:AD126))^4-1,"")</f>
        <v/>
      </c>
      <c r="AF129" s="10" t="n">
        <v>100.12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0" t="n">
        <v>99.76000000000001</v>
      </c>
      <c r="AK129" s="12">
        <f>IF(COUNT(AJ124:AJ129)=6,(AVERAGE(AJ127:AJ129)/AVERAGE(AJ124:AJ126))^4-1,"")</f>
        <v/>
      </c>
      <c r="AL129" s="10" t="n">
        <v>98.34999999999999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0" t="n">
        <v>98.34999999999999</v>
      </c>
      <c r="AQ129" s="12">
        <f>IF(COUNT(AP124:AP129)=6,(AVERAGE(AP127:AP129)/AVERAGE(AP124:AP126))^4-1,"")</f>
        <v/>
      </c>
      <c r="AR129" s="10" t="n">
        <v>99.09999999999999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99.02930000000001</v>
      </c>
      <c r="AW129" s="12">
        <f>IF(COUNT(AV124:AV129)=6,(AVERAGE(AV127:AV129)/AVERAGE(AV124:AV126))^4-1,"")</f>
        <v/>
      </c>
    </row>
    <row r="130">
      <c r="A130" s="9" t="n">
        <v>45809</v>
      </c>
      <c r="B130" s="10" t="n">
        <v>100.26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0" t="n">
        <v>99.8</v>
      </c>
      <c r="G130" s="12">
        <f>IF(COUNT(F125:F130)=6,(AVERAGE(F128:F130)/AVERAGE(F125:F127))^4-1,"")</f>
        <v/>
      </c>
      <c r="H130" s="10" t="n">
        <v>100.5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0" t="n">
        <v>99.90000000000001</v>
      </c>
      <c r="M130" s="12">
        <f>IF(COUNT(L125:L130)=6,(AVERAGE(L128:L130)/AVERAGE(L125:L127))^4-1,"")</f>
        <v/>
      </c>
      <c r="N130" s="10" t="n">
        <v>100.43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0" t="n">
        <v>99.92</v>
      </c>
      <c r="S130" s="12">
        <f>IF(COUNT(R125:R130)=6,(AVERAGE(R128:R130)/AVERAGE(R125:R127))^4-1,"")</f>
        <v/>
      </c>
      <c r="T130" s="10" t="n">
        <v>100.14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0" t="n">
        <v>99.73</v>
      </c>
      <c r="Y130" s="12">
        <f>IF(COUNT(X125:X130)=6,(AVERAGE(X128:X130)/AVERAGE(X125:X127))^4-1,"")</f>
        <v/>
      </c>
      <c r="Z130" s="10" t="n">
        <v>100.41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0" t="n">
        <v>99.87</v>
      </c>
      <c r="AE130" s="12">
        <f>IF(COUNT(AD125:AD130)=6,(AVERAGE(AD128:AD130)/AVERAGE(AD125:AD127))^4-1,"")</f>
        <v/>
      </c>
      <c r="AF130" s="10" t="n">
        <v>100.18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0" t="n">
        <v>99.98</v>
      </c>
      <c r="AK130" s="12">
        <f>IF(COUNT(AJ125:AJ130)=6,(AVERAGE(AJ128:AJ130)/AVERAGE(AJ125:AJ127))^4-1,"")</f>
        <v/>
      </c>
      <c r="AL130" s="10" t="n">
        <v>98.58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0" t="n">
        <v>98.58</v>
      </c>
      <c r="AQ130" s="12">
        <f>IF(COUNT(AP125:AP130)=6,(AVERAGE(AP128:AP130)/AVERAGE(AP125:AP127))^4-1,"")</f>
        <v/>
      </c>
      <c r="AR130" s="10" t="n">
        <v>99.81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100.3023</v>
      </c>
      <c r="AW130" s="12">
        <f>IF(COUNT(AV125:AV130)=6,(AVERAGE(AV128:AV130)/AVERAGE(AV125:AV127))^4-1,"")</f>
        <v/>
      </c>
    </row>
    <row r="131">
      <c r="A131" s="9" t="n">
        <v>45839</v>
      </c>
      <c r="B131" s="10" t="n">
        <v>100.29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0" t="n">
        <v>100.09</v>
      </c>
      <c r="G131" s="12">
        <f>IF(COUNT(F126:F131)=6,(AVERAGE(F129:F131)/AVERAGE(F126:F128))^4-1,"")</f>
        <v/>
      </c>
      <c r="H131" s="10" t="n">
        <v>100.35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0" t="n">
        <v>100.08</v>
      </c>
      <c r="M131" s="12">
        <f>IF(COUNT(L126:L131)=6,(AVERAGE(L129:L131)/AVERAGE(L126:L128))^4-1,"")</f>
        <v/>
      </c>
      <c r="N131" s="10" t="n">
        <v>100.36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0" t="n">
        <v>100.14</v>
      </c>
      <c r="S131" s="12">
        <f>IF(COUNT(R126:R131)=6,(AVERAGE(R129:R131)/AVERAGE(R126:R128))^4-1,"")</f>
        <v/>
      </c>
      <c r="T131" s="10" t="n">
        <v>99.25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0" t="n">
        <v>100.11</v>
      </c>
      <c r="Y131" s="12">
        <f>IF(COUNT(X126:X131)=6,(AVERAGE(X129:X131)/AVERAGE(X126:X128))^4-1,"")</f>
        <v/>
      </c>
      <c r="Z131" s="10" t="n">
        <v>101.48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0" t="n">
        <v>100.08</v>
      </c>
      <c r="AE131" s="12">
        <f>IF(COUNT(AD126:AD131)=6,(AVERAGE(AD129:AD131)/AVERAGE(AD126:AD128))^4-1,"")</f>
        <v/>
      </c>
      <c r="AF131" s="10" t="n">
        <v>100.38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0" t="n">
        <v>100.37</v>
      </c>
      <c r="AK131" s="12">
        <f>IF(COUNT(AJ126:AJ131)=6,(AVERAGE(AJ129:AJ131)/AVERAGE(AJ126:AJ128))^4-1,"")</f>
        <v/>
      </c>
      <c r="AL131" s="10" t="n">
        <v>99.59999999999999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0" t="n">
        <v>99.59999999999999</v>
      </c>
      <c r="AQ131" s="12">
        <f>IF(COUNT(AP126:AP131)=6,(AVERAGE(AP129:AP131)/AVERAGE(AP126:AP128))^4-1,"")</f>
        <v/>
      </c>
      <c r="AR131" s="10" t="n">
        <v>101.06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100.3006</v>
      </c>
      <c r="AW131" s="12">
        <f>IF(COUNT(AV126:AV131)=6,(AVERAGE(AV129:AV131)/AVERAGE(AV126:AV128))^4-1,"")</f>
        <v/>
      </c>
    </row>
    <row r="132">
      <c r="A132" s="9" t="n">
        <v>45870</v>
      </c>
      <c r="B132" s="10" t="n">
        <v>100.43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0" t="n">
        <v>100.25</v>
      </c>
      <c r="G132" s="12">
        <f>IF(COUNT(F127:F132)=6,(AVERAGE(F130:F132)/AVERAGE(F127:F129))^4-1,"")</f>
        <v/>
      </c>
      <c r="H132" s="10" t="n">
        <v>100.64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0" t="n">
        <v>100.32</v>
      </c>
      <c r="M132" s="12">
        <f>IF(COUNT(L127:L132)=6,(AVERAGE(L130:L132)/AVERAGE(L127:L129))^4-1,"")</f>
        <v/>
      </c>
      <c r="N132" s="10" t="n">
        <v>100.59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0" t="n">
        <v>100.38</v>
      </c>
      <c r="S132" s="12">
        <f>IF(COUNT(R127:R132)=6,(AVERAGE(R130:R132)/AVERAGE(R127:R129))^4-1,"")</f>
        <v/>
      </c>
      <c r="T132" s="10" t="n">
        <v>99.28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0" t="n">
        <v>100.05</v>
      </c>
      <c r="Y132" s="12">
        <f>IF(COUNT(X127:X132)=6,(AVERAGE(X130:X132)/AVERAGE(X127:X129))^4-1,"")</f>
        <v/>
      </c>
      <c r="Z132" s="10" t="n">
        <v>101.77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0" t="n">
        <v>100.48</v>
      </c>
      <c r="AE132" s="12">
        <f>IF(COUNT(AD127:AD132)=6,(AVERAGE(AD130:AD132)/AVERAGE(AD127:AD129))^4-1,"")</f>
        <v/>
      </c>
      <c r="AF132" s="10" t="n">
        <v>100.41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0" t="n">
        <v>100.59</v>
      </c>
      <c r="AK132" s="12">
        <f>IF(COUNT(AJ127:AJ132)=6,(AVERAGE(AJ130:AJ132)/AVERAGE(AJ127:AJ129))^4-1,"")</f>
        <v/>
      </c>
      <c r="AL132" s="10" t="n">
        <v>98.92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0" t="n">
        <v>98.92</v>
      </c>
      <c r="AQ132" s="12">
        <f>IF(COUNT(AP127:AP132)=6,(AVERAGE(AP130:AP132)/AVERAGE(AP127:AP129))^4-1,"")</f>
        <v/>
      </c>
      <c r="AR132" s="10" t="n">
        <v>100.88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99.9778</v>
      </c>
      <c r="AW132" s="12">
        <f>IF(COUNT(AV127:AV132)=6,(AVERAGE(AV130:AV132)/AVERAGE(AV127:AV129))^4-1,"")</f>
        <v/>
      </c>
    </row>
    <row r="133">
      <c r="A133" s="9" t="n">
        <v>45901</v>
      </c>
      <c r="B133" s="10" t="n">
        <v>100.52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0" t="n">
        <v>100.36</v>
      </c>
      <c r="G133" s="12">
        <f>IF(COUNT(F128:F133)=6,(AVERAGE(F131:F133)/AVERAGE(F128:F130))^4-1,"")</f>
        <v/>
      </c>
      <c r="H133" s="10" t="n">
        <v>100.79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0" t="n">
        <v>100.47</v>
      </c>
      <c r="M133" s="12">
        <f>IF(COUNT(L128:L133)=6,(AVERAGE(L131:L133)/AVERAGE(L128:L130))^4-1,"")</f>
        <v/>
      </c>
      <c r="N133" s="10" t="n">
        <v>100.69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0" t="n">
        <v>100.52</v>
      </c>
      <c r="S133" s="12">
        <f>IF(COUNT(R128:R133)=6,(AVERAGE(R131:R133)/AVERAGE(R128:R130))^4-1,"")</f>
        <v/>
      </c>
      <c r="T133" s="10" t="n">
        <v>100.24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0" t="n">
        <v>100.13</v>
      </c>
      <c r="Y133" s="12">
        <f>IF(COUNT(X128:X133)=6,(AVERAGE(X131:X133)/AVERAGE(X128:X130))^4-1,"")</f>
        <v/>
      </c>
      <c r="Z133" s="10" t="n">
        <v>100.85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0" t="n">
        <v>100.64</v>
      </c>
      <c r="AE133" s="12">
        <f>IF(COUNT(AD128:AD133)=6,(AVERAGE(AD131:AD133)/AVERAGE(AD128:AD130))^4-1,"")</f>
        <v/>
      </c>
      <c r="AF133" s="10" t="n">
        <v>100.35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0" t="n">
        <v>100.68</v>
      </c>
      <c r="AK133" s="12">
        <f>IF(COUNT(AJ128:AJ133)=6,(AVERAGE(AJ131:AJ133)/AVERAGE(AJ128:AJ130))^4-1,"")</f>
        <v/>
      </c>
      <c r="AL133" s="10" t="n">
        <v>98.84999999999999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0" t="n">
        <v>98.84999999999999</v>
      </c>
      <c r="AQ133" s="12">
        <f>IF(COUNT(AP128:AP133)=6,(AVERAGE(AP131:AP133)/AVERAGE(AP128:AP130))^4-1,"")</f>
        <v/>
      </c>
      <c r="AR133" s="10" t="n">
        <v>99.62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98.50149999999999</v>
      </c>
      <c r="AW133" s="12">
        <f>IF(COUNT(AV128:AV133)=6,(AVERAGE(AV131:AV133)/AVERAGE(AV128:AV130))^4-1,"")</f>
        <v/>
      </c>
    </row>
    <row r="134">
      <c r="A134" s="9" t="n">
        <v>45931</v>
      </c>
      <c r="B134" s="10" t="n">
        <v>100.74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0" t="n">
        <v>100.49</v>
      </c>
      <c r="G134" s="12">
        <f>IF(COUNT(F129:F134)=6,(AVERAGE(F132:F134)/AVERAGE(F129:F131))^4-1,"")</f>
        <v/>
      </c>
      <c r="H134" s="10" t="n">
        <v>101.07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0" t="n">
        <v>100.68</v>
      </c>
      <c r="M134" s="12">
        <f>IF(COUNT(L129:L134)=6,(AVERAGE(L132:L134)/AVERAGE(L129:L131))^4-1,"")</f>
        <v/>
      </c>
      <c r="N134" s="10" t="n">
        <v>100.95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0" t="n">
        <v>100.68</v>
      </c>
      <c r="S134" s="12">
        <f>IF(COUNT(R129:R134)=6,(AVERAGE(R132:R134)/AVERAGE(R129:R131))^4-1,"")</f>
        <v/>
      </c>
      <c r="T134" s="10" t="n">
        <v>100.52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0" t="n">
        <v>100.09</v>
      </c>
      <c r="Y134" s="12">
        <f>IF(COUNT(X129:X134)=6,(AVERAGE(X132:X134)/AVERAGE(X129:X131))^4-1,"")</f>
        <v/>
      </c>
      <c r="Z134" s="10" t="n">
        <v>100.99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0" t="n">
        <v>100.97</v>
      </c>
      <c r="AE134" s="12">
        <f>IF(COUNT(AD129:AD134)=6,(AVERAGE(AD132:AD134)/AVERAGE(AD129:AD131))^4-1,"")</f>
        <v/>
      </c>
      <c r="AF134" s="10" t="n">
        <v>100.51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0" t="n">
        <v>100.67</v>
      </c>
      <c r="AK134" s="12">
        <f>IF(COUNT(AJ129:AJ134)=6,(AVERAGE(AJ132:AJ134)/AVERAGE(AJ129:AJ131))^4-1,"")</f>
        <v/>
      </c>
      <c r="AL134" s="10" t="n">
        <v>98.69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0" t="n">
        <v>98.69</v>
      </c>
      <c r="AQ134" s="12">
        <f>IF(COUNT(AP129:AP134)=6,(AVERAGE(AP132:AP134)/AVERAGE(AP129:AP131))^4-1,"")</f>
        <v/>
      </c>
      <c r="AR134" s="10" t="n">
        <v>100.25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100.6968</v>
      </c>
      <c r="AW134" s="12">
        <f>IF(COUNT(AV129:AV134)=6,(AVERAGE(AV132:AV134)/AVERAGE(AV129:AV131))^4-1,"")</f>
        <v/>
      </c>
    </row>
    <row r="135">
      <c r="A135" s="9" t="n">
        <v>45962</v>
      </c>
      <c r="B135" s="10" t="n">
        <v>100.45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0" t="n">
        <v>100.72</v>
      </c>
      <c r="G135" s="12">
        <f>IF(COUNT(F130:F135)=6,(AVERAGE(F133:F135)/AVERAGE(F130:F132))^4-1,"")</f>
        <v/>
      </c>
      <c r="H135" s="10" t="n">
        <v>100.52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0" t="n">
        <v>100.84</v>
      </c>
      <c r="M135" s="12">
        <f>IF(COUNT(L130:L135)=6,(AVERAGE(L133:L135)/AVERAGE(L130:L132))^4-1,"")</f>
        <v/>
      </c>
      <c r="N135" s="10" t="n">
        <v>100.53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0" t="n">
        <v>100.83</v>
      </c>
      <c r="S135" s="12">
        <f>IF(COUNT(R130:R135)=6,(AVERAGE(R133:R135)/AVERAGE(R130:R132))^4-1,"")</f>
        <v/>
      </c>
      <c r="T135" s="10" t="n">
        <v>100.67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0" t="n">
        <v>100.31</v>
      </c>
      <c r="Y135" s="12">
        <f>IF(COUNT(X130:X135)=6,(AVERAGE(X133:X135)/AVERAGE(X130:X132))^4-1,"")</f>
        <v/>
      </c>
      <c r="Z135" s="10" t="n">
        <v>100.19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0" t="n">
        <v>101.19</v>
      </c>
      <c r="AE135" s="12">
        <f>IF(COUNT(AD130:AD135)=6,(AVERAGE(AD133:AD135)/AVERAGE(AD130:AD132))^4-1,"")</f>
        <v/>
      </c>
      <c r="AF135" s="10" t="n">
        <v>100.58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0" t="n">
        <v>100.8</v>
      </c>
      <c r="AK135" s="12">
        <f>IF(COUNT(AJ130:AJ135)=6,(AVERAGE(AJ133:AJ135)/AVERAGE(AJ130:AJ132))^4-1,"")</f>
        <v/>
      </c>
      <c r="AL135" s="10" t="n">
        <v>99.63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0" t="n">
        <v>99.63</v>
      </c>
      <c r="AQ135" s="12">
        <f>IF(COUNT(AP130:AP135)=6,(AVERAGE(AP133:AP135)/AVERAGE(AP130:AP132))^4-1,"")</f>
        <v/>
      </c>
      <c r="AR135" s="10" t="n">
        <v>99.94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101.1799</v>
      </c>
      <c r="AW135" s="12">
        <f>IF(COUNT(AV130:AV135)=6,(AVERAGE(AV133:AV135)/AVERAGE(AV130:AV132))^4-1,"")</f>
        <v/>
      </c>
    </row>
    <row r="136">
      <c r="A136" s="9" t="n">
        <v>45992</v>
      </c>
      <c r="B136" s="10" t="n">
        <v>100.63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0" t="n">
        <v>100.8</v>
      </c>
      <c r="G136" s="12">
        <f>IF(COUNT(F131:F136)=6,(AVERAGE(F134:F136)/AVERAGE(F131:F133))^4-1,"")</f>
        <v/>
      </c>
      <c r="H136" s="10" t="n">
        <v>100.88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0" t="n">
        <v>101</v>
      </c>
      <c r="M136" s="12">
        <f>IF(COUNT(L131:L136)=6,(AVERAGE(L134:L136)/AVERAGE(L131:L133))^4-1,"")</f>
        <v/>
      </c>
      <c r="N136" s="10" t="n">
        <v>100.81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0" t="n">
        <v>101</v>
      </c>
      <c r="S136" s="12">
        <f>IF(COUNT(R131:R136)=6,(AVERAGE(R134:R136)/AVERAGE(R131:R133))^4-1,"")</f>
        <v/>
      </c>
      <c r="T136" s="10" t="n">
        <v>100.39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0" t="n">
        <v>100.22</v>
      </c>
      <c r="Y136" s="12">
        <f>IF(COUNT(X131:X136)=6,(AVERAGE(X134:X136)/AVERAGE(X131:X133))^4-1,"")</f>
        <v/>
      </c>
      <c r="Z136" s="10" t="n">
        <v>100.9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0" t="n">
        <v>101.47</v>
      </c>
      <c r="AE136" s="12">
        <f>IF(COUNT(AD131:AD136)=6,(AVERAGE(AD134:AD136)/AVERAGE(AD131:AD133))^4-1,"")</f>
        <v/>
      </c>
      <c r="AF136" s="10" t="n">
        <v>100.57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0" t="n">
        <v>101</v>
      </c>
      <c r="AK136" s="12">
        <f>IF(COUNT(AJ131:AJ136)=6,(AVERAGE(AJ134:AJ136)/AVERAGE(AJ131:AJ133))^4-1,"")</f>
        <v/>
      </c>
      <c r="AL136" s="10" t="n">
        <v>98.78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0" t="n">
        <v>98.78</v>
      </c>
      <c r="AQ136" s="12">
        <f>IF(COUNT(AP131:AP136)=6,(AVERAGE(AP134:AP136)/AVERAGE(AP131:AP133))^4-1,"")</f>
        <v/>
      </c>
      <c r="AR136" s="10" t="n">
        <v>100.55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101.9295</v>
      </c>
      <c r="AW136" s="12">
        <f>IF(COUNT(AV131:AV136)=6,(AVERAGE(AV134:AV136)/AVERAGE(AV131:AV133))^4-1,"")</f>
        <v/>
      </c>
    </row>
    <row r="137">
      <c r="A137" s="9" t="n">
        <v>46023</v>
      </c>
      <c r="B137" s="10" t="n">
        <v>100.07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0" t="n">
        <v>101.02</v>
      </c>
      <c r="G137" s="12">
        <f>IF(COUNT(F132:F137)=6,(AVERAGE(F135:F137)/AVERAGE(F132:F134))^4-1,"")</f>
        <v/>
      </c>
      <c r="H137" s="10" t="n">
        <v>99.8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0" t="n">
        <v>101.14</v>
      </c>
      <c r="M137" s="12">
        <f>IF(COUNT(L132:L137)=6,(AVERAGE(L135:L137)/AVERAGE(L132:L134))^4-1,"")</f>
        <v/>
      </c>
      <c r="N137" s="10" t="n">
        <v>100.12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0" t="n">
        <v>101.16</v>
      </c>
      <c r="S137" s="12">
        <f>IF(COUNT(R132:R137)=6,(AVERAGE(R135:R137)/AVERAGE(R132:R134))^4-1,"")</f>
        <v/>
      </c>
      <c r="T137" s="10" t="n">
        <v>99.67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0" t="n">
        <v>100.49</v>
      </c>
      <c r="Y137" s="12">
        <f>IF(COUNT(X132:X137)=6,(AVERAGE(X135:X137)/AVERAGE(X132:X134))^4-1,"")</f>
        <v/>
      </c>
      <c r="Z137" s="10" t="n">
        <v>100.52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0" t="n">
        <v>101.63</v>
      </c>
      <c r="AE137" s="12">
        <f>IF(COUNT(AD132:AD137)=6,(AVERAGE(AD135:AD137)/AVERAGE(AD132:AD134))^4-1,"")</f>
        <v/>
      </c>
      <c r="AF137" s="10" t="n">
        <v>101.32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0" t="n">
        <v>101.26</v>
      </c>
      <c r="AK137" s="12">
        <f>IF(COUNT(AJ132:AJ137)=6,(AVERAGE(AJ135:AJ137)/AVERAGE(AJ132:AJ134))^4-1,"")</f>
        <v/>
      </c>
      <c r="AL137" s="10" t="n">
        <v>99.56999999999999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0" t="n">
        <v>99.56999999999999</v>
      </c>
      <c r="AQ137" s="12">
        <f>IF(COUNT(AP132:AP137)=6,(AVERAGE(AP135:AP137)/AVERAGE(AP132:AP134))^4-1,"")</f>
        <v/>
      </c>
      <c r="AR137" s="10" t="n">
        <v>99.7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100.6369</v>
      </c>
      <c r="AW137" s="12">
        <f>IF(COUNT(AV132:AV137)=6,(AVERAGE(AV135:AV137)/AVERAGE(AV132:AV134))^4-1,"")</f>
        <v/>
      </c>
    </row>
    <row r="138">
      <c r="A138" s="9" t="n">
        <v>46054</v>
      </c>
      <c r="B138" s="10" t="n">
        <v>100.71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0" t="n">
        <v>101.33</v>
      </c>
      <c r="G138" s="12">
        <f>IF(COUNT(F133:F138)=6,(AVERAGE(F136:F138)/AVERAGE(F133:F135))^4-1,"")</f>
        <v/>
      </c>
      <c r="H138" s="10" t="n">
        <v>100.56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0" t="n">
        <v>101.46</v>
      </c>
      <c r="M138" s="12">
        <f>IF(COUNT(L133:L138)=6,(AVERAGE(L136:L138)/AVERAGE(L133:L135))^4-1,"")</f>
        <v/>
      </c>
      <c r="N138" s="10" t="n">
        <v>100.77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0" t="n">
        <v>101.45</v>
      </c>
      <c r="S138" s="12">
        <f>IF(COUNT(R133:R138)=6,(AVERAGE(R136:R138)/AVERAGE(R133:R135))^4-1,"")</f>
        <v/>
      </c>
      <c r="T138" s="10" t="n">
        <v>100.2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0" t="n">
        <v>100.76</v>
      </c>
      <c r="Y138" s="12">
        <f>IF(COUNT(X133:X138)=6,(AVERAGE(X136:X138)/AVERAGE(X133:X135))^4-1,"")</f>
        <v/>
      </c>
      <c r="Z138" s="10" t="n">
        <v>101.3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0" t="n">
        <v>101.99</v>
      </c>
      <c r="AE138" s="12">
        <f>IF(COUNT(AD133:AD138)=6,(AVERAGE(AD136:AD138)/AVERAGE(AD133:AD135))^4-1,"")</f>
        <v/>
      </c>
      <c r="AF138" s="10" t="n">
        <v>101.58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0" t="n">
        <v>101.41</v>
      </c>
      <c r="AK138" s="12">
        <f>IF(COUNT(AJ133:AJ138)=6,(AVERAGE(AJ136:AJ138)/AVERAGE(AJ133:AJ135))^4-1,"")</f>
        <v/>
      </c>
      <c r="AL138" s="10" t="n">
        <v>100.16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0" t="n">
        <v>100.16</v>
      </c>
      <c r="AQ138" s="12">
        <f>IF(COUNT(AP133:AP138)=6,(AVERAGE(AP136:AP138)/AVERAGE(AP133:AP135))^4-1,"")</f>
        <v/>
      </c>
      <c r="AR138" s="10" t="n">
        <v>100.64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100.735</v>
      </c>
      <c r="AW138" s="12">
        <f>IF(COUNT(AV133:AV138)=6,(AVERAGE(AV136:AV138)/AVERAGE(AV133:AV135))^4-1,"")</f>
        <v/>
      </c>
    </row>
    <row r="139">
      <c r="A139" s="9" t="n">
        <v>46082</v>
      </c>
      <c r="B139" s="10" t="n">
        <v>101.99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0" t="n">
        <v>102.11</v>
      </c>
      <c r="G139" s="12">
        <f>IF(COUNT(F134:F139)=6,(AVERAGE(F137:F139)/AVERAGE(F134:F136))^4-1,"")</f>
        <v/>
      </c>
      <c r="H139" s="10" t="n">
        <v>101.4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0" t="n">
        <v>101.61</v>
      </c>
      <c r="M139" s="12">
        <f>IF(COUNT(L134:L139)=6,(AVERAGE(L137:L139)/AVERAGE(L134:L136))^4-1,"")</f>
        <v/>
      </c>
      <c r="N139" s="10" t="n">
        <v>101.47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0" t="n">
        <v>101.6</v>
      </c>
      <c r="S139" s="12">
        <f>IF(COUNT(R134:R139)=6,(AVERAGE(R137:R139)/AVERAGE(R134:R136))^4-1,"")</f>
        <v/>
      </c>
      <c r="T139" s="10" t="n">
        <v>102.29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0" t="n">
        <v>102</v>
      </c>
      <c r="Y139" s="12">
        <f>IF(COUNT(X134:X139)=6,(AVERAGE(X137:X139)/AVERAGE(X134:X136))^4-1,"")</f>
        <v/>
      </c>
      <c r="Z139" s="10" t="n">
        <v>101.65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0" t="n">
        <v>102.25</v>
      </c>
      <c r="AE139" s="12">
        <f>IF(COUNT(AD134:AD139)=6,(AVERAGE(AD137:AD139)/AVERAGE(AD134:AD136))^4-1,"")</f>
        <v/>
      </c>
      <c r="AF139" s="10" t="n">
        <v>101.72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0" t="n">
        <v>101.55</v>
      </c>
      <c r="AK139" s="12">
        <f>IF(COUNT(AJ134:AJ139)=6,(AVERAGE(AJ137:AJ139)/AVERAGE(AJ134:AJ136))^4-1,"")</f>
        <v/>
      </c>
      <c r="AL139" s="10" t="n">
        <v>107.14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0" t="n">
        <v>107.14</v>
      </c>
      <c r="AQ139" s="12">
        <f>IF(COUNT(AP134:AP139)=6,(AVERAGE(AP137:AP139)/AVERAGE(AP134:AP136))^4-1,"")</f>
        <v/>
      </c>
      <c r="AR139" s="10" t="n">
        <v>104.49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104.3358</v>
      </c>
      <c r="AW139" s="12">
        <f>IF(COUNT(AV134:AV139)=6,(AVERAGE(AV137:AV139)/AVERAGE(AV134:AV136))^4-1,"")</f>
        <v/>
      </c>
    </row>
    <row r="140">
      <c r="A140" s="9" t="n">
        <v>46113</v>
      </c>
      <c r="B140" s="10" t="n">
        <v>103.04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0" t="n">
        <v>102.66</v>
      </c>
      <c r="G140" s="12">
        <f>IF(COUNT(F135:F140)=6,(AVERAGE(F138:F140)/AVERAGE(F135:F137))^4-1,"")</f>
        <v/>
      </c>
      <c r="H140" s="10" t="n">
        <v>102.35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0" t="n">
        <v>101.92</v>
      </c>
      <c r="M140" s="12">
        <f>IF(COUNT(L135:L140)=6,(AVERAGE(L138:L140)/AVERAGE(L135:L137))^4-1,"")</f>
        <v/>
      </c>
      <c r="N140" s="10" t="n">
        <v>102.3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0" t="n">
        <v>101.88</v>
      </c>
      <c r="S140" s="12">
        <f>IF(COUNT(R135:R140)=6,(AVERAGE(R138:R140)/AVERAGE(R135:R137))^4-1,"")</f>
        <v/>
      </c>
      <c r="T140" s="10" t="n">
        <v>103.29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0" t="n">
        <v>102.69</v>
      </c>
      <c r="Y140" s="12">
        <f>IF(COUNT(X135:X140)=6,(AVERAGE(X138:X140)/AVERAGE(X135:X137))^4-1,"")</f>
        <v/>
      </c>
      <c r="Z140" s="10" t="n">
        <v>102.75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0" t="n">
        <v>102.62</v>
      </c>
      <c r="AE140" s="12">
        <f>IF(COUNT(AD135:AD140)=6,(AVERAGE(AD138:AD140)/AVERAGE(AD135:AD137))^4-1,"")</f>
        <v/>
      </c>
      <c r="AF140" s="10" t="n">
        <v>102.12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0" t="n">
        <v>101.73</v>
      </c>
      <c r="AK140" s="12">
        <f>IF(COUNT(AJ135:AJ140)=6,(AVERAGE(AJ138:AJ140)/AVERAGE(AJ135:AJ137))^4-1,"")</f>
        <v/>
      </c>
      <c r="AL140" s="10" t="n">
        <v>110.33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0" t="n">
        <v>110.33</v>
      </c>
      <c r="AQ140" s="12">
        <f>IF(COUNT(AP135:AP140)=6,(AVERAGE(AP138:AP140)/AVERAGE(AP135:AP137))^4-1,"")</f>
        <v/>
      </c>
      <c r="AR140" s="10" t="n">
        <v>107.2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105.6029</v>
      </c>
      <c r="AW140" s="12">
        <f>IF(COUNT(AV135:AV140)=6,(AVERAGE(AV138:AV140)/AVERAGE(AV135:AV137))^4-1,"")</f>
        <v/>
      </c>
    </row>
    <row r="141">
      <c r="A141" s="9" t="n">
        <v>46143</v>
      </c>
      <c r="B141" s="10" t="n">
        <v>103.13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0" t="n">
        <v>102.67</v>
      </c>
      <c r="G141" s="12">
        <f>IF(COUNT(F136:F141)=6,(AVERAGE(F139:F141)/AVERAGE(F136:F138))^4-1,"")</f>
        <v/>
      </c>
      <c r="H141" s="10" t="n">
        <v>102.68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0" t="n">
        <v>102.14</v>
      </c>
      <c r="M141" s="12">
        <f>IF(COUNT(L136:L141)=6,(AVERAGE(L139:L141)/AVERAGE(L136:L138))^4-1,"")</f>
        <v/>
      </c>
      <c r="N141" s="10" t="n">
        <v>102.53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0" t="n">
        <v>102.03</v>
      </c>
      <c r="S141" s="12">
        <f>IF(COUNT(R136:R141)=6,(AVERAGE(R139:R141)/AVERAGE(R136:R138))^4-1,"")</f>
        <v/>
      </c>
      <c r="T141" s="10" t="n">
        <v>103.1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0" t="n">
        <v>102.48</v>
      </c>
      <c r="Y141" s="12">
        <f>IF(COUNT(X136:X141)=6,(AVERAGE(X139:X141)/AVERAGE(X136:X138))^4-1,"")</f>
        <v/>
      </c>
      <c r="Z141" s="10" t="n">
        <v>103.16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0" t="n">
        <v>102.91</v>
      </c>
      <c r="AE141" s="12">
        <f>IF(COUNT(AD136:AD141)=6,(AVERAGE(AD139:AD141)/AVERAGE(AD136:AD138))^4-1,"")</f>
        <v/>
      </c>
      <c r="AF141" s="10" t="n">
        <v>101.99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0" t="n">
        <v>101.61</v>
      </c>
      <c r="AK141" s="12">
        <f>IF(COUNT(AJ136:AJ141)=6,(AVERAGE(AJ139:AJ141)/AVERAGE(AJ136:AJ138))^4-1,"")</f>
        <v/>
      </c>
      <c r="AL141" s="10" t="n">
        <v>109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0" t="n">
        <v>109</v>
      </c>
      <c r="AQ141" s="12">
        <f>IF(COUNT(AP136:AP141)=6,(AVERAGE(AP139:AP141)/AVERAGE(AP136:AP138))^4-1,"")</f>
        <v/>
      </c>
      <c r="AR141" s="10" t="n">
        <v>106.4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106.313</v>
      </c>
      <c r="AW141" s="12">
        <f>IF(COUNT(AV136:AV141)=6,(AVERAGE(AV139:AV141)/AVERAGE(AV136:AV138))^4-1,"")</f>
        <v/>
      </c>
    </row>
    <row r="142">
      <c r="A142" s="9" t="n">
        <v>46174</v>
      </c>
      <c r="B142" s="10" t="n">
        <v>103.02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0" t="n">
        <v>102.57</v>
      </c>
      <c r="G142" s="12">
        <f>IF(COUNT(F137:F142)=6,(AVERAGE(F140:F142)/AVERAGE(F137:F139))^4-1,"")</f>
        <v/>
      </c>
      <c r="H142" s="10" t="n">
        <v>102.87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0" t="n">
        <v>102.28</v>
      </c>
      <c r="M142" s="12">
        <f>IF(COUNT(L137:L142)=6,(AVERAGE(L140:L142)/AVERAGE(L137:L139))^4-1,"")</f>
        <v/>
      </c>
      <c r="N142" s="10" t="n">
        <v>102.62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0" t="n">
        <v>102.12</v>
      </c>
      <c r="S142" s="12">
        <f>IF(COUNT(R137:R142)=6,(AVERAGE(R140:R142)/AVERAGE(R137:R139))^4-1,"")</f>
        <v/>
      </c>
      <c r="T142" s="10" t="n">
        <v>102.47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0" t="n">
        <v>102.09</v>
      </c>
      <c r="Y142" s="12">
        <f>IF(COUNT(X137:X142)=6,(AVERAGE(X140:X142)/AVERAGE(X137:X139))^4-1,"")</f>
        <v/>
      </c>
      <c r="Z142" s="10" t="n">
        <v>103.66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0" t="n">
        <v>103.12</v>
      </c>
      <c r="AE142" s="12">
        <f>IF(COUNT(AD137:AD142)=6,(AVERAGE(AD140:AD142)/AVERAGE(AD137:AD139))^4-1,"")</f>
        <v/>
      </c>
      <c r="AF142" s="10" t="n">
        <v>101.68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0" t="n">
        <v>101.51</v>
      </c>
      <c r="AK142" s="12">
        <f>IF(COUNT(AJ137:AJ142)=6,(AVERAGE(AJ140:AJ142)/AVERAGE(AJ137:AJ139))^4-1,"")</f>
        <v/>
      </c>
      <c r="AL142" s="10" t="n">
        <v>106.99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0" t="n">
        <v>106.99</v>
      </c>
      <c r="AQ142" s="12">
        <f>IF(COUNT(AP137:AP142)=6,(AVERAGE(AP140:AP142)/AVERAGE(AP137:AP139))^4-1,"")</f>
        <v/>
      </c>
      <c r="AR142" s="10" t="n">
        <v>105.11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105.7169</v>
      </c>
      <c r="AW142" s="12">
        <f>IF(COUNT(AV137:AV142)=6,(AVERAGE(AV140:AV142)/AVERAGE(AV137:AV139))^4-1,"")</f>
        <v/>
      </c>
    </row>
    <row r="143">
      <c r="A143" s="9" t="n">
        <v>46204</v>
      </c>
      <c r="B143" s="10" t="n">
        <v>103.24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0" t="n">
        <v>103.04</v>
      </c>
      <c r="G143" s="12">
        <f>IF(COUNT(F138:F143)=6,(AVERAGE(F141:F143)/AVERAGE(F138:F140))^4-1,"")</f>
        <v/>
      </c>
      <c r="H143" s="10" t="n">
        <v>102.84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0" t="n">
        <v>102.55</v>
      </c>
      <c r="M143" s="12">
        <f>IF(COUNT(L138:L143)=6,(AVERAGE(L141:L143)/AVERAGE(L138:L140))^4-1,"")</f>
        <v/>
      </c>
      <c r="N143" s="10" t="n">
        <v>102.58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0" t="n">
        <v>102.35</v>
      </c>
      <c r="S143" s="12">
        <f>IF(COUNT(R138:R143)=6,(AVERAGE(R141:R143)/AVERAGE(R138:R140))^4-1,"")</f>
        <v/>
      </c>
      <c r="T143" s="10" t="n">
        <v>101.87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0" t="n">
        <v>102.75</v>
      </c>
      <c r="Y143" s="12">
        <f>IF(COUNT(X138:X143)=6,(AVERAGE(X141:X143)/AVERAGE(X138:X140))^4-1,"")</f>
        <v/>
      </c>
      <c r="Z143" s="10" t="n">
        <v>104.81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0" t="n">
        <v>103.38</v>
      </c>
      <c r="AE143" s="12">
        <f>IF(COUNT(AD138:AD143)=6,(AVERAGE(AD141:AD143)/AVERAGE(AD138:AD140))^4-1,"")</f>
        <v/>
      </c>
      <c r="AF143" s="10" t="n">
        <v>101.57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0" t="n">
        <v>101.59</v>
      </c>
      <c r="AK143" s="12">
        <f>IF(COUNT(AJ138:AJ143)=6,(AVERAGE(AJ141:AJ143)/AVERAGE(AJ138:AJ140))^4-1,"")</f>
        <v/>
      </c>
      <c r="AL143" s="10" t="n">
        <v>109.86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0" t="n">
        <v>109.86</v>
      </c>
      <c r="AQ143" s="12">
        <f>IF(COUNT(AP138:AP143)=6,(AVERAGE(AP141:AP143)/AVERAGE(AP138:AP140))^4-1,"")</f>
        <v/>
      </c>
      <c r="AR143" s="10" t="n">
        <v>107.41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106.5567</v>
      </c>
      <c r="AW143" s="12">
        <f>IF(COUNT(AV138:AV143)=6,(AVERAGE(AV141:AV143)/AVERAGE(AV138:AV140))^4-1,"")</f>
        <v/>
      </c>
    </row>
    <row r="144">
      <c r="A144" s="9" t="n">
        <v>46235</v>
      </c>
      <c r="B144" s="10" t="n">
        <v>103.69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0" t="n">
        <v>103.51</v>
      </c>
      <c r="G144" s="12">
        <f>IF(COUNT(F139:F144)=6,(AVERAGE(F142:F144)/AVERAGE(F139:F141))^4-1,"")</f>
        <v/>
      </c>
      <c r="H144" s="10" t="n">
        <v>103.06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0" t="n">
        <v>102.75</v>
      </c>
      <c r="M144" s="12">
        <f>IF(COUNT(L139:L144)=6,(AVERAGE(L142:L144)/AVERAGE(L139:L141))^4-1,"")</f>
        <v/>
      </c>
      <c r="N144" s="10" t="n">
        <v>102.74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0" t="n">
        <v>102.54</v>
      </c>
      <c r="S144" s="12">
        <f>IF(COUNT(R139:R144)=6,(AVERAGE(R142:R144)/AVERAGE(R139:R141))^4-1,"")</f>
        <v/>
      </c>
      <c r="T144" s="10" t="n">
        <v>102.68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0" t="n">
        <v>103.46</v>
      </c>
      <c r="Y144" s="12">
        <f>IF(COUNT(X139:X144)=6,(AVERAGE(X142:X144)/AVERAGE(X139:X141))^4-1,"")</f>
        <v/>
      </c>
      <c r="Z144" s="10" t="n">
        <v>104.85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0" t="n">
        <v>103.56</v>
      </c>
      <c r="AE144" s="12">
        <f>IF(COUNT(AD139:AD144)=6,(AVERAGE(AD142:AD144)/AVERAGE(AD139:AD141))^4-1,"")</f>
        <v/>
      </c>
      <c r="AF144" s="10" t="n">
        <v>101.54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0" t="n">
        <v>101.74</v>
      </c>
      <c r="AK144" s="12">
        <f>IF(COUNT(AJ139:AJ144)=6,(AVERAGE(AJ142:AJ144)/AVERAGE(AJ139:AJ141))^4-1,"")</f>
        <v/>
      </c>
      <c r="AL144" s="10" t="n">
        <v>113.05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0" t="n">
        <v>113.05</v>
      </c>
      <c r="AQ144" s="12">
        <f>IF(COUNT(AP139:AP144)=6,(AVERAGE(AP142:AP144)/AVERAGE(AP139:AP141))^4-1,"")</f>
        <v/>
      </c>
      <c r="AR144" s="10" t="n">
        <v>108.72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107.7145</v>
      </c>
      <c r="AW144" s="12">
        <f>IF(COUNT(AV139:AV144)=6,(AVERAGE(AV142:AV144)/AVERAGE(AV139:AV141))^4-1,"")</f>
        <v/>
      </c>
    </row>
    <row r="145">
      <c r="A145" s="9" t="n">
        <v>46266</v>
      </c>
      <c r="B145" s="10" t="n">
        <v>104.31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0" t="n">
        <v>104.15</v>
      </c>
      <c r="G145" s="12">
        <f>IF(COUNT(F140:F145)=6,(AVERAGE(F143:F145)/AVERAGE(F140:F142))^4-1,"")</f>
        <v/>
      </c>
      <c r="H145" s="10" t="n">
        <v>103.31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0" t="n">
        <v>102.99</v>
      </c>
      <c r="M145" s="12">
        <f>IF(COUNT(L140:L145)=6,(AVERAGE(L143:L145)/AVERAGE(L140:L142))^4-1,"")</f>
        <v/>
      </c>
      <c r="N145" s="10" t="n">
        <v>102.97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0" t="n">
        <v>102.79</v>
      </c>
      <c r="S145" s="12">
        <f>IF(COUNT(R140:R145)=6,(AVERAGE(R143:R145)/AVERAGE(R140:R142))^4-1,"")</f>
        <v/>
      </c>
      <c r="T145" s="10" t="n">
        <v>104.49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0" t="n">
        <v>104.36</v>
      </c>
      <c r="Y145" s="12">
        <f>IF(COUNT(X140:X145)=6,(AVERAGE(X143:X145)/AVERAGE(X140:X142))^4-1,"")</f>
        <v/>
      </c>
      <c r="Z145" s="10" t="n">
        <v>104.12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0" t="n">
        <v>103.91</v>
      </c>
      <c r="AE145" s="12">
        <f>IF(COUNT(AD140:AD145)=6,(AVERAGE(AD143:AD145)/AVERAGE(AD140:AD142))^4-1,"")</f>
        <v/>
      </c>
      <c r="AF145" s="10" t="n">
        <v>101.69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0" t="n">
        <v>102.02</v>
      </c>
      <c r="AK145" s="12">
        <f>IF(COUNT(AJ140:AJ145)=6,(AVERAGE(AJ143:AJ145)/AVERAGE(AJ140:AJ142))^4-1,"")</f>
        <v/>
      </c>
      <c r="AL145" s="10" t="n">
        <v>117.57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0" t="n">
        <v>117.57</v>
      </c>
      <c r="AQ145" s="12">
        <f>IF(COUNT(AP140:AP145)=6,(AVERAGE(AP143:AP145)/AVERAGE(AP140:AP142))^4-1,"")</f>
        <v/>
      </c>
      <c r="AR145" s="10" t="n">
        <v>109.41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107.9734</v>
      </c>
      <c r="AW145" s="12">
        <f>IF(COUNT(AV140:AV145)=6,(AVERAGE(AV143:AV145)/AVERAGE(AV140:AV142))^4-1,"")</f>
        <v/>
      </c>
    </row>
  </sheetData>
  <mergeCells count="8">
    <mergeCell ref="B3:G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Italia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</row>
    <row r="5">
      <c r="A5" s="9" t="n">
        <v>42005</v>
      </c>
      <c r="B5" s="10" t="n">
        <v>78.90000000000001</v>
      </c>
      <c r="C5" s="11">
        <f>IF(ISNUMBER(B5),B5/B$65*100,"")</f>
        <v/>
      </c>
      <c r="D5" s="12" t="n"/>
      <c r="E5" s="12" t="n"/>
      <c r="F5" s="11" t="n">
        <v>80.0124</v>
      </c>
      <c r="G5" s="12" t="n"/>
      <c r="H5" s="10" t="n">
        <v>83.40000000000001</v>
      </c>
      <c r="I5" s="11">
        <f>IF(ISNUMBER(H5),H5/H$65*100,"")</f>
        <v/>
      </c>
      <c r="J5" s="12" t="n"/>
      <c r="K5" s="12" t="n"/>
      <c r="L5" s="11" t="n">
        <v>85.3065</v>
      </c>
      <c r="M5" s="12" t="n"/>
      <c r="N5" s="10" t="n">
        <v>81.09999999999999</v>
      </c>
      <c r="O5" s="11">
        <f>IF(ISNUMBER(N5),N5/N$65*100,"")</f>
        <v/>
      </c>
      <c r="P5" s="12" t="n"/>
      <c r="Q5" s="12" t="n"/>
      <c r="R5" s="11" t="n">
        <v>82.4303</v>
      </c>
      <c r="S5" s="12" t="n"/>
      <c r="T5" s="10" t="n">
        <v>77.09999999999999</v>
      </c>
      <c r="U5" s="11">
        <f>IF(ISNUMBER(T5),T5/T$65*100,"")</f>
        <v/>
      </c>
      <c r="V5" s="12" t="n"/>
      <c r="W5" s="12" t="n"/>
      <c r="X5" s="11" t="n">
        <v>78.5548</v>
      </c>
      <c r="Y5" s="12" t="n"/>
      <c r="Z5" s="10" t="n">
        <v>82.2</v>
      </c>
      <c r="AA5" s="11">
        <f>IF(ISNUMBER(Z5),Z5/Z$65*100,"")</f>
        <v/>
      </c>
      <c r="AB5" s="12" t="n"/>
      <c r="AC5" s="12" t="n"/>
      <c r="AD5" s="11" t="n">
        <v>82.7624</v>
      </c>
      <c r="AE5" s="12" t="n"/>
      <c r="AF5" s="10" t="n">
        <v>74.90000000000001</v>
      </c>
      <c r="AG5" s="11">
        <f>IF(ISNUMBER(AF5),AF5/AF$65*100,"")</f>
        <v/>
      </c>
      <c r="AH5" s="12" t="n"/>
      <c r="AI5" s="12" t="n"/>
      <c r="AJ5" s="11" t="n">
        <v>74.57250000000001</v>
      </c>
      <c r="AK5" s="12" t="n"/>
      <c r="AL5" s="10" t="n">
        <v>67.8</v>
      </c>
      <c r="AM5" s="11">
        <f>IF(ISNUMBER(AL5),AL5/AL$65*100,"")</f>
        <v/>
      </c>
      <c r="AN5" s="12" t="n"/>
      <c r="AO5" s="12" t="n"/>
      <c r="AP5" s="11" t="n">
        <v>67.3105</v>
      </c>
      <c r="AQ5" s="12" t="n"/>
      <c r="AR5" s="10" t="n">
        <v>79.5</v>
      </c>
      <c r="AS5" s="11">
        <f>IF(ISNUMBER(AR5),AR5/AR$65*100,"")</f>
        <v/>
      </c>
      <c r="AT5" s="12" t="n"/>
      <c r="AU5" s="12" t="n"/>
      <c r="AV5" s="11" t="n">
        <v>80.2136</v>
      </c>
      <c r="AW5" s="12" t="n"/>
    </row>
    <row r="6">
      <c r="A6" s="9" t="n">
        <v>42036</v>
      </c>
      <c r="B6" s="10" t="n">
        <v>79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80.4019</v>
      </c>
      <c r="G6" s="12" t="n"/>
      <c r="H6" s="10" t="n">
        <v>83.40000000000001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85.4473</v>
      </c>
      <c r="M6" s="12" t="n"/>
      <c r="N6" s="10" t="n">
        <v>81.3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82.9105</v>
      </c>
      <c r="S6" s="12" t="n"/>
      <c r="T6" s="10" t="n">
        <v>77.2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79.1871</v>
      </c>
      <c r="Y6" s="12" t="n"/>
      <c r="Z6" s="10" t="n">
        <v>82.40000000000001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82.9495</v>
      </c>
      <c r="AE6" s="12" t="n"/>
      <c r="AF6" s="10" t="n">
        <v>75.5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75.3068</v>
      </c>
      <c r="AK6" s="12" t="n"/>
      <c r="AL6" s="10" t="n">
        <v>67.90000000000001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67.4864</v>
      </c>
      <c r="AQ6" s="12" t="n"/>
      <c r="AR6" s="10" t="n">
        <v>80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80.4178</v>
      </c>
      <c r="AW6" s="12" t="n"/>
    </row>
    <row r="7">
      <c r="A7" s="9" t="n">
        <v>42064</v>
      </c>
      <c r="B7" s="10" t="n">
        <v>80.7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80.38590000000001</v>
      </c>
      <c r="G7" s="12" t="n"/>
      <c r="H7" s="10" t="n">
        <v>85.8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85.489</v>
      </c>
      <c r="M7" s="12" t="n"/>
      <c r="N7" s="10" t="n">
        <v>83.09999999999999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82.7906</v>
      </c>
      <c r="S7" s="12" t="n"/>
      <c r="T7" s="10" t="n">
        <v>80.2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79.42610000000001</v>
      </c>
      <c r="Y7" s="12" t="n"/>
      <c r="Z7" s="10" t="n">
        <v>82.40000000000001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82.7688</v>
      </c>
      <c r="AE7" s="12" t="n"/>
      <c r="AF7" s="10" t="n">
        <v>75.40000000000001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75.20140000000001</v>
      </c>
      <c r="AK7" s="12" t="n"/>
      <c r="AL7" s="10" t="n">
        <v>69.2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68.6951</v>
      </c>
      <c r="AQ7" s="12" t="n"/>
      <c r="AR7" s="10" t="n">
        <v>81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81.4212</v>
      </c>
      <c r="AW7" s="12" t="n"/>
    </row>
    <row r="8">
      <c r="A8" s="9" t="n">
        <v>42095</v>
      </c>
      <c r="B8" s="10" t="n">
        <v>81.09999999999999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80.42749999999999</v>
      </c>
      <c r="G8" s="12" t="n"/>
      <c r="H8" s="10" t="n">
        <v>86.5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85.4834</v>
      </c>
      <c r="M8" s="12" t="n"/>
      <c r="N8" s="10" t="n">
        <v>83.59999999999999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82.7801</v>
      </c>
      <c r="S8" s="12" t="n"/>
      <c r="T8" s="10" t="n">
        <v>80.5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79.45140000000001</v>
      </c>
      <c r="Y8" s="12" t="n"/>
      <c r="Z8" s="10" t="n">
        <v>82.90000000000001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82.7081</v>
      </c>
      <c r="AE8" s="12" t="n"/>
      <c r="AF8" s="10" t="n">
        <v>75.40000000000001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75.28400000000001</v>
      </c>
      <c r="AK8" s="12" t="n"/>
      <c r="AL8" s="10" t="n">
        <v>68.40000000000001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68.7539</v>
      </c>
      <c r="AQ8" s="12" t="n"/>
      <c r="AR8" s="10" t="n">
        <v>81.40000000000001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81.605</v>
      </c>
      <c r="AW8" s="12" t="n"/>
    </row>
    <row r="9">
      <c r="A9" s="9" t="n">
        <v>42125</v>
      </c>
      <c r="B9" s="10" t="n">
        <v>81.2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80.5283</v>
      </c>
      <c r="G9" s="12" t="n"/>
      <c r="H9" s="10" t="n">
        <v>86.59999999999999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85.6309</v>
      </c>
      <c r="M9" s="12" t="n"/>
      <c r="N9" s="10" t="n">
        <v>83.7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82.89830000000001</v>
      </c>
      <c r="S9" s="12" t="n"/>
      <c r="T9" s="10" t="n">
        <v>80.7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79.58410000000001</v>
      </c>
      <c r="Y9" s="12" t="n"/>
      <c r="Z9" s="10" t="n">
        <v>83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82.926</v>
      </c>
      <c r="AE9" s="12" t="n"/>
      <c r="AF9" s="10" t="n">
        <v>75.5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75.1703</v>
      </c>
      <c r="AK9" s="12" t="n"/>
      <c r="AL9" s="10" t="n">
        <v>69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69.1673</v>
      </c>
      <c r="AQ9" s="12" t="n"/>
      <c r="AR9" s="10" t="n">
        <v>81.8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81.8524</v>
      </c>
      <c r="AW9" s="12" t="n"/>
    </row>
    <row r="10">
      <c r="A10" s="9" t="n">
        <v>42156</v>
      </c>
      <c r="B10" s="10" t="n">
        <v>81.3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80.5641</v>
      </c>
      <c r="G10" s="12">
        <f>IF(COUNT(F5:F10)=6,(AVERAGE(F8:F10)/AVERAGE(F5:F7))^4-1,"")</f>
        <v/>
      </c>
      <c r="H10" s="10" t="n">
        <v>86.7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85.6755</v>
      </c>
      <c r="M10" s="12">
        <f>IF(COUNT(L5:L10)=6,(AVERAGE(L8:L10)/AVERAGE(L5:L7))^4-1,"")</f>
        <v/>
      </c>
      <c r="N10" s="10" t="n">
        <v>83.8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82.96120000000001</v>
      </c>
      <c r="S10" s="12">
        <f>IF(COUNT(R5:R10)=6,(AVERAGE(R8:R10)/AVERAGE(R5:R7))^4-1,"")</f>
        <v/>
      </c>
      <c r="T10" s="10" t="n">
        <v>80.7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79.621</v>
      </c>
      <c r="Y10" s="12">
        <f>IF(COUNT(X5:X10)=6,(AVERAGE(X8:X10)/AVERAGE(X5:X7))^4-1,"")</f>
        <v/>
      </c>
      <c r="Z10" s="10" t="n">
        <v>83.09999999999999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82.8361</v>
      </c>
      <c r="AE10" s="12">
        <f>IF(COUNT(AD5:AD10)=6,(AVERAGE(AD8:AD10)/AVERAGE(AD5:AD7))^4-1,"")</f>
        <v/>
      </c>
      <c r="AF10" s="10" t="n">
        <v>75.5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75.21599999999999</v>
      </c>
      <c r="AK10" s="12">
        <f>IF(COUNT(AJ5:AJ10)=6,(AVERAGE(AJ8:AJ10)/AVERAGE(AJ5:AJ7))^4-1,"")</f>
        <v/>
      </c>
      <c r="AL10" s="10" t="n">
        <v>69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69.2381</v>
      </c>
      <c r="AQ10" s="12">
        <f>IF(COUNT(AP5:AP10)=6,(AVERAGE(AP8:AP10)/AVERAGE(AP5:AP7))^4-1,"")</f>
        <v/>
      </c>
      <c r="AR10" s="10" t="n">
        <v>82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81.7525</v>
      </c>
      <c r="AW10" s="12">
        <f>IF(COUNT(AV5:AV10)=6,(AVERAGE(AV8:AV10)/AVERAGE(AV5:AV7))^4-1,"")</f>
        <v/>
      </c>
    </row>
    <row r="11">
      <c r="A11" s="9" t="n">
        <v>42186</v>
      </c>
      <c r="B11" s="10" t="n">
        <v>79.7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80.51779999999999</v>
      </c>
      <c r="G11" s="12">
        <f>IF(COUNT(F6:F11)=6,(AVERAGE(F9:F11)/AVERAGE(F6:F8))^4-1,"")</f>
        <v/>
      </c>
      <c r="H11" s="10" t="n">
        <v>84.59999999999999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85.6195</v>
      </c>
      <c r="M11" s="12">
        <f>IF(COUNT(L6:L11)=6,(AVERAGE(L9:L11)/AVERAGE(L6:L8))^4-1,"")</f>
        <v/>
      </c>
      <c r="N11" s="10" t="n">
        <v>82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82.8695</v>
      </c>
      <c r="S11" s="12">
        <f>IF(COUNT(R6:R11)=6,(AVERAGE(R9:R11)/AVERAGE(R6:R8))^4-1,"")</f>
        <v/>
      </c>
      <c r="T11" s="10" t="n">
        <v>77.7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79.4697</v>
      </c>
      <c r="Y11" s="12">
        <f>IF(COUNT(X6:X11)=6,(AVERAGE(X9:X11)/AVERAGE(X6:X8))^4-1,"")</f>
        <v/>
      </c>
      <c r="Z11" s="10" t="n">
        <v>83.5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82.8995</v>
      </c>
      <c r="AE11" s="12">
        <f>IF(COUNT(AD6:AD11)=6,(AVERAGE(AD9:AD11)/AVERAGE(AD6:AD8))^4-1,"")</f>
        <v/>
      </c>
      <c r="AF11" s="10" t="n">
        <v>74.8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75.1052</v>
      </c>
      <c r="AK11" s="12">
        <f>IF(COUNT(AJ6:AJ11)=6,(AVERAGE(AJ9:AJ11)/AVERAGE(AJ6:AJ8))^4-1,"")</f>
        <v/>
      </c>
      <c r="AL11" s="10" t="n">
        <v>68.59999999999999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68.91679999999999</v>
      </c>
      <c r="AQ11" s="12">
        <f>IF(COUNT(AP6:AP11)=6,(AVERAGE(AP9:AP11)/AVERAGE(AP6:AP8))^4-1,"")</f>
        <v/>
      </c>
      <c r="AR11" s="10" t="n">
        <v>82.7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81.9735</v>
      </c>
      <c r="AW11" s="12">
        <f>IF(COUNT(AV6:AV11)=6,(AVERAGE(AV9:AV11)/AVERAGE(AV6:AV8))^4-1,"")</f>
        <v/>
      </c>
    </row>
    <row r="12">
      <c r="A12" s="9" t="n">
        <v>42217</v>
      </c>
      <c r="B12" s="10" t="n">
        <v>79.59999999999999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80.4858</v>
      </c>
      <c r="G12" s="12">
        <f>IF(COUNT(F7:F12)=6,(AVERAGE(F10:F12)/AVERAGE(F7:F9))^4-1,"")</f>
        <v/>
      </c>
      <c r="H12" s="10" t="n">
        <v>84.5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85.71040000000001</v>
      </c>
      <c r="M12" s="12">
        <f>IF(COUNT(L7:L12)=6,(AVERAGE(L10:L12)/AVERAGE(L7:L9))^4-1,"")</f>
        <v/>
      </c>
      <c r="N12" s="10" t="n">
        <v>82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82.9349</v>
      </c>
      <c r="S12" s="12">
        <f>IF(COUNT(R7:R12)=6,(AVERAGE(R10:R12)/AVERAGE(R7:R9))^4-1,"")</f>
        <v/>
      </c>
      <c r="T12" s="10" t="n">
        <v>77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79.3687</v>
      </c>
      <c r="Y12" s="12">
        <f>IF(COUNT(X7:X12)=6,(AVERAGE(X10:X12)/AVERAGE(X7:X9))^4-1,"")</f>
        <v/>
      </c>
      <c r="Z12" s="10" t="n">
        <v>84.2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83.1319</v>
      </c>
      <c r="AE12" s="12">
        <f>IF(COUNT(AD7:AD12)=6,(AVERAGE(AD10:AD12)/AVERAGE(AD7:AD9))^4-1,"")</f>
        <v/>
      </c>
      <c r="AF12" s="10" t="n">
        <v>74.90000000000001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75.1977</v>
      </c>
      <c r="AK12" s="12">
        <f>IF(COUNT(AJ7:AJ12)=6,(AVERAGE(AJ10:AJ12)/AVERAGE(AJ7:AJ9))^4-1,"")</f>
        <v/>
      </c>
      <c r="AL12" s="10" t="n">
        <v>67.7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68.01430000000001</v>
      </c>
      <c r="AQ12" s="12">
        <f>IF(COUNT(AP7:AP12)=6,(AVERAGE(AP10:AP12)/AVERAGE(AP7:AP9))^4-1,"")</f>
        <v/>
      </c>
      <c r="AR12" s="10" t="n">
        <v>83.5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81.2831</v>
      </c>
      <c r="AW12" s="12">
        <f>IF(COUNT(AV7:AV12)=6,(AVERAGE(AV10:AV12)/AVERAGE(AV7:AV9))^4-1,"")</f>
        <v/>
      </c>
    </row>
    <row r="13">
      <c r="A13" s="9" t="n">
        <v>42248</v>
      </c>
      <c r="B13" s="10" t="n">
        <v>80.90000000000001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80.4435</v>
      </c>
      <c r="G13" s="12">
        <f>IF(COUNT(F8:F13)=6,(AVERAGE(F11:F13)/AVERAGE(F8:F10))^4-1,"")</f>
        <v/>
      </c>
      <c r="H13" s="10" t="n">
        <v>86.7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85.84820000000001</v>
      </c>
      <c r="M13" s="12">
        <f>IF(COUNT(L8:L13)=6,(AVERAGE(L11:L13)/AVERAGE(L8:L10))^4-1,"")</f>
        <v/>
      </c>
      <c r="N13" s="10" t="n">
        <v>83.7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83.149</v>
      </c>
      <c r="S13" s="12">
        <f>IF(COUNT(R8:R13)=6,(AVERAGE(R11:R13)/AVERAGE(R8:R10))^4-1,"")</f>
        <v/>
      </c>
      <c r="T13" s="10" t="n">
        <v>79.8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79.2723</v>
      </c>
      <c r="Y13" s="12">
        <f>IF(COUNT(X8:X13)=6,(AVERAGE(X11:X13)/AVERAGE(X8:X10))^4-1,"")</f>
        <v/>
      </c>
      <c r="Z13" s="10" t="n">
        <v>83.40000000000001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83.1138</v>
      </c>
      <c r="AE13" s="12">
        <f>IF(COUNT(AD8:AD13)=6,(AVERAGE(AD11:AD13)/AVERAGE(AD8:AD10))^4-1,"")</f>
        <v/>
      </c>
      <c r="AF13" s="10" t="n">
        <v>75.2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75.56529999999999</v>
      </c>
      <c r="AK13" s="12">
        <f>IF(COUNT(AJ8:AJ13)=6,(AVERAGE(AJ11:AJ13)/AVERAGE(AJ8:AJ10))^4-1,"")</f>
        <v/>
      </c>
      <c r="AL13" s="10" t="n">
        <v>66.5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66.68219999999999</v>
      </c>
      <c r="AQ13" s="12">
        <f>IF(COUNT(AP8:AP13)=6,(AVERAGE(AP11:AP13)/AVERAGE(AP8:AP10))^4-1,"")</f>
        <v/>
      </c>
      <c r="AR13" s="10" t="n">
        <v>80.7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80.5544</v>
      </c>
      <c r="AW13" s="12">
        <f>IF(COUNT(AV8:AV13)=6,(AVERAGE(AV11:AV13)/AVERAGE(AV8:AV10))^4-1,"")</f>
        <v/>
      </c>
    </row>
    <row r="14">
      <c r="A14" s="9" t="n">
        <v>42278</v>
      </c>
      <c r="B14" s="10" t="n">
        <v>81.3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80.697</v>
      </c>
      <c r="G14" s="12">
        <f>IF(COUNT(F9:F14)=6,(AVERAGE(F12:F14)/AVERAGE(F9:F11))^4-1,"")</f>
        <v/>
      </c>
      <c r="H14" s="10" t="n">
        <v>87.09999999999999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86.21129999999999</v>
      </c>
      <c r="M14" s="12">
        <f>IF(COUNT(L9:L14)=6,(AVERAGE(L12:L14)/AVERAGE(L9:L11))^4-1,"")</f>
        <v/>
      </c>
      <c r="N14" s="10" t="n">
        <v>84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83.4271</v>
      </c>
      <c r="S14" s="12">
        <f>IF(COUNT(R9:R14)=6,(AVERAGE(R12:R14)/AVERAGE(R9:R11))^4-1,"")</f>
        <v/>
      </c>
      <c r="T14" s="10" t="n">
        <v>80.5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79.41849999999999</v>
      </c>
      <c r="Y14" s="12">
        <f>IF(COUNT(X9:X14)=6,(AVERAGE(X12:X14)/AVERAGE(X9:X11))^4-1,"")</f>
        <v/>
      </c>
      <c r="Z14" s="10" t="n">
        <v>83.40000000000001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83.4633</v>
      </c>
      <c r="AE14" s="12">
        <f>IF(COUNT(AD9:AD14)=6,(AVERAGE(AD12:AD14)/AVERAGE(AD9:AD11))^4-1,"")</f>
        <v/>
      </c>
      <c r="AF14" s="10" t="n">
        <v>75.5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75.8336</v>
      </c>
      <c r="AK14" s="12">
        <f>IF(COUNT(AJ9:AJ14)=6,(AVERAGE(AJ12:AJ14)/AVERAGE(AJ9:AJ11))^4-1,"")</f>
        <v/>
      </c>
      <c r="AL14" s="10" t="n">
        <v>67.09999999999999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66.9624</v>
      </c>
      <c r="AQ14" s="12">
        <f>IF(COUNT(AP9:AP14)=6,(AVERAGE(AP12:AP14)/AVERAGE(AP9:AP11))^4-1,"")</f>
        <v/>
      </c>
      <c r="AR14" s="10" t="n">
        <v>80.2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80.4346</v>
      </c>
      <c r="AW14" s="12">
        <f>IF(COUNT(AV9:AV14)=6,(AVERAGE(AV12:AV14)/AVERAGE(AV9:AV11))^4-1,"")</f>
        <v/>
      </c>
    </row>
    <row r="15">
      <c r="A15" s="9" t="n">
        <v>42309</v>
      </c>
      <c r="B15" s="10" t="n">
        <v>81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80.64400000000001</v>
      </c>
      <c r="G15" s="12">
        <f>IF(COUNT(F10:F15)=6,(AVERAGE(F13:F15)/AVERAGE(F10:F12))^4-1,"")</f>
        <v/>
      </c>
      <c r="H15" s="10" t="n">
        <v>86.5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85.9973</v>
      </c>
      <c r="M15" s="12">
        <f>IF(COUNT(L10:L15)=6,(AVERAGE(L13:L15)/AVERAGE(L10:L12))^4-1,"")</f>
        <v/>
      </c>
      <c r="N15" s="10" t="n">
        <v>83.7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83.3584</v>
      </c>
      <c r="S15" s="12">
        <f>IF(COUNT(R10:R15)=6,(AVERAGE(R13:R15)/AVERAGE(R10:R12))^4-1,"")</f>
        <v/>
      </c>
      <c r="T15" s="10" t="n">
        <v>80.5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79.39279999999999</v>
      </c>
      <c r="Y15" s="12">
        <f>IF(COUNT(X10:X15)=6,(AVERAGE(X13:X15)/AVERAGE(X10:X12))^4-1,"")</f>
        <v/>
      </c>
      <c r="Z15" s="10" t="n">
        <v>82.7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83.321</v>
      </c>
      <c r="AE15" s="12">
        <f>IF(COUNT(AD10:AD15)=6,(AVERAGE(AD13:AD15)/AVERAGE(AD10:AD12))^4-1,"")</f>
        <v/>
      </c>
      <c r="AF15" s="10" t="n">
        <v>75.7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75.7915</v>
      </c>
      <c r="AK15" s="12">
        <f>IF(COUNT(AJ10:AJ15)=6,(AVERAGE(AJ13:AJ15)/AVERAGE(AJ10:AJ12))^4-1,"")</f>
        <v/>
      </c>
      <c r="AL15" s="10" t="n">
        <v>66.90000000000001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66.77209999999999</v>
      </c>
      <c r="AQ15" s="12">
        <f>IF(COUNT(AP10:AP15)=6,(AVERAGE(AP13:AP15)/AVERAGE(AP10:AP12))^4-1,"")</f>
        <v/>
      </c>
      <c r="AR15" s="10" t="n">
        <v>79.5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80.3442</v>
      </c>
      <c r="AW15" s="12">
        <f>IF(COUNT(AV10:AV15)=6,(AVERAGE(AV13:AV15)/AVERAGE(AV10:AV12))^4-1,"")</f>
        <v/>
      </c>
    </row>
    <row r="16">
      <c r="A16" s="9" t="n">
        <v>42339</v>
      </c>
      <c r="B16" s="10" t="n">
        <v>80.90000000000001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80.446</v>
      </c>
      <c r="G16" s="12">
        <f>IF(COUNT(F11:F16)=6,(AVERAGE(F14:F16)/AVERAGE(F11:F13))^4-1,"")</f>
        <v/>
      </c>
      <c r="H16" s="10" t="n">
        <v>86.59999999999999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85.9242</v>
      </c>
      <c r="M16" s="12">
        <f>IF(COUNT(L11:L16)=6,(AVERAGE(L14:L16)/AVERAGE(L11:L13))^4-1,"")</f>
        <v/>
      </c>
      <c r="N16" s="10" t="n">
        <v>83.7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83.2046</v>
      </c>
      <c r="S16" s="12">
        <f>IF(COUNT(R11:R16)=6,(AVERAGE(R14:R16)/AVERAGE(R11:R13))^4-1,"")</f>
        <v/>
      </c>
      <c r="T16" s="10" t="n">
        <v>80.3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79.26609999999999</v>
      </c>
      <c r="Y16" s="12">
        <f>IF(COUNT(X11:X16)=6,(AVERAGE(X14:X16)/AVERAGE(X11:X13))^4-1,"")</f>
        <v/>
      </c>
      <c r="Z16" s="10" t="n">
        <v>82.8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83.2086</v>
      </c>
      <c r="AE16" s="12">
        <f>IF(COUNT(AD11:AD16)=6,(AVERAGE(AD14:AD16)/AVERAGE(AD11:AD13))^4-1,"")</f>
        <v/>
      </c>
      <c r="AF16" s="10" t="n">
        <v>75.40000000000001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75.50360000000001</v>
      </c>
      <c r="AK16" s="12">
        <f>IF(COUNT(AJ11:AJ16)=6,(AVERAGE(AJ14:AJ16)/AVERAGE(AJ11:AJ13))^4-1,"")</f>
        <v/>
      </c>
      <c r="AL16" s="10" t="n">
        <v>66.59999999999999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66.55110000000001</v>
      </c>
      <c r="AQ16" s="12">
        <f>IF(COUNT(AP11:AP16)=6,(AVERAGE(AP14:AP16)/AVERAGE(AP11:AP13))^4-1,"")</f>
        <v/>
      </c>
      <c r="AR16" s="10" t="n">
        <v>79.5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79.8258</v>
      </c>
      <c r="AW16" s="12">
        <f>IF(COUNT(AV11:AV16)=6,(AVERAGE(AV14:AV16)/AVERAGE(AV11:AV13))^4-1,"")</f>
        <v/>
      </c>
    </row>
    <row r="17">
      <c r="A17" s="9" t="n">
        <v>42370</v>
      </c>
      <c r="B17" s="10" t="n">
        <v>79.2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80.3052</v>
      </c>
      <c r="G17" s="12">
        <f>IF(COUNT(F12:F17)=6,(AVERAGE(F15:F17)/AVERAGE(F12:F14))^4-1,"")</f>
        <v/>
      </c>
      <c r="H17" s="10" t="n">
        <v>84.09999999999999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86.0354</v>
      </c>
      <c r="M17" s="12">
        <f>IF(COUNT(L12:L17)=6,(AVERAGE(L15:L17)/AVERAGE(L12:L14))^4-1,"")</f>
        <v/>
      </c>
      <c r="N17" s="10" t="n">
        <v>81.90000000000001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83.23180000000001</v>
      </c>
      <c r="S17" s="12">
        <f>IF(COUNT(R12:R17)=6,(AVERAGE(R15:R17)/AVERAGE(R12:R14))^4-1,"")</f>
        <v/>
      </c>
      <c r="T17" s="10" t="n">
        <v>77.2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78.616</v>
      </c>
      <c r="Y17" s="12">
        <f>IF(COUNT(X12:X17)=6,(AVERAGE(X15:X17)/AVERAGE(X12:X14))^4-1,"")</f>
        <v/>
      </c>
      <c r="Z17" s="10" t="n">
        <v>82.8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83.4012</v>
      </c>
      <c r="AE17" s="12">
        <f>IF(COUNT(AD12:AD17)=6,(AVERAGE(AD15:AD17)/AVERAGE(AD12:AD14))^4-1,"")</f>
        <v/>
      </c>
      <c r="AF17" s="10" t="n">
        <v>75.5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75.15170000000001</v>
      </c>
      <c r="AK17" s="12">
        <f>IF(COUNT(AJ12:AJ17)=6,(AVERAGE(AJ15:AJ17)/AVERAGE(AJ12:AJ14))^4-1,"")</f>
        <v/>
      </c>
      <c r="AL17" s="10" t="n">
        <v>65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64.4498</v>
      </c>
      <c r="AQ17" s="12">
        <f>IF(COUNT(AP12:AP17)=6,(AVERAGE(AP15:AP17)/AVERAGE(AP12:AP14))^4-1,"")</f>
        <v/>
      </c>
      <c r="AR17" s="10" t="n">
        <v>78.59999999999999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79.37609999999999</v>
      </c>
      <c r="AW17" s="12">
        <f>IF(COUNT(AV12:AV17)=6,(AVERAGE(AV15:AV17)/AVERAGE(AV12:AV14))^4-1,"")</f>
        <v/>
      </c>
    </row>
    <row r="18">
      <c r="A18" s="9" t="n">
        <v>42401</v>
      </c>
      <c r="B18" s="10" t="n">
        <v>78.8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80.20569999999999</v>
      </c>
      <c r="G18" s="12">
        <f>IF(COUNT(F13:F18)=6,(AVERAGE(F16:F18)/AVERAGE(F13:F15))^4-1,"")</f>
        <v/>
      </c>
      <c r="H18" s="10" t="n">
        <v>83.8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85.9396</v>
      </c>
      <c r="M18" s="12">
        <f>IF(COUNT(L13:L18)=6,(AVERAGE(L16:L18)/AVERAGE(L13:L15))^4-1,"")</f>
        <v/>
      </c>
      <c r="N18" s="10" t="n">
        <v>81.59999999999999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83.2269</v>
      </c>
      <c r="S18" s="12">
        <f>IF(COUNT(R13:R18)=6,(AVERAGE(R16:R18)/AVERAGE(R13:R15))^4-1,"")</f>
        <v/>
      </c>
      <c r="T18" s="10" t="n">
        <v>76.7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78.67400000000001</v>
      </c>
      <c r="Y18" s="12">
        <f>IF(COUNT(X13:X18)=6,(AVERAGE(X16:X18)/AVERAGE(X13:X15))^4-1,"")</f>
        <v/>
      </c>
      <c r="Z18" s="10" t="n">
        <v>82.8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83.3788</v>
      </c>
      <c r="AE18" s="12">
        <f>IF(COUNT(AD13:AD18)=6,(AVERAGE(AD16:AD18)/AVERAGE(AD13:AD15))^4-1,"")</f>
        <v/>
      </c>
      <c r="AF18" s="10" t="n">
        <v>75.3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75.1194</v>
      </c>
      <c r="AK18" s="12">
        <f>IF(COUNT(AJ13:AJ18)=6,(AVERAGE(AJ16:AJ18)/AVERAGE(AJ13:AJ15))^4-1,"")</f>
        <v/>
      </c>
      <c r="AL18" s="10" t="n">
        <v>64.2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63.7454</v>
      </c>
      <c r="AQ18" s="12">
        <f>IF(COUNT(AP13:AP18)=6,(AVERAGE(AP16:AP18)/AVERAGE(AP13:AP15))^4-1,"")</f>
        <v/>
      </c>
      <c r="AR18" s="10" t="n">
        <v>77.90000000000001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78.2942</v>
      </c>
      <c r="AW18" s="12">
        <f>IF(COUNT(AV13:AV18)=6,(AVERAGE(AV16:AV18)/AVERAGE(AV13:AV15))^4-1,"")</f>
        <v/>
      </c>
    </row>
    <row r="19">
      <c r="A19" s="9" t="n">
        <v>42430</v>
      </c>
      <c r="B19" s="10" t="n">
        <v>80.5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80.1844</v>
      </c>
      <c r="G19" s="12">
        <f>IF(COUNT(F14:F19)=6,(AVERAGE(F17:F19)/AVERAGE(F14:F16))^4-1,"")</f>
        <v/>
      </c>
      <c r="H19" s="10" t="n">
        <v>86.40000000000001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86.0861</v>
      </c>
      <c r="M19" s="12">
        <f>IF(COUNT(L14:L19)=6,(AVERAGE(L17:L19)/AVERAGE(L14:L16))^4-1,"")</f>
        <v/>
      </c>
      <c r="N19" s="10" t="n">
        <v>83.5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83.1947</v>
      </c>
      <c r="S19" s="12">
        <f>IF(COUNT(R14:R19)=6,(AVERAGE(R17:R19)/AVERAGE(R14:R16))^4-1,"")</f>
        <v/>
      </c>
      <c r="T19" s="10" t="n">
        <v>79.5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78.71129999999999</v>
      </c>
      <c r="Y19" s="12">
        <f>IF(COUNT(X14:X19)=6,(AVERAGE(X17:X19)/AVERAGE(X14:X16))^4-1,"")</f>
        <v/>
      </c>
      <c r="Z19" s="10" t="n">
        <v>82.90000000000001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83.30410000000001</v>
      </c>
      <c r="AE19" s="12">
        <f>IF(COUNT(AD14:AD19)=6,(AVERAGE(AD17:AD19)/AVERAGE(AD14:AD16))^4-1,"")</f>
        <v/>
      </c>
      <c r="AF19" s="10" t="n">
        <v>75.2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75.0014</v>
      </c>
      <c r="AK19" s="12">
        <f>IF(COUNT(AJ14:AJ19)=6,(AVERAGE(AJ17:AJ19)/AVERAGE(AJ14:AJ16))^4-1,"")</f>
        <v/>
      </c>
      <c r="AL19" s="10" t="n">
        <v>64.40000000000001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63.933</v>
      </c>
      <c r="AQ19" s="12">
        <f>IF(COUNT(AP14:AP19)=6,(AVERAGE(AP17:AP19)/AVERAGE(AP14:AP16))^4-1,"")</f>
        <v/>
      </c>
      <c r="AR19" s="10" t="n">
        <v>78.59999999999999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79.07729999999999</v>
      </c>
      <c r="AW19" s="12">
        <f>IF(COUNT(AV14:AV19)=6,(AVERAGE(AV17:AV19)/AVERAGE(AV14:AV16))^4-1,"")</f>
        <v/>
      </c>
    </row>
    <row r="20">
      <c r="A20" s="9" t="n">
        <v>42461</v>
      </c>
      <c r="B20" s="10" t="n">
        <v>80.7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80.038</v>
      </c>
      <c r="G20" s="12">
        <f>IF(COUNT(F15:F20)=6,(AVERAGE(F18:F20)/AVERAGE(F15:F17))^4-1,"")</f>
        <v/>
      </c>
      <c r="H20" s="10" t="n">
        <v>87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85.9674</v>
      </c>
      <c r="M20" s="12">
        <f>IF(COUNT(L15:L20)=6,(AVERAGE(L18:L20)/AVERAGE(L15:L17))^4-1,"")</f>
        <v/>
      </c>
      <c r="N20" s="10" t="n">
        <v>83.90000000000001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83.0692</v>
      </c>
      <c r="S20" s="12">
        <f>IF(COUNT(R15:R20)=6,(AVERAGE(R18:R20)/AVERAGE(R15:R17))^4-1,"")</f>
        <v/>
      </c>
      <c r="T20" s="10" t="n">
        <v>79.59999999999999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78.5859</v>
      </c>
      <c r="Y20" s="12">
        <f>IF(COUNT(X15:X20)=6,(AVERAGE(X18:X20)/AVERAGE(X15:X17))^4-1,"")</f>
        <v/>
      </c>
      <c r="Z20" s="10" t="n">
        <v>83.2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82.98690000000001</v>
      </c>
      <c r="AE20" s="12">
        <f>IF(COUNT(AD15:AD20)=6,(AVERAGE(AD18:AD20)/AVERAGE(AD15:AD17))^4-1,"")</f>
        <v/>
      </c>
      <c r="AF20" s="10" t="n">
        <v>75.3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75.1778</v>
      </c>
      <c r="AK20" s="12">
        <f>IF(COUNT(AJ15:AJ20)=6,(AVERAGE(AJ18:AJ20)/AVERAGE(AJ15:AJ17))^4-1,"")</f>
        <v/>
      </c>
      <c r="AL20" s="10" t="n">
        <v>62.8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63.2822</v>
      </c>
      <c r="AQ20" s="12">
        <f>IF(COUNT(AP15:AP20)=6,(AVERAGE(AP18:AP20)/AVERAGE(AP15:AP17))^4-1,"")</f>
        <v/>
      </c>
      <c r="AR20" s="10" t="n">
        <v>79.2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79.4486</v>
      </c>
      <c r="AW20" s="12">
        <f>IF(COUNT(AV15:AV20)=6,(AVERAGE(AV18:AV20)/AVERAGE(AV15:AV17))^4-1,"")</f>
        <v/>
      </c>
    </row>
    <row r="21">
      <c r="A21" s="9" t="n">
        <v>42491</v>
      </c>
      <c r="B21" s="10" t="n">
        <v>80.90000000000001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80.2444</v>
      </c>
      <c r="G21" s="12">
        <f>IF(COUNT(F16:F21)=6,(AVERAGE(F19:F21)/AVERAGE(F16:F18))^4-1,"")</f>
        <v/>
      </c>
      <c r="H21" s="10" t="n">
        <v>87.09999999999999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86.1014</v>
      </c>
      <c r="M21" s="12">
        <f>IF(COUNT(L16:L21)=6,(AVERAGE(L19:L21)/AVERAGE(L16:L18))^4-1,"")</f>
        <v/>
      </c>
      <c r="N21" s="10" t="n">
        <v>84.09999999999999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83.2655</v>
      </c>
      <c r="S21" s="12">
        <f>IF(COUNT(R16:R21)=6,(AVERAGE(R19:R21)/AVERAGE(R16:R18))^4-1,"")</f>
        <v/>
      </c>
      <c r="T21" s="10" t="n">
        <v>79.90000000000001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78.8124</v>
      </c>
      <c r="Y21" s="12">
        <f>IF(COUNT(X16:X21)=6,(AVERAGE(X19:X21)/AVERAGE(X16:X18))^4-1,"")</f>
        <v/>
      </c>
      <c r="Z21" s="10" t="n">
        <v>83.40000000000001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83.307</v>
      </c>
      <c r="AE21" s="12">
        <f>IF(COUNT(AD16:AD21)=6,(AVERAGE(AD19:AD21)/AVERAGE(AD16:AD18))^4-1,"")</f>
        <v/>
      </c>
      <c r="AF21" s="10" t="n">
        <v>75.8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75.42789999999999</v>
      </c>
      <c r="AK21" s="12">
        <f>IF(COUNT(AJ16:AJ21)=6,(AVERAGE(AJ19:AJ21)/AVERAGE(AJ16:AJ18))^4-1,"")</f>
        <v/>
      </c>
      <c r="AL21" s="10" t="n">
        <v>63.2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63.4445</v>
      </c>
      <c r="AQ21" s="12">
        <f>IF(COUNT(AP16:AP21)=6,(AVERAGE(AP19:AP21)/AVERAGE(AP16:AP18))^4-1,"")</f>
        <v/>
      </c>
      <c r="AR21" s="10" t="n">
        <v>79.59999999999999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79.68600000000001</v>
      </c>
      <c r="AW21" s="12">
        <f>IF(COUNT(AV16:AV21)=6,(AVERAGE(AV19:AV21)/AVERAGE(AV16:AV18))^4-1,"")</f>
        <v/>
      </c>
    </row>
    <row r="22">
      <c r="A22" s="9" t="n">
        <v>42522</v>
      </c>
      <c r="B22" s="10" t="n">
        <v>81.09999999999999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80.3655</v>
      </c>
      <c r="G22" s="12">
        <f>IF(COUNT(F17:F22)=6,(AVERAGE(F20:F22)/AVERAGE(F17:F19))^4-1,"")</f>
        <v/>
      </c>
      <c r="H22" s="10" t="n">
        <v>87.09999999999999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86.0391</v>
      </c>
      <c r="M22" s="12">
        <f>IF(COUNT(L17:L22)=6,(AVERAGE(L20:L22)/AVERAGE(L17:L19))^4-1,"")</f>
        <v/>
      </c>
      <c r="N22" s="10" t="n">
        <v>84.2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83.33669999999999</v>
      </c>
      <c r="S22" s="12">
        <f>IF(COUNT(R17:R22)=6,(AVERAGE(R20:R22)/AVERAGE(R17:R19))^4-1,"")</f>
        <v/>
      </c>
      <c r="T22" s="10" t="n">
        <v>80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78.9581</v>
      </c>
      <c r="Y22" s="12">
        <f>IF(COUNT(X17:X22)=6,(AVERAGE(X20:X22)/AVERAGE(X17:X19))^4-1,"")</f>
        <v/>
      </c>
      <c r="Z22" s="10" t="n">
        <v>83.5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83.1905</v>
      </c>
      <c r="AE22" s="12">
        <f>IF(COUNT(AD17:AD22)=6,(AVERAGE(AD20:AD22)/AVERAGE(AD17:AD19))^4-1,"")</f>
        <v/>
      </c>
      <c r="AF22" s="10" t="n">
        <v>75.90000000000001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75.6335</v>
      </c>
      <c r="AK22" s="12">
        <f>IF(COUNT(AJ17:AJ22)=6,(AVERAGE(AJ20:AJ22)/AVERAGE(AJ17:AJ19))^4-1,"")</f>
        <v/>
      </c>
      <c r="AL22" s="10" t="n">
        <v>63.9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64.11409999999999</v>
      </c>
      <c r="AQ22" s="12">
        <f>IF(COUNT(AP17:AP22)=6,(AVERAGE(AP20:AP22)/AVERAGE(AP17:AP19))^4-1,"")</f>
        <v/>
      </c>
      <c r="AR22" s="10" t="n">
        <v>80.2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79.9203</v>
      </c>
      <c r="AW22" s="12">
        <f>IF(COUNT(AV17:AV22)=6,(AVERAGE(AV20:AV22)/AVERAGE(AV17:AV19))^4-1,"")</f>
        <v/>
      </c>
    </row>
    <row r="23">
      <c r="A23" s="9" t="n">
        <v>42552</v>
      </c>
      <c r="B23" s="10" t="n">
        <v>79.59999999999999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80.40560000000001</v>
      </c>
      <c r="G23" s="12">
        <f>IF(COUNT(F18:F23)=6,(AVERAGE(F21:F23)/AVERAGE(F18:F20))^4-1,"")</f>
        <v/>
      </c>
      <c r="H23" s="10" t="n">
        <v>85.09999999999999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86.10469999999999</v>
      </c>
      <c r="M23" s="12">
        <f>IF(COUNT(L18:L23)=6,(AVERAGE(L21:L23)/AVERAGE(L18:L20))^4-1,"")</f>
        <v/>
      </c>
      <c r="N23" s="10" t="n">
        <v>82.5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83.3588</v>
      </c>
      <c r="S23" s="12">
        <f>IF(COUNT(R18:R23)=6,(AVERAGE(R21:R23)/AVERAGE(R18:R20))^4-1,"")</f>
        <v/>
      </c>
      <c r="T23" s="10" t="n">
        <v>77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78.77760000000001</v>
      </c>
      <c r="Y23" s="12">
        <f>IF(COUNT(X18:X23)=6,(AVERAGE(X21:X23)/AVERAGE(X18:X20))^4-1,"")</f>
        <v/>
      </c>
      <c r="Z23" s="10" t="n">
        <v>84.09999999999999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83.4464</v>
      </c>
      <c r="AE23" s="12">
        <f>IF(COUNT(AD18:AD23)=6,(AVERAGE(AD21:AD23)/AVERAGE(AD18:AD20))^4-1,"")</f>
        <v/>
      </c>
      <c r="AF23" s="10" t="n">
        <v>75.40000000000001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75.6726</v>
      </c>
      <c r="AK23" s="12">
        <f>IF(COUNT(AJ18:AJ23)=6,(AVERAGE(AJ21:AJ23)/AVERAGE(AJ18:AJ20))^4-1,"")</f>
        <v/>
      </c>
      <c r="AL23" s="10" t="n">
        <v>63.8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64.1131</v>
      </c>
      <c r="AQ23" s="12">
        <f>IF(COUNT(AP18:AP23)=6,(AVERAGE(AP21:AP23)/AVERAGE(AP18:AP20))^4-1,"")</f>
        <v/>
      </c>
      <c r="AR23" s="10" t="n">
        <v>81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80.2741</v>
      </c>
      <c r="AW23" s="12">
        <f>IF(COUNT(AV18:AV23)=6,(AVERAGE(AV21:AV23)/AVERAGE(AV18:AV20))^4-1,"")</f>
        <v/>
      </c>
    </row>
    <row r="24">
      <c r="A24" s="9" t="n">
        <v>42583</v>
      </c>
      <c r="B24" s="10" t="n">
        <v>79.5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80.3664</v>
      </c>
      <c r="G24" s="12">
        <f>IF(COUNT(F19:F24)=6,(AVERAGE(F22:F24)/AVERAGE(F19:F21))^4-1,"")</f>
        <v/>
      </c>
      <c r="H24" s="10" t="n">
        <v>84.90000000000001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86.0642</v>
      </c>
      <c r="M24" s="12">
        <f>IF(COUNT(L19:L24)=6,(AVERAGE(L22:L24)/AVERAGE(L19:L21))^4-1,"")</f>
        <v/>
      </c>
      <c r="N24" s="10" t="n">
        <v>82.5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83.4226</v>
      </c>
      <c r="S24" s="12">
        <f>IF(COUNT(R19:R24)=6,(AVERAGE(R22:R24)/AVERAGE(R19:R21))^4-1,"")</f>
        <v/>
      </c>
      <c r="T24" s="10" t="n">
        <v>76.5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78.90219999999999</v>
      </c>
      <c r="Y24" s="12">
        <f>IF(COUNT(X19:X24)=6,(AVERAGE(X22:X24)/AVERAGE(X19:X21))^4-1,"")</f>
        <v/>
      </c>
      <c r="Z24" s="10" t="n">
        <v>84.59999999999999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83.5364</v>
      </c>
      <c r="AE24" s="12">
        <f>IF(COUNT(AD19:AD24)=6,(AVERAGE(AD22:AD24)/AVERAGE(AD19:AD21))^4-1,"")</f>
        <v/>
      </c>
      <c r="AF24" s="10" t="n">
        <v>75.7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75.96680000000001</v>
      </c>
      <c r="AK24" s="12">
        <f>IF(COUNT(AJ19:AJ24)=6,(AVERAGE(AJ22:AJ24)/AVERAGE(AJ19:AJ21))^4-1,"")</f>
        <v/>
      </c>
      <c r="AL24" s="10" t="n">
        <v>63.3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63.6681</v>
      </c>
      <c r="AQ24" s="12">
        <f>IF(COUNT(AP19:AP24)=6,(AVERAGE(AP22:AP24)/AVERAGE(AP19:AP21))^4-1,"")</f>
        <v/>
      </c>
      <c r="AR24" s="10" t="n">
        <v>81.59999999999999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79.4158</v>
      </c>
      <c r="AW24" s="12">
        <f>IF(COUNT(AV19:AV24)=6,(AVERAGE(AV22:AV24)/AVERAGE(AV19:AV21))^4-1,"")</f>
        <v/>
      </c>
    </row>
    <row r="25">
      <c r="A25" s="9" t="n">
        <v>42614</v>
      </c>
      <c r="B25" s="10" t="n">
        <v>81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80.52549999999999</v>
      </c>
      <c r="G25" s="12">
        <f>IF(COUNT(F20:F25)=6,(AVERAGE(F23:F25)/AVERAGE(F20:F22))^4-1,"")</f>
        <v/>
      </c>
      <c r="H25" s="10" t="n">
        <v>87.09999999999999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86.21720000000001</v>
      </c>
      <c r="M25" s="12">
        <f>IF(COUNT(L20:L25)=6,(AVERAGE(L23:L25)/AVERAGE(L20:L22))^4-1,"")</f>
        <v/>
      </c>
      <c r="N25" s="10" t="n">
        <v>84.09999999999999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83.5179</v>
      </c>
      <c r="S25" s="12">
        <f>IF(COUNT(R20:R25)=6,(AVERAGE(R23:R25)/AVERAGE(R20:R22))^4-1,"")</f>
        <v/>
      </c>
      <c r="T25" s="10" t="n">
        <v>79.7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79.1383</v>
      </c>
      <c r="Y25" s="12">
        <f>IF(COUNT(X20:X25)=6,(AVERAGE(X23:X25)/AVERAGE(X20:X22))^4-1,"")</f>
        <v/>
      </c>
      <c r="Z25" s="10" t="n">
        <v>83.90000000000001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83.5758</v>
      </c>
      <c r="AE25" s="12">
        <f>IF(COUNT(AD20:AD25)=6,(AVERAGE(AD23:AD25)/AVERAGE(AD20:AD22))^4-1,"")</f>
        <v/>
      </c>
      <c r="AF25" s="10" t="n">
        <v>75.5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75.8751</v>
      </c>
      <c r="AK25" s="12">
        <f>IF(COUNT(AJ20:AJ25)=6,(AVERAGE(AJ23:AJ25)/AVERAGE(AJ20:AJ22))^4-1,"")</f>
        <v/>
      </c>
      <c r="AL25" s="10" t="n">
        <v>64.40000000000001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64.65309999999999</v>
      </c>
      <c r="AQ25" s="12">
        <f>IF(COUNT(AP20:AP25)=6,(AVERAGE(AP23:AP25)/AVERAGE(AP20:AP22))^4-1,"")</f>
        <v/>
      </c>
      <c r="AR25" s="10" t="n">
        <v>80.59999999999999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80.4776</v>
      </c>
      <c r="AW25" s="12">
        <f>IF(COUNT(AV20:AV25)=6,(AVERAGE(AV23:AV25)/AVERAGE(AV20:AV22))^4-1,"")</f>
        <v/>
      </c>
    </row>
    <row r="26">
      <c r="A26" s="9" t="n">
        <v>42644</v>
      </c>
      <c r="B26" s="10" t="n">
        <v>81.2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80.6104</v>
      </c>
      <c r="G26" s="12">
        <f>IF(COUNT(F21:F26)=6,(AVERAGE(F24:F26)/AVERAGE(F21:F23))^4-1,"")</f>
        <v/>
      </c>
      <c r="H26" s="10" t="n">
        <v>87.3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86.4372</v>
      </c>
      <c r="M26" s="12">
        <f>IF(COUNT(L21:L26)=6,(AVERAGE(L24:L26)/AVERAGE(L21:L23))^4-1,"")</f>
        <v/>
      </c>
      <c r="N26" s="10" t="n">
        <v>84.2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83.6634</v>
      </c>
      <c r="S26" s="12">
        <f>IF(COUNT(R21:R26)=6,(AVERAGE(R24:R26)/AVERAGE(R21:R23))^4-1,"")</f>
        <v/>
      </c>
      <c r="T26" s="10" t="n">
        <v>80.2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79.117</v>
      </c>
      <c r="Y26" s="12">
        <f>IF(COUNT(X21:X26)=6,(AVERAGE(X24:X26)/AVERAGE(X21:X23))^4-1,"")</f>
        <v/>
      </c>
      <c r="Z26" s="10" t="n">
        <v>83.59999999999999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83.6671</v>
      </c>
      <c r="AE26" s="12">
        <f>IF(COUNT(AD21:AD26)=6,(AVERAGE(AD24:AD26)/AVERAGE(AD21:AD23))^4-1,"")</f>
        <v/>
      </c>
      <c r="AF26" s="10" t="n">
        <v>75.59999999999999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75.9594</v>
      </c>
      <c r="AK26" s="12">
        <f>IF(COUNT(AJ21:AJ26)=6,(AVERAGE(AJ24:AJ26)/AVERAGE(AJ21:AJ23))^4-1,"")</f>
        <v/>
      </c>
      <c r="AL26" s="10" t="n">
        <v>64.7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64.6178</v>
      </c>
      <c r="AQ26" s="12">
        <f>IF(COUNT(AP21:AP26)=6,(AVERAGE(AP24:AP26)/AVERAGE(AP21:AP23))^4-1,"")</f>
        <v/>
      </c>
      <c r="AR26" s="10" t="n">
        <v>80.40000000000001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80.6187</v>
      </c>
      <c r="AW26" s="12">
        <f>IF(COUNT(AV21:AV26)=6,(AVERAGE(AV24:AV26)/AVERAGE(AV21:AV23))^4-1,"")</f>
        <v/>
      </c>
    </row>
    <row r="27">
      <c r="A27" s="9" t="n">
        <v>42675</v>
      </c>
      <c r="B27" s="10" t="n">
        <v>81.09999999999999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80.7487</v>
      </c>
      <c r="G27" s="12">
        <f>IF(COUNT(F22:F27)=6,(AVERAGE(F25:F27)/AVERAGE(F22:F24))^4-1,"")</f>
        <v/>
      </c>
      <c r="H27" s="10" t="n">
        <v>86.90000000000001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86.4482</v>
      </c>
      <c r="M27" s="12">
        <f>IF(COUNT(L22:L27)=6,(AVERAGE(L25:L27)/AVERAGE(L22:L24))^4-1,"")</f>
        <v/>
      </c>
      <c r="N27" s="10" t="n">
        <v>84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83.7012</v>
      </c>
      <c r="S27" s="12">
        <f>IF(COUNT(R22:R27)=6,(AVERAGE(R25:R27)/AVERAGE(R22:R24))^4-1,"")</f>
        <v/>
      </c>
      <c r="T27" s="10" t="n">
        <v>80.3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79.178</v>
      </c>
      <c r="Y27" s="12">
        <f>IF(COUNT(X22:X27)=6,(AVERAGE(X25:X27)/AVERAGE(X22:X24))^4-1,"")</f>
        <v/>
      </c>
      <c r="Z27" s="10" t="n">
        <v>83.09999999999999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83.761</v>
      </c>
      <c r="AE27" s="12">
        <f>IF(COUNT(AD22:AD27)=6,(AVERAGE(AD25:AD27)/AVERAGE(AD22:AD24))^4-1,"")</f>
        <v/>
      </c>
      <c r="AF27" s="10" t="n">
        <v>76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76.09439999999999</v>
      </c>
      <c r="AK27" s="12">
        <f>IF(COUNT(AJ22:AJ27)=6,(AVERAGE(AJ25:AJ27)/AVERAGE(AJ22:AJ24))^4-1,"")</f>
        <v/>
      </c>
      <c r="AL27" s="10" t="n">
        <v>64.90000000000001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64.6923</v>
      </c>
      <c r="AQ27" s="12">
        <f>IF(COUNT(AP22:AP27)=6,(AVERAGE(AP25:AP27)/AVERAGE(AP22:AP24))^4-1,"")</f>
        <v/>
      </c>
      <c r="AR27" s="10" t="n">
        <v>80.09999999999999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80.87430000000001</v>
      </c>
      <c r="AW27" s="12">
        <f>IF(COUNT(AV22:AV27)=6,(AVERAGE(AV25:AV27)/AVERAGE(AV22:AV24))^4-1,"")</f>
        <v/>
      </c>
    </row>
    <row r="28">
      <c r="A28" s="9" t="n">
        <v>42705</v>
      </c>
      <c r="B28" s="10" t="n">
        <v>81.40000000000001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80.97029999999999</v>
      </c>
      <c r="G28" s="12">
        <f>IF(COUNT(F23:F28)=6,(AVERAGE(F26:F28)/AVERAGE(F23:F25))^4-1,"")</f>
        <v/>
      </c>
      <c r="H28" s="10" t="n">
        <v>87.2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86.5637</v>
      </c>
      <c r="M28" s="12">
        <f>IF(COUNT(L23:L28)=6,(AVERAGE(L26:L28)/AVERAGE(L23:L25))^4-1,"")</f>
        <v/>
      </c>
      <c r="N28" s="10" t="n">
        <v>84.3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83.8497</v>
      </c>
      <c r="S28" s="12">
        <f>IF(COUNT(R23:R28)=6,(AVERAGE(R26:R28)/AVERAGE(R23:R25))^4-1,"")</f>
        <v/>
      </c>
      <c r="T28" s="10" t="n">
        <v>80.5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79.45959999999999</v>
      </c>
      <c r="Y28" s="12">
        <f>IF(COUNT(X23:X28)=6,(AVERAGE(X26:X28)/AVERAGE(X23:X25))^4-1,"")</f>
        <v/>
      </c>
      <c r="Z28" s="10" t="n">
        <v>83.59999999999999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84.0489</v>
      </c>
      <c r="AE28" s="12">
        <f>IF(COUNT(AD23:AD28)=6,(AVERAGE(AD26:AD28)/AVERAGE(AD23:AD25))^4-1,"")</f>
        <v/>
      </c>
      <c r="AF28" s="10" t="n">
        <v>76.2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76.34990000000001</v>
      </c>
      <c r="AK28" s="12">
        <f>IF(COUNT(AJ23:AJ28)=6,(AVERAGE(AJ26:AJ28)/AVERAGE(AJ23:AJ25))^4-1,"")</f>
        <v/>
      </c>
      <c r="AL28" s="10" t="n">
        <v>65.3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65.15179999999999</v>
      </c>
      <c r="AQ28" s="12">
        <f>IF(COUNT(AP23:AP28)=6,(AVERAGE(AP26:AP28)/AVERAGE(AP23:AP25))^4-1,"")</f>
        <v/>
      </c>
      <c r="AR28" s="10" t="n">
        <v>81.2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81.54430000000001</v>
      </c>
      <c r="AW28" s="12">
        <f>IF(COUNT(AV23:AV28)=6,(AVERAGE(AV26:AV28)/AVERAGE(AV23:AV25))^4-1,"")</f>
        <v/>
      </c>
    </row>
    <row r="29">
      <c r="A29" s="9" t="n">
        <v>42736</v>
      </c>
      <c r="B29" s="10" t="n">
        <v>80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81.0979</v>
      </c>
      <c r="G29" s="12">
        <f>IF(COUNT(F24:F29)=6,(AVERAGE(F27:F29)/AVERAGE(F24:F26))^4-1,"")</f>
        <v/>
      </c>
      <c r="H29" s="10" t="n">
        <v>84.59999999999999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86.5457</v>
      </c>
      <c r="M29" s="12">
        <f>IF(COUNT(L24:L29)=6,(AVERAGE(L27:L29)/AVERAGE(L24:L26))^4-1,"")</f>
        <v/>
      </c>
      <c r="N29" s="10" t="n">
        <v>82.59999999999999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83.91970000000001</v>
      </c>
      <c r="S29" s="12">
        <f>IF(COUNT(R24:R29)=6,(AVERAGE(R27:R29)/AVERAGE(R24:R26))^4-1,"")</f>
        <v/>
      </c>
      <c r="T29" s="10" t="n">
        <v>78.3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79.68559999999999</v>
      </c>
      <c r="Y29" s="12">
        <f>IF(COUNT(X24:X29)=6,(AVERAGE(X27:X29)/AVERAGE(X24:X26))^4-1,"")</f>
        <v/>
      </c>
      <c r="Z29" s="10" t="n">
        <v>83.3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83.93210000000001</v>
      </c>
      <c r="AE29" s="12">
        <f>IF(COUNT(AD24:AD29)=6,(AVERAGE(AD27:AD29)/AVERAGE(AD24:AD26))^4-1,"")</f>
        <v/>
      </c>
      <c r="AF29" s="10" t="n">
        <v>77.2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76.84529999999999</v>
      </c>
      <c r="AK29" s="12">
        <f>IF(COUNT(AJ24:AJ29)=6,(AVERAGE(AJ27:AJ29)/AVERAGE(AJ24:AJ26))^4-1,"")</f>
        <v/>
      </c>
      <c r="AL29" s="10" t="n">
        <v>66.8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66.1397</v>
      </c>
      <c r="AQ29" s="12">
        <f>IF(COUNT(AP24:AP29)=6,(AVERAGE(AP27:AP29)/AVERAGE(AP24:AP26))^4-1,"")</f>
        <v/>
      </c>
      <c r="AR29" s="10" t="n">
        <v>81.09999999999999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81.95440000000001</v>
      </c>
      <c r="AW29" s="12">
        <f>IF(COUNT(AV24:AV29)=6,(AVERAGE(AV27:AV29)/AVERAGE(AV24:AV26))^4-1,"")</f>
        <v/>
      </c>
    </row>
    <row r="30">
      <c r="A30" s="9" t="n">
        <v>42767</v>
      </c>
      <c r="B30" s="10" t="n">
        <v>80.09999999999999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81.518</v>
      </c>
      <c r="G30" s="12">
        <f>IF(COUNT(F25:F30)=6,(AVERAGE(F28:F30)/AVERAGE(F25:F27))^4-1,"")</f>
        <v/>
      </c>
      <c r="H30" s="10" t="n">
        <v>84.40000000000001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86.5102</v>
      </c>
      <c r="M30" s="12">
        <f>IF(COUNT(L25:L30)=6,(AVERAGE(L28:L30)/AVERAGE(L25:L27))^4-1,"")</f>
        <v/>
      </c>
      <c r="N30" s="10" t="n">
        <v>82.7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84.3168</v>
      </c>
      <c r="S30" s="12">
        <f>IF(COUNT(R25:R30)=6,(AVERAGE(R28:R30)/AVERAGE(R25:R27))^4-1,"")</f>
        <v/>
      </c>
      <c r="T30" s="10" t="n">
        <v>78.3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80.2895</v>
      </c>
      <c r="Y30" s="12">
        <f>IF(COUNT(X25:X30)=6,(AVERAGE(X28:X30)/AVERAGE(X25:X27))^4-1,"")</f>
        <v/>
      </c>
      <c r="Z30" s="10" t="n">
        <v>83.59999999999999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84.2056</v>
      </c>
      <c r="AE30" s="12">
        <f>IF(COUNT(AD25:AD30)=6,(AVERAGE(AD28:AD30)/AVERAGE(AD25:AD27))^4-1,"")</f>
        <v/>
      </c>
      <c r="AF30" s="10" t="n">
        <v>78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77.8379</v>
      </c>
      <c r="AK30" s="12">
        <f>IF(COUNT(AJ25:AJ30)=6,(AVERAGE(AJ28:AJ30)/AVERAGE(AJ25:AJ27))^4-1,"")</f>
        <v/>
      </c>
      <c r="AL30" s="10" t="n">
        <v>67.3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66.77500000000001</v>
      </c>
      <c r="AQ30" s="12">
        <f>IF(COUNT(AP25:AP30)=6,(AVERAGE(AP28:AP30)/AVERAGE(AP25:AP27))^4-1,"")</f>
        <v/>
      </c>
      <c r="AR30" s="10" t="n">
        <v>81.59999999999999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81.9965</v>
      </c>
      <c r="AW30" s="12">
        <f>IF(COUNT(AV25:AV30)=6,(AVERAGE(AV28:AV30)/AVERAGE(AV25:AV27))^4-1,"")</f>
        <v/>
      </c>
    </row>
    <row r="31">
      <c r="A31" s="9" t="n">
        <v>42795</v>
      </c>
      <c r="B31" s="10" t="n">
        <v>81.7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81.3899</v>
      </c>
      <c r="G31" s="12">
        <f>IF(COUNT(F26:F31)=6,(AVERAGE(F29:F31)/AVERAGE(F26:F28))^4-1,"")</f>
        <v/>
      </c>
      <c r="H31" s="10" t="n">
        <v>87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86.71510000000001</v>
      </c>
      <c r="M31" s="12">
        <f>IF(COUNT(L26:L31)=6,(AVERAGE(L29:L31)/AVERAGE(L26:L28))^4-1,"")</f>
        <v/>
      </c>
      <c r="N31" s="10" t="n">
        <v>84.40000000000001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84.11799999999999</v>
      </c>
      <c r="S31" s="12">
        <f>IF(COUNT(R26:R31)=6,(AVERAGE(R29:R31)/AVERAGE(R26:R28))^4-1,"")</f>
        <v/>
      </c>
      <c r="T31" s="10" t="n">
        <v>80.8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79.9974</v>
      </c>
      <c r="Y31" s="12">
        <f>IF(COUNT(X26:X31)=6,(AVERAGE(X29:X31)/AVERAGE(X26:X28))^4-1,"")</f>
        <v/>
      </c>
      <c r="Z31" s="10" t="n">
        <v>83.8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84.2427</v>
      </c>
      <c r="AE31" s="12">
        <f>IF(COUNT(AD26:AD31)=6,(AVERAGE(AD29:AD31)/AVERAGE(AD26:AD28))^4-1,"")</f>
        <v/>
      </c>
      <c r="AF31" s="10" t="n">
        <v>77.2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76.9986</v>
      </c>
      <c r="AK31" s="12">
        <f>IF(COUNT(AJ26:AJ31)=6,(AVERAGE(AJ29:AJ31)/AVERAGE(AJ26:AJ28))^4-1,"")</f>
        <v/>
      </c>
      <c r="AL31" s="10" t="n">
        <v>67.5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66.99760000000001</v>
      </c>
      <c r="AQ31" s="12">
        <f>IF(COUNT(AP26:AP31)=6,(AVERAGE(AP29:AP31)/AVERAGE(AP26:AP28))^4-1,"")</f>
        <v/>
      </c>
      <c r="AR31" s="10" t="n">
        <v>82.09999999999999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82.5924</v>
      </c>
      <c r="AW31" s="12">
        <f>IF(COUNT(AV26:AV31)=6,(AVERAGE(AV29:AV31)/AVERAGE(AV26:AV28))^4-1,"")</f>
        <v/>
      </c>
    </row>
    <row r="32">
      <c r="A32" s="9" t="n">
        <v>42826</v>
      </c>
      <c r="B32" s="10" t="n">
        <v>82.3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81.6284</v>
      </c>
      <c r="G32" s="12">
        <f>IF(COUNT(F27:F32)=6,(AVERAGE(F30:F32)/AVERAGE(F27:F29))^4-1,"")</f>
        <v/>
      </c>
      <c r="H32" s="10" t="n">
        <v>88.09999999999999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87.0624</v>
      </c>
      <c r="M32" s="12">
        <f>IF(COUNT(L27:L32)=6,(AVERAGE(L30:L32)/AVERAGE(L27:L29))^4-1,"")</f>
        <v/>
      </c>
      <c r="N32" s="10" t="n">
        <v>85.09999999999999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84.2711</v>
      </c>
      <c r="S32" s="12">
        <f>IF(COUNT(R27:R32)=6,(AVERAGE(R30:R32)/AVERAGE(R27:R29))^4-1,"")</f>
        <v/>
      </c>
      <c r="T32" s="10" t="n">
        <v>81.2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80.182</v>
      </c>
      <c r="Y32" s="12">
        <f>IF(COUNT(X27:X32)=6,(AVERAGE(X30:X32)/AVERAGE(X27:X29))^4-1,"")</f>
        <v/>
      </c>
      <c r="Z32" s="10" t="n">
        <v>84.8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84.55710000000001</v>
      </c>
      <c r="AE32" s="12">
        <f>IF(COUNT(AD27:AD32)=6,(AVERAGE(AD30:AD32)/AVERAGE(AD27:AD29))^4-1,"")</f>
        <v/>
      </c>
      <c r="AF32" s="10" t="n">
        <v>76.8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76.6598</v>
      </c>
      <c r="AK32" s="12">
        <f>IF(COUNT(AJ27:AJ32)=6,(AVERAGE(AJ30:AJ32)/AVERAGE(AJ27:AJ29))^4-1,"")</f>
        <v/>
      </c>
      <c r="AL32" s="10" t="n">
        <v>67.5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68.0004</v>
      </c>
      <c r="AQ32" s="12">
        <f>IF(COUNT(AP27:AP32)=6,(AVERAGE(AP30:AP32)/AVERAGE(AP27:AP29))^4-1,"")</f>
        <v/>
      </c>
      <c r="AR32" s="10" t="n">
        <v>83.5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83.746</v>
      </c>
      <c r="AW32" s="12">
        <f>IF(COUNT(AV27:AV32)=6,(AVERAGE(AV30:AV32)/AVERAGE(AV27:AV29))^4-1,"")</f>
        <v/>
      </c>
    </row>
    <row r="33">
      <c r="A33" s="9" t="n">
        <v>42856</v>
      </c>
      <c r="B33" s="10" t="n">
        <v>82.2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81.56270000000001</v>
      </c>
      <c r="G33" s="12">
        <f>IF(COUNT(F28:F33)=6,(AVERAGE(F31:F33)/AVERAGE(F28:F30))^4-1,"")</f>
        <v/>
      </c>
      <c r="H33" s="10" t="n">
        <v>87.90000000000001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86.88500000000001</v>
      </c>
      <c r="M33" s="12">
        <f>IF(COUNT(L28:L33)=6,(AVERAGE(L31:L33)/AVERAGE(L28:L30))^4-1,"")</f>
        <v/>
      </c>
      <c r="N33" s="10" t="n">
        <v>85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84.1362</v>
      </c>
      <c r="S33" s="12">
        <f>IF(COUNT(R28:R33)=6,(AVERAGE(R31:R33)/AVERAGE(R28:R30))^4-1,"")</f>
        <v/>
      </c>
      <c r="T33" s="10" t="n">
        <v>81.2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80.1292</v>
      </c>
      <c r="Y33" s="12">
        <f>IF(COUNT(X28:X33)=6,(AVERAGE(X31:X33)/AVERAGE(X28:X30))^4-1,"")</f>
        <v/>
      </c>
      <c r="Z33" s="10" t="n">
        <v>84.5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84.39100000000001</v>
      </c>
      <c r="AE33" s="12">
        <f>IF(COUNT(AD28:AD33)=6,(AVERAGE(AD31:AD33)/AVERAGE(AD28:AD30))^4-1,"")</f>
        <v/>
      </c>
      <c r="AF33" s="10" t="n">
        <v>77.09999999999999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76.6867</v>
      </c>
      <c r="AK33" s="12">
        <f>IF(COUNT(AJ28:AJ33)=6,(AVERAGE(AJ31:AJ33)/AVERAGE(AJ28:AJ30))^4-1,"")</f>
        <v/>
      </c>
      <c r="AL33" s="10" t="n">
        <v>67.3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67.5733</v>
      </c>
      <c r="AQ33" s="12">
        <f>IF(COUNT(AP28:AP33)=6,(AVERAGE(AP31:AP33)/AVERAGE(AP28:AP30))^4-1,"")</f>
        <v/>
      </c>
      <c r="AR33" s="10" t="n">
        <v>82.40000000000001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82.4708</v>
      </c>
      <c r="AW33" s="12">
        <f>IF(COUNT(AV28:AV33)=6,(AVERAGE(AV31:AV33)/AVERAGE(AV28:AV30))^4-1,"")</f>
        <v/>
      </c>
    </row>
    <row r="34">
      <c r="A34" s="9" t="n">
        <v>42887</v>
      </c>
      <c r="B34" s="10" t="n">
        <v>82.09999999999999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81.3699</v>
      </c>
      <c r="G34" s="12">
        <f>IF(COUNT(F29:F34)=6,(AVERAGE(F32:F34)/AVERAGE(F29:F31))^4-1,"")</f>
        <v/>
      </c>
      <c r="H34" s="10" t="n">
        <v>88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86.9119</v>
      </c>
      <c r="M34" s="12">
        <f>IF(COUNT(L29:L34)=6,(AVERAGE(L32:L34)/AVERAGE(L29:L31))^4-1,"")</f>
        <v/>
      </c>
      <c r="N34" s="10" t="n">
        <v>85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84.1142</v>
      </c>
      <c r="S34" s="12">
        <f>IF(COUNT(R29:R34)=6,(AVERAGE(R32:R34)/AVERAGE(R29:R31))^4-1,"")</f>
        <v/>
      </c>
      <c r="T34" s="10" t="n">
        <v>80.90000000000001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79.8981</v>
      </c>
      <c r="Y34" s="12">
        <f>IF(COUNT(X29:X34)=6,(AVERAGE(X32:X34)/AVERAGE(X29:X31))^4-1,"")</f>
        <v/>
      </c>
      <c r="Z34" s="10" t="n">
        <v>84.90000000000001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84.54559999999999</v>
      </c>
      <c r="AE34" s="12">
        <f>IF(COUNT(AD29:AD34)=6,(AVERAGE(AD32:AD34)/AVERAGE(AD29:AD31))^4-1,"")</f>
        <v/>
      </c>
      <c r="AF34" s="10" t="n">
        <v>76.5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76.2633</v>
      </c>
      <c r="AK34" s="12">
        <f>IF(COUNT(AJ29:AJ34)=6,(AVERAGE(AJ32:AJ34)/AVERAGE(AJ29:AJ31))^4-1,"")</f>
        <v/>
      </c>
      <c r="AL34" s="10" t="n">
        <v>66.7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66.9961</v>
      </c>
      <c r="AQ34" s="12">
        <f>IF(COUNT(AP29:AP34)=6,(AVERAGE(AP32:AP34)/AVERAGE(AP29:AP31))^4-1,"")</f>
        <v/>
      </c>
      <c r="AR34" s="10" t="n">
        <v>82.5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82.2052</v>
      </c>
      <c r="AW34" s="12">
        <f>IF(COUNT(AV29:AV34)=6,(AVERAGE(AV32:AV34)/AVERAGE(AV29:AV31))^4-1,"")</f>
        <v/>
      </c>
    </row>
    <row r="35">
      <c r="A35" s="9" t="n">
        <v>42917</v>
      </c>
      <c r="B35" s="10" t="n">
        <v>80.5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81.2831</v>
      </c>
      <c r="G35" s="12">
        <f>IF(COUNT(F30:F35)=6,(AVERAGE(F33:F35)/AVERAGE(F30:F32))^4-1,"")</f>
        <v/>
      </c>
      <c r="H35" s="10" t="n">
        <v>85.90000000000001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86.8746</v>
      </c>
      <c r="M35" s="12">
        <f>IF(COUNT(L30:L35)=6,(AVERAGE(L33:L35)/AVERAGE(L30:L32))^4-1,"")</f>
        <v/>
      </c>
      <c r="N35" s="10" t="n">
        <v>83.3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84.1311</v>
      </c>
      <c r="S35" s="12">
        <f>IF(COUNT(R30:R35)=6,(AVERAGE(R33:R35)/AVERAGE(R30:R32))^4-1,"")</f>
        <v/>
      </c>
      <c r="T35" s="10" t="n">
        <v>77.7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79.494</v>
      </c>
      <c r="Y35" s="12">
        <f>IF(COUNT(X30:X35)=6,(AVERAGE(X33:X35)/AVERAGE(X30:X32))^4-1,"")</f>
        <v/>
      </c>
      <c r="Z35" s="10" t="n">
        <v>85.3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84.58369999999999</v>
      </c>
      <c r="AE35" s="12">
        <f>IF(COUNT(AD30:AD35)=6,(AVERAGE(AD33:AD35)/AVERAGE(AD30:AD32))^4-1,"")</f>
        <v/>
      </c>
      <c r="AF35" s="10" t="n">
        <v>76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76.2358</v>
      </c>
      <c r="AK35" s="12">
        <f>IF(COUNT(AJ30:AJ35)=6,(AVERAGE(AJ33:AJ35)/AVERAGE(AJ30:AJ32))^4-1,"")</f>
        <v/>
      </c>
      <c r="AL35" s="10" t="n">
        <v>66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66.34099999999999</v>
      </c>
      <c r="AQ35" s="12">
        <f>IF(COUNT(AP30:AP35)=6,(AVERAGE(AP33:AP35)/AVERAGE(AP30:AP32))^4-1,"")</f>
        <v/>
      </c>
      <c r="AR35" s="10" t="n">
        <v>82.8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82.07089999999999</v>
      </c>
      <c r="AW35" s="12">
        <f>IF(COUNT(AV30:AV35)=6,(AVERAGE(AV33:AV35)/AVERAGE(AV30:AV32))^4-1,"")</f>
        <v/>
      </c>
    </row>
    <row r="36">
      <c r="A36" s="9" t="n">
        <v>42948</v>
      </c>
      <c r="B36" s="10" t="n">
        <v>80.59999999999999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81.4419</v>
      </c>
      <c r="G36" s="12">
        <f>IF(COUNT(F31:F36)=6,(AVERAGE(F34:F36)/AVERAGE(F31:F33))^4-1,"")</f>
        <v/>
      </c>
      <c r="H36" s="10" t="n">
        <v>85.90000000000001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87.02760000000001</v>
      </c>
      <c r="M36" s="12">
        <f>IF(COUNT(L31:L36)=6,(AVERAGE(L34:L36)/AVERAGE(L31:L33))^4-1,"")</f>
        <v/>
      </c>
      <c r="N36" s="10" t="n">
        <v>83.40000000000001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84.2974</v>
      </c>
      <c r="S36" s="12">
        <f>IF(COUNT(R31:R36)=6,(AVERAGE(R34:R36)/AVERAGE(R31:R33))^4-1,"")</f>
        <v/>
      </c>
      <c r="T36" s="10" t="n">
        <v>77.40000000000001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79.8266</v>
      </c>
      <c r="Y36" s="12">
        <f>IF(COUNT(X31:X36)=6,(AVERAGE(X34:X36)/AVERAGE(X31:X33))^4-1,"")</f>
        <v/>
      </c>
      <c r="Z36" s="10" t="n">
        <v>86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84.9303</v>
      </c>
      <c r="AE36" s="12">
        <f>IF(COUNT(AD31:AD36)=6,(AVERAGE(AD34:AD36)/AVERAGE(AD31:AD33))^4-1,"")</f>
        <v/>
      </c>
      <c r="AF36" s="10" t="n">
        <v>76.2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76.4376</v>
      </c>
      <c r="AK36" s="12">
        <f>IF(COUNT(AJ31:AJ36)=6,(AVERAGE(AJ34:AJ36)/AVERAGE(AJ31:AJ33))^4-1,"")</f>
        <v/>
      </c>
      <c r="AL36" s="10" t="n">
        <v>66.2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66.68259999999999</v>
      </c>
      <c r="AQ36" s="12">
        <f>IF(COUNT(AP31:AP36)=6,(AVERAGE(AP34:AP36)/AVERAGE(AP31:AP33))^4-1,"")</f>
        <v/>
      </c>
      <c r="AR36" s="10" t="n">
        <v>84.5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82.31059999999999</v>
      </c>
      <c r="AW36" s="12">
        <f>IF(COUNT(AV31:AV36)=6,(AVERAGE(AV34:AV36)/AVERAGE(AV31:AV33))^4-1,"")</f>
        <v/>
      </c>
    </row>
    <row r="37">
      <c r="A37" s="9" t="n">
        <v>42979</v>
      </c>
      <c r="B37" s="10" t="n">
        <v>82.09999999999999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81.62009999999999</v>
      </c>
      <c r="G37" s="12">
        <f>IF(COUNT(F32:F37)=6,(AVERAGE(F35:F37)/AVERAGE(F32:F34))^4-1,"")</f>
        <v/>
      </c>
      <c r="H37" s="10" t="n">
        <v>88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87.0917</v>
      </c>
      <c r="M37" s="12">
        <f>IF(COUNT(L32:L37)=6,(AVERAGE(L35:L37)/AVERAGE(L32:L34))^4-1,"")</f>
        <v/>
      </c>
      <c r="N37" s="10" t="n">
        <v>85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84.39490000000001</v>
      </c>
      <c r="S37" s="12">
        <f>IF(COUNT(R32:R37)=6,(AVERAGE(R35:R37)/AVERAGE(R32:R34))^4-1,"")</f>
        <v/>
      </c>
      <c r="T37" s="10" t="n">
        <v>80.7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80.15470000000001</v>
      </c>
      <c r="Y37" s="12">
        <f>IF(COUNT(X32:X37)=6,(AVERAGE(X35:X37)/AVERAGE(X32:X34))^4-1,"")</f>
        <v/>
      </c>
      <c r="Z37" s="10" t="n">
        <v>85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84.63</v>
      </c>
      <c r="AE37" s="12">
        <f>IF(COUNT(AD32:AD37)=6,(AVERAGE(AD35:AD37)/AVERAGE(AD32:AD34))^4-1,"")</f>
        <v/>
      </c>
      <c r="AF37" s="10" t="n">
        <v>76.5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76.8907</v>
      </c>
      <c r="AK37" s="12">
        <f>IF(COUNT(AJ32:AJ37)=6,(AVERAGE(AJ35:AJ37)/AVERAGE(AJ32:AJ34))^4-1,"")</f>
        <v/>
      </c>
      <c r="AL37" s="10" t="n">
        <v>66.5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66.8498</v>
      </c>
      <c r="AQ37" s="12">
        <f>IF(COUNT(AP32:AP37)=6,(AVERAGE(AP35:AP37)/AVERAGE(AP32:AP34))^4-1,"")</f>
        <v/>
      </c>
      <c r="AR37" s="10" t="n">
        <v>82.7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82.65179999999999</v>
      </c>
      <c r="AW37" s="12">
        <f>IF(COUNT(AV32:AV37)=6,(AVERAGE(AV35:AV37)/AVERAGE(AV32:AV34))^4-1,"")</f>
        <v/>
      </c>
    </row>
    <row r="38">
      <c r="A38" s="9" t="n">
        <v>43009</v>
      </c>
      <c r="B38" s="10" t="n">
        <v>82.09999999999999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81.5236</v>
      </c>
      <c r="G38" s="12">
        <f>IF(COUNT(F33:F38)=6,(AVERAGE(F36:F38)/AVERAGE(F33:F35))^4-1,"")</f>
        <v/>
      </c>
      <c r="H38" s="10" t="n">
        <v>87.7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86.86369999999999</v>
      </c>
      <c r="M38" s="12">
        <f>IF(COUNT(L33:L38)=6,(AVERAGE(L36:L38)/AVERAGE(L33:L35))^4-1,"")</f>
        <v/>
      </c>
      <c r="N38" s="10" t="n">
        <v>84.90000000000001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84.3929</v>
      </c>
      <c r="S38" s="12">
        <f>IF(COUNT(R33:R38)=6,(AVERAGE(R36:R38)/AVERAGE(R33:R35))^4-1,"")</f>
        <v/>
      </c>
      <c r="T38" s="10" t="n">
        <v>81.3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80.2081</v>
      </c>
      <c r="Y38" s="12">
        <f>IF(COUNT(X33:X38)=6,(AVERAGE(X36:X38)/AVERAGE(X33:X35))^4-1,"")</f>
        <v/>
      </c>
      <c r="Z38" s="10" t="n">
        <v>84.2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84.27119999999999</v>
      </c>
      <c r="AE38" s="12">
        <f>IF(COUNT(AD33:AD38)=6,(AVERAGE(AD36:AD38)/AVERAGE(AD33:AD35))^4-1,"")</f>
        <v/>
      </c>
      <c r="AF38" s="10" t="n">
        <v>77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77.36579999999999</v>
      </c>
      <c r="AK38" s="12">
        <f>IF(COUNT(AJ33:AJ38)=6,(AVERAGE(AJ36:AJ38)/AVERAGE(AJ33:AJ35))^4-1,"")</f>
        <v/>
      </c>
      <c r="AL38" s="10" t="n">
        <v>67.3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67.3785</v>
      </c>
      <c r="AQ38" s="12">
        <f>IF(COUNT(AP33:AP38)=6,(AVERAGE(AP36:AP38)/AVERAGE(AP33:AP35))^4-1,"")</f>
        <v/>
      </c>
      <c r="AR38" s="10" t="n">
        <v>82.3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82.53740000000001</v>
      </c>
      <c r="AW38" s="12">
        <f>IF(COUNT(AV33:AV38)=6,(AVERAGE(AV36:AV38)/AVERAGE(AV33:AV35))^4-1,"")</f>
        <v/>
      </c>
    </row>
    <row r="39">
      <c r="A39" s="9" t="n">
        <v>43040</v>
      </c>
      <c r="B39" s="10" t="n">
        <v>81.90000000000001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81.55500000000001</v>
      </c>
      <c r="G39" s="12">
        <f>IF(COUNT(F34:F39)=6,(AVERAGE(F37:F39)/AVERAGE(F34:F36))^4-1,"")</f>
        <v/>
      </c>
      <c r="H39" s="10" t="n">
        <v>87.3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86.90779999999999</v>
      </c>
      <c r="M39" s="12">
        <f>IF(COUNT(L34:L39)=6,(AVERAGE(L37:L39)/AVERAGE(L34:L36))^4-1,"")</f>
        <v/>
      </c>
      <c r="N39" s="10" t="n">
        <v>84.59999999999999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84.3481</v>
      </c>
      <c r="S39" s="12">
        <f>IF(COUNT(R34:R39)=6,(AVERAGE(R37:R39)/AVERAGE(R34:R36))^4-1,"")</f>
        <v/>
      </c>
      <c r="T39" s="10" t="n">
        <v>81.5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80.3518</v>
      </c>
      <c r="Y39" s="12">
        <f>IF(COUNT(X34:X39)=6,(AVERAGE(X37:X39)/AVERAGE(X34:X36))^4-1,"")</f>
        <v/>
      </c>
      <c r="Z39" s="10" t="n">
        <v>83.5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84.2046</v>
      </c>
      <c r="AE39" s="12">
        <f>IF(COUNT(AD34:AD39)=6,(AVERAGE(AD37:AD39)/AVERAGE(AD34:AD36))^4-1,"")</f>
        <v/>
      </c>
      <c r="AF39" s="10" t="n">
        <v>77.3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77.37649999999999</v>
      </c>
      <c r="AK39" s="12">
        <f>IF(COUNT(AJ34:AJ39)=6,(AVERAGE(AJ37:AJ39)/AVERAGE(AJ34:AJ36))^4-1,"")</f>
        <v/>
      </c>
      <c r="AL39" s="10" t="n">
        <v>67.8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67.5831</v>
      </c>
      <c r="AQ39" s="12">
        <f>IF(COUNT(AP34:AP39)=6,(AVERAGE(AP37:AP39)/AVERAGE(AP34:AP36))^4-1,"")</f>
        <v/>
      </c>
      <c r="AR39" s="10" t="n">
        <v>82.2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82.9096</v>
      </c>
      <c r="AW39" s="12">
        <f>IF(COUNT(AV34:AV39)=6,(AVERAGE(AV37:AV39)/AVERAGE(AV34:AV36))^4-1,"")</f>
        <v/>
      </c>
    </row>
    <row r="40">
      <c r="A40" s="9" t="n">
        <v>43070</v>
      </c>
      <c r="B40" s="10" t="n">
        <v>82.2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81.7984</v>
      </c>
      <c r="G40" s="12">
        <f>IF(COUNT(F35:F40)=6,(AVERAGE(F38:F40)/AVERAGE(F35:F37))^4-1,"")</f>
        <v/>
      </c>
      <c r="H40" s="10" t="n">
        <v>87.59999999999999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87.0117</v>
      </c>
      <c r="M40" s="12">
        <f>IF(COUNT(L35:L40)=6,(AVERAGE(L38:L40)/AVERAGE(L35:L37))^4-1,"")</f>
        <v/>
      </c>
      <c r="N40" s="10" t="n">
        <v>84.90000000000001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84.5052</v>
      </c>
      <c r="S40" s="12">
        <f>IF(COUNT(R35:R40)=6,(AVERAGE(R38:R40)/AVERAGE(R35:R37))^4-1,"")</f>
        <v/>
      </c>
      <c r="T40" s="10" t="n">
        <v>81.5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80.44970000000001</v>
      </c>
      <c r="Y40" s="12">
        <f>IF(COUNT(X35:X40)=6,(AVERAGE(X38:X40)/AVERAGE(X35:X37))^4-1,"")</f>
        <v/>
      </c>
      <c r="Z40" s="10" t="n">
        <v>84.09999999999999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84.5912</v>
      </c>
      <c r="AE40" s="12">
        <f>IF(COUNT(AD35:AD40)=6,(AVERAGE(AD38:AD40)/AVERAGE(AD35:AD37))^4-1,"")</f>
        <v/>
      </c>
      <c r="AF40" s="10" t="n">
        <v>77.40000000000001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77.59990000000001</v>
      </c>
      <c r="AK40" s="12">
        <f>IF(COUNT(AJ35:AJ40)=6,(AVERAGE(AJ38:AJ40)/AVERAGE(AJ35:AJ37))^4-1,"")</f>
        <v/>
      </c>
      <c r="AL40" s="10" t="n">
        <v>68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67.8348</v>
      </c>
      <c r="AQ40" s="12">
        <f>IF(COUNT(AP35:AP40)=6,(AVERAGE(AP38:AP40)/AVERAGE(AP35:AP37))^4-1,"")</f>
        <v/>
      </c>
      <c r="AR40" s="10" t="n">
        <v>83.40000000000001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83.7696</v>
      </c>
      <c r="AW40" s="12">
        <f>IF(COUNT(AV35:AV40)=6,(AVERAGE(AV38:AV40)/AVERAGE(AV35:AV37))^4-1,"")</f>
        <v/>
      </c>
    </row>
    <row r="41">
      <c r="A41" s="9" t="n">
        <v>43101</v>
      </c>
      <c r="B41" s="10" t="n">
        <v>80.90000000000001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81.98569999999999</v>
      </c>
      <c r="G41" s="12">
        <f>IF(COUNT(F36:F41)=6,(AVERAGE(F39:F41)/AVERAGE(F36:F38))^4-1,"")</f>
        <v/>
      </c>
      <c r="H41" s="10" t="n">
        <v>85.2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87.1413</v>
      </c>
      <c r="M41" s="12">
        <f>IF(COUNT(L36:L41)=6,(AVERAGE(L39:L41)/AVERAGE(L36:L38))^4-1,"")</f>
        <v/>
      </c>
      <c r="N41" s="10" t="n">
        <v>83.3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84.5951</v>
      </c>
      <c r="S41" s="12">
        <f>IF(COUNT(R36:R41)=6,(AVERAGE(R39:R41)/AVERAGE(R36:R38))^4-1,"")</f>
        <v/>
      </c>
      <c r="T41" s="10" t="n">
        <v>79.59999999999999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80.94970000000001</v>
      </c>
      <c r="Y41" s="12">
        <f>IF(COUNT(X36:X41)=6,(AVERAGE(X39:X41)/AVERAGE(X36:X38))^4-1,"")</f>
        <v/>
      </c>
      <c r="Z41" s="10" t="n">
        <v>83.8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84.4597</v>
      </c>
      <c r="AE41" s="12">
        <f>IF(COUNT(AD36:AD41)=6,(AVERAGE(AD39:AD41)/AVERAGE(AD36:AD38))^4-1,"")</f>
        <v/>
      </c>
      <c r="AF41" s="10" t="n">
        <v>78.2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77.8603</v>
      </c>
      <c r="AK41" s="12">
        <f>IF(COUNT(AJ36:AJ41)=6,(AVERAGE(AJ39:AJ41)/AVERAGE(AJ36:AJ38))^4-1,"")</f>
        <v/>
      </c>
      <c r="AL41" s="10" t="n">
        <v>69.8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68.9408</v>
      </c>
      <c r="AQ41" s="12">
        <f>IF(COUNT(AP36:AP41)=6,(AVERAGE(AP39:AP41)/AVERAGE(AP36:AP38))^4-1,"")</f>
        <v/>
      </c>
      <c r="AR41" s="10" t="n">
        <v>82.3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83.2105</v>
      </c>
      <c r="AW41" s="12">
        <f>IF(COUNT(AV36:AV41)=6,(AVERAGE(AV39:AV41)/AVERAGE(AV36:AV38))^4-1,"")</f>
        <v/>
      </c>
    </row>
    <row r="42">
      <c r="A42" s="9" t="n">
        <v>43132</v>
      </c>
      <c r="B42" s="10" t="n">
        <v>80.59999999999999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81.99760000000001</v>
      </c>
      <c r="G42" s="12">
        <f>IF(COUNT(F37:F42)=6,(AVERAGE(F40:F42)/AVERAGE(F37:F39))^4-1,"")</f>
        <v/>
      </c>
      <c r="H42" s="10" t="n">
        <v>84.8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86.8565</v>
      </c>
      <c r="M42" s="12">
        <f>IF(COUNT(L37:L42)=6,(AVERAGE(L40:L42)/AVERAGE(L37:L39))^4-1,"")</f>
        <v/>
      </c>
      <c r="N42" s="10" t="n">
        <v>82.90000000000001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84.4727</v>
      </c>
      <c r="S42" s="12">
        <f>IF(COUNT(R37:R42)=6,(AVERAGE(R40:R42)/AVERAGE(R37:R39))^4-1,"")</f>
        <v/>
      </c>
      <c r="T42" s="10" t="n">
        <v>78.7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80.64230000000001</v>
      </c>
      <c r="Y42" s="12">
        <f>IF(COUNT(X37:X42)=6,(AVERAGE(X40:X42)/AVERAGE(X37:X39))^4-1,"")</f>
        <v/>
      </c>
      <c r="Z42" s="10" t="n">
        <v>84.2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84.8309</v>
      </c>
      <c r="AE42" s="12">
        <f>IF(COUNT(AD37:AD42)=6,(AVERAGE(AD40:AD42)/AVERAGE(AD37:AD39))^4-1,"")</f>
        <v/>
      </c>
      <c r="AF42" s="10" t="n">
        <v>77.59999999999999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77.4783</v>
      </c>
      <c r="AK42" s="12">
        <f>IF(COUNT(AJ37:AJ42)=6,(AVERAGE(AJ40:AJ42)/AVERAGE(AJ37:AJ39))^4-1,"")</f>
        <v/>
      </c>
      <c r="AL42" s="10" t="n">
        <v>69.8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69.16200000000001</v>
      </c>
      <c r="AQ42" s="12">
        <f>IF(COUNT(AP37:AP42)=6,(AVERAGE(AP40:AP42)/AVERAGE(AP37:AP39))^4-1,"")</f>
        <v/>
      </c>
      <c r="AR42" s="10" t="n">
        <v>82.90000000000001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83.2607</v>
      </c>
      <c r="AW42" s="12">
        <f>IF(COUNT(AV37:AV42)=6,(AVERAGE(AV40:AV42)/AVERAGE(AV37:AV39))^4-1,"")</f>
        <v/>
      </c>
    </row>
    <row r="43">
      <c r="A43" s="9" t="n">
        <v>43160</v>
      </c>
      <c r="B43" s="10" t="n">
        <v>82.40000000000001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82.09529999999999</v>
      </c>
      <c r="G43" s="12">
        <f>IF(COUNT(F38:F43)=6,(AVERAGE(F41:F43)/AVERAGE(F38:F40))^4-1,"")</f>
        <v/>
      </c>
      <c r="H43" s="10" t="n">
        <v>87.59999999999999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87.3604</v>
      </c>
      <c r="M43" s="12">
        <f>IF(COUNT(L38:L43)=6,(AVERAGE(L41:L43)/AVERAGE(L38:L40))^4-1,"")</f>
        <v/>
      </c>
      <c r="N43" s="10" t="n">
        <v>85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84.7546</v>
      </c>
      <c r="S43" s="12">
        <f>IF(COUNT(R38:R43)=6,(AVERAGE(R41:R43)/AVERAGE(R38:R40))^4-1,"")</f>
        <v/>
      </c>
      <c r="T43" s="10" t="n">
        <v>81.5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80.696</v>
      </c>
      <c r="Y43" s="12">
        <f>IF(COUNT(X38:X43)=6,(AVERAGE(X41:X43)/AVERAGE(X38:X40))^4-1,"")</f>
        <v/>
      </c>
      <c r="Z43" s="10" t="n">
        <v>84.59999999999999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85.0793</v>
      </c>
      <c r="AE43" s="12">
        <f>IF(COUNT(AD38:AD43)=6,(AVERAGE(AD41:AD43)/AVERAGE(AD38:AD40))^4-1,"")</f>
        <v/>
      </c>
      <c r="AF43" s="10" t="n">
        <v>77.8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77.60420000000001</v>
      </c>
      <c r="AK43" s="12">
        <f>IF(COUNT(AJ38:AJ43)=6,(AVERAGE(AJ41:AJ43)/AVERAGE(AJ38:AJ40))^4-1,"")</f>
        <v/>
      </c>
      <c r="AL43" s="10" t="n">
        <v>69.59999999999999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69.0256</v>
      </c>
      <c r="AQ43" s="12">
        <f>IF(COUNT(AP38:AP43)=6,(AVERAGE(AP41:AP43)/AVERAGE(AP38:AP40))^4-1,"")</f>
        <v/>
      </c>
      <c r="AR43" s="10" t="n">
        <v>83.5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83.9126</v>
      </c>
      <c r="AW43" s="12">
        <f>IF(COUNT(AV38:AV43)=6,(AVERAGE(AV41:AV43)/AVERAGE(AV38:AV40))^4-1,"")</f>
        <v/>
      </c>
    </row>
    <row r="44">
      <c r="A44" s="9" t="n">
        <v>43191</v>
      </c>
      <c r="B44" s="10" t="n">
        <v>82.8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82.12439999999999</v>
      </c>
      <c r="G44" s="12">
        <f>IF(COUNT(F39:F44)=6,(AVERAGE(F42:F44)/AVERAGE(F39:F41))^4-1,"")</f>
        <v/>
      </c>
      <c r="H44" s="10" t="n">
        <v>88.3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87.2775</v>
      </c>
      <c r="M44" s="12">
        <f>IF(COUNT(L39:L44)=6,(AVERAGE(L42:L44)/AVERAGE(L39:L41))^4-1,"")</f>
        <v/>
      </c>
      <c r="N44" s="10" t="n">
        <v>85.59999999999999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84.7971</v>
      </c>
      <c r="S44" s="12">
        <f>IF(COUNT(R39:R44)=6,(AVERAGE(R42:R44)/AVERAGE(R39:R41))^4-1,"")</f>
        <v/>
      </c>
      <c r="T44" s="10" t="n">
        <v>81.90000000000001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80.8935</v>
      </c>
      <c r="Y44" s="12">
        <f>IF(COUNT(X39:X44)=6,(AVERAGE(X42:X44)/AVERAGE(X39:X41))^4-1,"")</f>
        <v/>
      </c>
      <c r="Z44" s="10" t="n">
        <v>85.09999999999999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84.82510000000001</v>
      </c>
      <c r="AE44" s="12">
        <f>IF(COUNT(AD39:AD44)=6,(AVERAGE(AD42:AD44)/AVERAGE(AD39:AD41))^4-1,"")</f>
        <v/>
      </c>
      <c r="AF44" s="10" t="n">
        <v>78.2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78.0389</v>
      </c>
      <c r="AK44" s="12">
        <f>IF(COUNT(AJ39:AJ44)=6,(AVERAGE(AJ42:AJ44)/AVERAGE(AJ39:AJ41))^4-1,"")</f>
        <v/>
      </c>
      <c r="AL44" s="10" t="n">
        <v>68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68.3656</v>
      </c>
      <c r="AQ44" s="12">
        <f>IF(COUNT(AP39:AP44)=6,(AVERAGE(AP42:AP44)/AVERAGE(AP39:AP41))^4-1,"")</f>
        <v/>
      </c>
      <c r="AR44" s="10" t="n">
        <v>83.8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83.9965</v>
      </c>
      <c r="AW44" s="12">
        <f>IF(COUNT(AV39:AV44)=6,(AVERAGE(AV42:AV44)/AVERAGE(AV39:AV41))^4-1,"")</f>
        <v/>
      </c>
    </row>
    <row r="45">
      <c r="A45" s="9" t="n">
        <v>43221</v>
      </c>
      <c r="B45" s="10" t="n">
        <v>83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82.39449999999999</v>
      </c>
      <c r="G45" s="12">
        <f>IF(COUNT(F40:F45)=6,(AVERAGE(F43:F45)/AVERAGE(F40:F42))^4-1,"")</f>
        <v/>
      </c>
      <c r="H45" s="10" t="n">
        <v>88.40000000000001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87.3844</v>
      </c>
      <c r="M45" s="12">
        <f>IF(COUNT(L40:L45)=6,(AVERAGE(L43:L45)/AVERAGE(L40:L42))^4-1,"")</f>
        <v/>
      </c>
      <c r="N45" s="10" t="n">
        <v>85.8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84.9225</v>
      </c>
      <c r="S45" s="12">
        <f>IF(COUNT(R40:R45)=6,(AVERAGE(R43:R45)/AVERAGE(R40:R42))^4-1,"")</f>
        <v/>
      </c>
      <c r="T45" s="10" t="n">
        <v>82.09999999999999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81.07510000000001</v>
      </c>
      <c r="Y45" s="12">
        <f>IF(COUNT(X40:X45)=6,(AVERAGE(X43:X45)/AVERAGE(X40:X42))^4-1,"")</f>
        <v/>
      </c>
      <c r="Z45" s="10" t="n">
        <v>85.40000000000001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85.26949999999999</v>
      </c>
      <c r="AE45" s="12">
        <f>IF(COUNT(AD40:AD45)=6,(AVERAGE(AD43:AD45)/AVERAGE(AD40:AD42))^4-1,"")</f>
        <v/>
      </c>
      <c r="AF45" s="10" t="n">
        <v>78.7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78.25790000000001</v>
      </c>
      <c r="AK45" s="12">
        <f>IF(COUNT(AJ40:AJ45)=6,(AVERAGE(AJ43:AJ45)/AVERAGE(AJ40:AJ42))^4-1,"")</f>
        <v/>
      </c>
      <c r="AL45" s="10" t="n">
        <v>68.7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68.92059999999999</v>
      </c>
      <c r="AQ45" s="12">
        <f>IF(COUNT(AP40:AP45)=6,(AVERAGE(AP43:AP45)/AVERAGE(AP40:AP42))^4-1,"")</f>
        <v/>
      </c>
      <c r="AR45" s="10" t="n">
        <v>84.40000000000001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84.4152</v>
      </c>
      <c r="AW45" s="12">
        <f>IF(COUNT(AV40:AV45)=6,(AVERAGE(AV43:AV45)/AVERAGE(AV40:AV42))^4-1,"")</f>
        <v/>
      </c>
    </row>
    <row r="46">
      <c r="A46" s="9" t="n">
        <v>43252</v>
      </c>
      <c r="B46" s="10" t="n">
        <v>83.2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82.4716</v>
      </c>
      <c r="G46" s="12">
        <f>IF(COUNT(F41:F46)=6,(AVERAGE(F44:F46)/AVERAGE(F41:F43))^4-1,"")</f>
        <v/>
      </c>
      <c r="H46" s="10" t="n">
        <v>88.59999999999999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87.4927</v>
      </c>
      <c r="M46" s="12">
        <f>IF(COUNT(L41:L46)=6,(AVERAGE(L44:L46)/AVERAGE(L41:L43))^4-1,"")</f>
        <v/>
      </c>
      <c r="N46" s="10" t="n">
        <v>85.90000000000001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84.98999999999999</v>
      </c>
      <c r="S46" s="12">
        <f>IF(COUNT(R41:R46)=6,(AVERAGE(R44:R46)/AVERAGE(R41:R43))^4-1,"")</f>
        <v/>
      </c>
      <c r="T46" s="10" t="n">
        <v>82.2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81.2364</v>
      </c>
      <c r="Y46" s="12">
        <f>IF(COUNT(X41:X46)=6,(AVERAGE(X44:X46)/AVERAGE(X41:X43))^4-1,"")</f>
        <v/>
      </c>
      <c r="Z46" s="10" t="n">
        <v>85.7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85.30200000000001</v>
      </c>
      <c r="AE46" s="12">
        <f>IF(COUNT(AD41:AD46)=6,(AVERAGE(AD44:AD46)/AVERAGE(AD41:AD43))^4-1,"")</f>
        <v/>
      </c>
      <c r="AF46" s="10" t="n">
        <v>78.5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78.2783</v>
      </c>
      <c r="AK46" s="12">
        <f>IF(COUNT(AJ41:AJ46)=6,(AVERAGE(AJ44:AJ46)/AVERAGE(AJ41:AJ43))^4-1,"")</f>
        <v/>
      </c>
      <c r="AL46" s="10" t="n">
        <v>69.59999999999999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70.12649999999999</v>
      </c>
      <c r="AQ46" s="12">
        <f>IF(COUNT(AP41:AP46)=6,(AVERAGE(AP44:AP46)/AVERAGE(AP41:AP43))^4-1,"")</f>
        <v/>
      </c>
      <c r="AR46" s="10" t="n">
        <v>86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85.7189</v>
      </c>
      <c r="AW46" s="12">
        <f>IF(COUNT(AV41:AV46)=6,(AVERAGE(AV44:AV46)/AVERAGE(AV41:AV43))^4-1,"")</f>
        <v/>
      </c>
    </row>
    <row r="47">
      <c r="A47" s="9" t="n">
        <v>43282</v>
      </c>
      <c r="B47" s="10" t="n">
        <v>82.09999999999999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82.8698</v>
      </c>
      <c r="G47" s="12">
        <f>IF(COUNT(F42:F47)=6,(AVERAGE(F45:F47)/AVERAGE(F42:F44))^4-1,"")</f>
        <v/>
      </c>
      <c r="H47" s="10" t="n">
        <v>86.7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87.6374</v>
      </c>
      <c r="M47" s="12">
        <f>IF(COUNT(L42:L47)=6,(AVERAGE(L45:L47)/AVERAGE(L42:L44))^4-1,"")</f>
        <v/>
      </c>
      <c r="N47" s="10" t="n">
        <v>84.40000000000001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85.1969</v>
      </c>
      <c r="S47" s="12">
        <f>IF(COUNT(R42:R47)=6,(AVERAGE(R45:R47)/AVERAGE(R42:R44))^4-1,"")</f>
        <v/>
      </c>
      <c r="T47" s="10" t="n">
        <v>79.8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81.6271</v>
      </c>
      <c r="Y47" s="12">
        <f>IF(COUNT(X42:X47)=6,(AVERAGE(X45:X47)/AVERAGE(X42:X44))^4-1,"")</f>
        <v/>
      </c>
      <c r="Z47" s="10" t="n">
        <v>86.09999999999999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85.3389</v>
      </c>
      <c r="AE47" s="12">
        <f>IF(COUNT(AD42:AD47)=6,(AVERAGE(AD45:AD47)/AVERAGE(AD42:AD44))^4-1,"")</f>
        <v/>
      </c>
      <c r="AF47" s="10" t="n">
        <v>78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78.2077</v>
      </c>
      <c r="AK47" s="12">
        <f>IF(COUNT(AJ42:AJ47)=6,(AVERAGE(AJ45:AJ47)/AVERAGE(AJ42:AJ44))^4-1,"")</f>
        <v/>
      </c>
      <c r="AL47" s="10" t="n">
        <v>71.40000000000001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71.8107</v>
      </c>
      <c r="AQ47" s="12">
        <f>IF(COUNT(AP42:AP47)=6,(AVERAGE(AP45:AP47)/AVERAGE(AP42:AP44))^4-1,"")</f>
        <v/>
      </c>
      <c r="AR47" s="10" t="n">
        <v>86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85.3192</v>
      </c>
      <c r="AW47" s="12">
        <f>IF(COUNT(AV42:AV47)=6,(AVERAGE(AV45:AV47)/AVERAGE(AV42:AV44))^4-1,"")</f>
        <v/>
      </c>
    </row>
    <row r="48">
      <c r="A48" s="9" t="n">
        <v>43313</v>
      </c>
      <c r="B48" s="10" t="n">
        <v>81.90000000000001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82.7107</v>
      </c>
      <c r="G48" s="12">
        <f>IF(COUNT(F43:F48)=6,(AVERAGE(F46:F48)/AVERAGE(F43:F45))^4-1,"")</f>
        <v/>
      </c>
      <c r="H48" s="10" t="n">
        <v>86.5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87.57470000000001</v>
      </c>
      <c r="M48" s="12">
        <f>IF(COUNT(L43:L48)=6,(AVERAGE(L46:L48)/AVERAGE(L43:L45))^4-1,"")</f>
        <v/>
      </c>
      <c r="N48" s="10" t="n">
        <v>84.2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85.06189999999999</v>
      </c>
      <c r="S48" s="12">
        <f>IF(COUNT(R43:R48)=6,(AVERAGE(R46:R48)/AVERAGE(R43:R45))^4-1,"")</f>
        <v/>
      </c>
      <c r="T48" s="10" t="n">
        <v>79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81.3746</v>
      </c>
      <c r="Y48" s="12">
        <f>IF(COUNT(X43:X48)=6,(AVERAGE(X46:X48)/AVERAGE(X43:X45))^4-1,"")</f>
        <v/>
      </c>
      <c r="Z48" s="10" t="n">
        <v>87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85.92870000000001</v>
      </c>
      <c r="AE48" s="12">
        <f>IF(COUNT(AD43:AD48)=6,(AVERAGE(AD46:AD48)/AVERAGE(AD43:AD45))^4-1,"")</f>
        <v/>
      </c>
      <c r="AF48" s="10" t="n">
        <v>78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78.22369999999999</v>
      </c>
      <c r="AK48" s="12">
        <f>IF(COUNT(AJ43:AJ48)=6,(AVERAGE(AJ46:AJ48)/AVERAGE(AJ43:AJ45))^4-1,"")</f>
        <v/>
      </c>
      <c r="AL48" s="10" t="n">
        <v>71.40000000000001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71.9478</v>
      </c>
      <c r="AQ48" s="12">
        <f>IF(COUNT(AP43:AP48)=6,(AVERAGE(AP46:AP48)/AVERAGE(AP43:AP45))^4-1,"")</f>
        <v/>
      </c>
      <c r="AR48" s="10" t="n">
        <v>88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85.8231</v>
      </c>
      <c r="AW48" s="12">
        <f>IF(COUNT(AV43:AV48)=6,(AVERAGE(AV46:AV48)/AVERAGE(AV43:AV45))^4-1,"")</f>
        <v/>
      </c>
    </row>
    <row r="49">
      <c r="A49" s="9" t="n">
        <v>43344</v>
      </c>
      <c r="B49" s="10" t="n">
        <v>83.3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82.8291</v>
      </c>
      <c r="G49" s="12">
        <f>IF(COUNT(F44:F49)=6,(AVERAGE(F47:F49)/AVERAGE(F44:F46))^4-1,"")</f>
        <v/>
      </c>
      <c r="H49" s="10" t="n">
        <v>88.5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87.5896</v>
      </c>
      <c r="M49" s="12">
        <f>IF(COUNT(L44:L49)=6,(AVERAGE(L47:L49)/AVERAGE(L44:L46))^4-1,"")</f>
        <v/>
      </c>
      <c r="N49" s="10" t="n">
        <v>85.7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85.0896</v>
      </c>
      <c r="S49" s="12">
        <f>IF(COUNT(R44:R49)=6,(AVERAGE(R47:R49)/AVERAGE(R44:R46))^4-1,"")</f>
        <v/>
      </c>
      <c r="T49" s="10" t="n">
        <v>82.09999999999999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81.60939999999999</v>
      </c>
      <c r="Y49" s="12">
        <f>IF(COUNT(X44:X49)=6,(AVERAGE(X47:X49)/AVERAGE(X44:X46))^4-1,"")</f>
        <v/>
      </c>
      <c r="Z49" s="10" t="n">
        <v>85.90000000000001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85.4973</v>
      </c>
      <c r="AE49" s="12">
        <f>IF(COUNT(AD44:AD49)=6,(AVERAGE(AD47:AD49)/AVERAGE(AD44:AD46))^4-1,"")</f>
        <v/>
      </c>
      <c r="AF49" s="10" t="n">
        <v>77.90000000000001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78.2989</v>
      </c>
      <c r="AK49" s="12">
        <f>IF(COUNT(AJ44:AJ49)=6,(AVERAGE(AJ47:AJ49)/AVERAGE(AJ44:AJ46))^4-1,"")</f>
        <v/>
      </c>
      <c r="AL49" s="10" t="n">
        <v>71.7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72.0018</v>
      </c>
      <c r="AQ49" s="12">
        <f>IF(COUNT(AP44:AP49)=6,(AVERAGE(AP47:AP49)/AVERAGE(AP44:AP46))^4-1,"")</f>
        <v/>
      </c>
      <c r="AR49" s="10" t="n">
        <v>86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86.0201</v>
      </c>
      <c r="AW49" s="12">
        <f>IF(COUNT(AV44:AV49)=6,(AVERAGE(AV47:AV49)/AVERAGE(AV44:AV46))^4-1,"")</f>
        <v/>
      </c>
    </row>
    <row r="50">
      <c r="A50" s="9" t="n">
        <v>43374</v>
      </c>
      <c r="B50" s="10" t="n">
        <v>83.40000000000001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82.8304</v>
      </c>
      <c r="G50" s="12">
        <f>IF(COUNT(F45:F50)=6,(AVERAGE(F48:F50)/AVERAGE(F45:F47))^4-1,"")</f>
        <v/>
      </c>
      <c r="H50" s="10" t="n">
        <v>88.3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87.4769</v>
      </c>
      <c r="M50" s="12">
        <f>IF(COUNT(L45:L50)=6,(AVERAGE(L48:L50)/AVERAGE(L45:L47))^4-1,"")</f>
        <v/>
      </c>
      <c r="N50" s="10" t="n">
        <v>85.5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84.99809999999999</v>
      </c>
      <c r="S50" s="12">
        <f>IF(COUNT(R45:R50)=6,(AVERAGE(R48:R50)/AVERAGE(R45:R47))^4-1,"")</f>
        <v/>
      </c>
      <c r="T50" s="10" t="n">
        <v>82.8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81.7012</v>
      </c>
      <c r="Y50" s="12">
        <f>IF(COUNT(X45:X50)=6,(AVERAGE(X48:X50)/AVERAGE(X45:X47))^4-1,"")</f>
        <v/>
      </c>
      <c r="Z50" s="10" t="n">
        <v>85.3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85.3856</v>
      </c>
      <c r="AE50" s="12">
        <f>IF(COUNT(AD45:AD50)=6,(AVERAGE(AD48:AD50)/AVERAGE(AD45:AD47))^4-1,"")</f>
        <v/>
      </c>
      <c r="AF50" s="10" t="n">
        <v>77.8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78.13890000000001</v>
      </c>
      <c r="AK50" s="12">
        <f>IF(COUNT(AJ45:AJ50)=6,(AVERAGE(AJ48:AJ50)/AVERAGE(AJ45:AJ47))^4-1,"")</f>
        <v/>
      </c>
      <c r="AL50" s="10" t="n">
        <v>74.3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74.62690000000001</v>
      </c>
      <c r="AQ50" s="12">
        <f>IF(COUNT(AP45:AP50)=6,(AVERAGE(AP48:AP50)/AVERAGE(AP45:AP47))^4-1,"")</f>
        <v/>
      </c>
      <c r="AR50" s="10" t="n">
        <v>85.5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85.7787</v>
      </c>
      <c r="AW50" s="12">
        <f>IF(COUNT(AV45:AV50)=6,(AVERAGE(AV48:AV50)/AVERAGE(AV45:AV47))^4-1,"")</f>
        <v/>
      </c>
    </row>
    <row r="51">
      <c r="A51" s="9" t="n">
        <v>43405</v>
      </c>
      <c r="B51" s="10" t="n">
        <v>83.2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82.8724</v>
      </c>
      <c r="G51" s="12">
        <f>IF(COUNT(F46:F51)=6,(AVERAGE(F49:F51)/AVERAGE(F46:F48))^4-1,"")</f>
        <v/>
      </c>
      <c r="H51" s="10" t="n">
        <v>87.8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87.4708</v>
      </c>
      <c r="M51" s="12">
        <f>IF(COUNT(L46:L51)=6,(AVERAGE(L49:L51)/AVERAGE(L46:L48))^4-1,"")</f>
        <v/>
      </c>
      <c r="N51" s="10" t="n">
        <v>85.3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85.0955</v>
      </c>
      <c r="S51" s="12">
        <f>IF(COUNT(R46:R51)=6,(AVERAGE(R49:R51)/AVERAGE(R46:R48))^4-1,"")</f>
        <v/>
      </c>
      <c r="T51" s="10" t="n">
        <v>82.8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81.65430000000001</v>
      </c>
      <c r="Y51" s="12">
        <f>IF(COUNT(X46:X51)=6,(AVERAGE(X49:X51)/AVERAGE(X46:X48))^4-1,"")</f>
        <v/>
      </c>
      <c r="Z51" s="10" t="n">
        <v>84.7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85.4447</v>
      </c>
      <c r="AE51" s="12">
        <f>IF(COUNT(AD46:AD51)=6,(AVERAGE(AD49:AD51)/AVERAGE(AD46:AD48))^4-1,"")</f>
        <v/>
      </c>
      <c r="AF51" s="10" t="n">
        <v>78.2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78.2454</v>
      </c>
      <c r="AK51" s="12">
        <f>IF(COUNT(AJ46:AJ51)=6,(AVERAGE(AJ49:AJ51)/AVERAGE(AJ46:AJ48))^4-1,"")</f>
        <v/>
      </c>
      <c r="AL51" s="10" t="n">
        <v>74.2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74.02760000000001</v>
      </c>
      <c r="AQ51" s="12">
        <f>IF(COUNT(AP46:AP51)=6,(AVERAGE(AP49:AP51)/AVERAGE(AP46:AP48))^4-1,"")</f>
        <v/>
      </c>
      <c r="AR51" s="10" t="n">
        <v>85.09999999999999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85.75920000000001</v>
      </c>
      <c r="AW51" s="12">
        <f>IF(COUNT(AV46:AV51)=6,(AVERAGE(AV49:AV51)/AVERAGE(AV46:AV48))^4-1,"")</f>
        <v/>
      </c>
    </row>
    <row r="52">
      <c r="A52" s="9" t="n">
        <v>43435</v>
      </c>
      <c r="B52" s="10" t="n">
        <v>83.09999999999999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82.7264</v>
      </c>
      <c r="G52" s="12">
        <f>IF(COUNT(F47:F52)=6,(AVERAGE(F50:F52)/AVERAGE(F47:F49))^4-1,"")</f>
        <v/>
      </c>
      <c r="H52" s="10" t="n">
        <v>88.09999999999999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87.5591</v>
      </c>
      <c r="M52" s="12">
        <f>IF(COUNT(L47:L52)=6,(AVERAGE(L50:L52)/AVERAGE(L47:L49))^4-1,"")</f>
        <v/>
      </c>
      <c r="N52" s="10" t="n">
        <v>85.40000000000001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85.0626</v>
      </c>
      <c r="S52" s="12">
        <f>IF(COUNT(R47:R52)=6,(AVERAGE(R50:R52)/AVERAGE(R47:R49))^4-1,"")</f>
        <v/>
      </c>
      <c r="T52" s="10" t="n">
        <v>82.5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81.4529</v>
      </c>
      <c r="Y52" s="12">
        <f>IF(COUNT(X47:X52)=6,(AVERAGE(X50:X52)/AVERAGE(X47:X49))^4-1,"")</f>
        <v/>
      </c>
      <c r="Z52" s="10" t="n">
        <v>85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85.533</v>
      </c>
      <c r="AE52" s="12">
        <f>IF(COUNT(AD47:AD52)=6,(AVERAGE(AD50:AD52)/AVERAGE(AD47:AD49))^4-1,"")</f>
        <v/>
      </c>
      <c r="AF52" s="10" t="n">
        <v>78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78.2354</v>
      </c>
      <c r="AK52" s="12">
        <f>IF(COUNT(AJ47:AJ52)=6,(AVERAGE(AJ50:AJ52)/AVERAGE(AJ47:AJ49))^4-1,"")</f>
        <v/>
      </c>
      <c r="AL52" s="10" t="n">
        <v>72.5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72.42829999999999</v>
      </c>
      <c r="AQ52" s="12">
        <f>IF(COUNT(AP47:AP52)=6,(AVERAGE(AP50:AP52)/AVERAGE(AP47:AP49))^4-1,"")</f>
        <v/>
      </c>
      <c r="AR52" s="10" t="n">
        <v>84.40000000000001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84.8014</v>
      </c>
      <c r="AW52" s="12">
        <f>IF(COUNT(AV47:AV52)=6,(AVERAGE(AV50:AV52)/AVERAGE(AV47:AV49))^4-1,"")</f>
        <v/>
      </c>
    </row>
    <row r="53">
      <c r="A53" s="9" t="n">
        <v>43466</v>
      </c>
      <c r="B53" s="10" t="n">
        <v>81.7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82.7611</v>
      </c>
      <c r="G53" s="12">
        <f>IF(COUNT(F48:F53)=6,(AVERAGE(F51:F53)/AVERAGE(F48:F50))^4-1,"")</f>
        <v/>
      </c>
      <c r="H53" s="10" t="n">
        <v>85.7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87.6148</v>
      </c>
      <c r="M53" s="12">
        <f>IF(COUNT(L48:L53)=6,(AVERAGE(L51:L53)/AVERAGE(L48:L50))^4-1,"")</f>
        <v/>
      </c>
      <c r="N53" s="10" t="n">
        <v>83.8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85.0608</v>
      </c>
      <c r="S53" s="12">
        <f>IF(COUNT(R48:R53)=6,(AVERAGE(R51:R53)/AVERAGE(R48:R50))^4-1,"")</f>
        <v/>
      </c>
      <c r="T53" s="10" t="n">
        <v>80.09999999999999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81.3886</v>
      </c>
      <c r="Y53" s="12">
        <f>IF(COUNT(X48:X53)=6,(AVERAGE(X51:X53)/AVERAGE(X48:X50))^4-1,"")</f>
        <v/>
      </c>
      <c r="Z53" s="10" t="n">
        <v>84.8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85.48690000000001</v>
      </c>
      <c r="AE53" s="12">
        <f>IF(COUNT(AD48:AD53)=6,(AVERAGE(AD51:AD53)/AVERAGE(AD48:AD50))^4-1,"")</f>
        <v/>
      </c>
      <c r="AF53" s="10" t="n">
        <v>78.8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78.4877</v>
      </c>
      <c r="AK53" s="12">
        <f>IF(COUNT(AJ48:AJ53)=6,(AVERAGE(AJ51:AJ53)/AVERAGE(AJ48:AJ50))^4-1,"")</f>
        <v/>
      </c>
      <c r="AL53" s="10" t="n">
        <v>72.5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71.3764</v>
      </c>
      <c r="AQ53" s="12">
        <f>IF(COUNT(AP48:AP53)=6,(AVERAGE(AP51:AP53)/AVERAGE(AP48:AP50))^4-1,"")</f>
        <v/>
      </c>
      <c r="AR53" s="10" t="n">
        <v>83.09999999999999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84.04600000000001</v>
      </c>
      <c r="AW53" s="12">
        <f>IF(COUNT(AV48:AV53)=6,(AVERAGE(AV51:AV53)/AVERAGE(AV48:AV50))^4-1,"")</f>
        <v/>
      </c>
    </row>
    <row r="54">
      <c r="A54" s="9" t="n">
        <v>43497</v>
      </c>
      <c r="B54" s="10" t="n">
        <v>81.5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82.8664</v>
      </c>
      <c r="G54" s="12">
        <f>IF(COUNT(F49:F54)=6,(AVERAGE(F52:F54)/AVERAGE(F49:F51))^4-1,"")</f>
        <v/>
      </c>
      <c r="H54" s="10" t="n">
        <v>85.2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87.2026</v>
      </c>
      <c r="M54" s="12">
        <f>IF(COUNT(L49:L54)=6,(AVERAGE(L52:L54)/AVERAGE(L49:L51))^4-1,"")</f>
        <v/>
      </c>
      <c r="N54" s="10" t="n">
        <v>83.5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85.0372</v>
      </c>
      <c r="S54" s="12">
        <f>IF(COUNT(R49:R54)=6,(AVERAGE(R52:R54)/AVERAGE(R49:R51))^4-1,"")</f>
        <v/>
      </c>
      <c r="T54" s="10" t="n">
        <v>79.7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81.5682</v>
      </c>
      <c r="Y54" s="12">
        <f>IF(COUNT(X49:X54)=6,(AVERAGE(X52:X54)/AVERAGE(X49:X51))^4-1,"")</f>
        <v/>
      </c>
      <c r="Z54" s="10" t="n">
        <v>84.8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85.4637</v>
      </c>
      <c r="AE54" s="12">
        <f>IF(COUNT(AD49:AD54)=6,(AVERAGE(AD52:AD54)/AVERAGE(AD49:AD51))^4-1,"")</f>
        <v/>
      </c>
      <c r="AF54" s="10" t="n">
        <v>79.09999999999999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79.01900000000001</v>
      </c>
      <c r="AK54" s="12">
        <f>IF(COUNT(AJ49:AJ54)=6,(AVERAGE(AJ52:AJ54)/AVERAGE(AJ49:AJ51))^4-1,"")</f>
        <v/>
      </c>
      <c r="AL54" s="10" t="n">
        <v>72.8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72.0222</v>
      </c>
      <c r="AQ54" s="12">
        <f>IF(COUNT(AP49:AP54)=6,(AVERAGE(AP52:AP54)/AVERAGE(AP49:AP51))^4-1,"")</f>
        <v/>
      </c>
      <c r="AR54" s="10" t="n">
        <v>83.40000000000001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83.7097</v>
      </c>
      <c r="AW54" s="12">
        <f>IF(COUNT(AV49:AV54)=6,(AVERAGE(AV52:AV54)/AVERAGE(AV49:AV51))^4-1,"")</f>
        <v/>
      </c>
    </row>
    <row r="55">
      <c r="A55" s="9" t="n">
        <v>43525</v>
      </c>
      <c r="B55" s="10" t="n">
        <v>83.3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82.9967</v>
      </c>
      <c r="G55" s="12">
        <f>IF(COUNT(F50:F55)=6,(AVERAGE(F53:F55)/AVERAGE(F50:F52))^4-1,"")</f>
        <v/>
      </c>
      <c r="H55" s="10" t="n">
        <v>87.90000000000001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87.7133</v>
      </c>
      <c r="M55" s="12">
        <f>IF(COUNT(L50:L55)=6,(AVERAGE(L53:L55)/AVERAGE(L50:L52))^4-1,"")</f>
        <v/>
      </c>
      <c r="N55" s="10" t="n">
        <v>85.5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85.29989999999999</v>
      </c>
      <c r="S55" s="12">
        <f>IF(COUNT(R50:R55)=6,(AVERAGE(R53:R55)/AVERAGE(R50:R52))^4-1,"")</f>
        <v/>
      </c>
      <c r="T55" s="10" t="n">
        <v>82.59999999999999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81.80159999999999</v>
      </c>
      <c r="Y55" s="12">
        <f>IF(COUNT(X50:X55)=6,(AVERAGE(X53:X55)/AVERAGE(X50:X52))^4-1,"")</f>
        <v/>
      </c>
      <c r="Z55" s="10" t="n">
        <v>85.2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85.7056</v>
      </c>
      <c r="AE55" s="12">
        <f>IF(COUNT(AD50:AD55)=6,(AVERAGE(AD53:AD55)/AVERAGE(AD50:AD52))^4-1,"")</f>
        <v/>
      </c>
      <c r="AF55" s="10" t="n">
        <v>78.8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78.6254</v>
      </c>
      <c r="AK55" s="12">
        <f>IF(COUNT(AJ50:AJ55)=6,(AVERAGE(AJ53:AJ55)/AVERAGE(AJ50:AJ52))^4-1,"")</f>
        <v/>
      </c>
      <c r="AL55" s="10" t="n">
        <v>73.40000000000001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72.741</v>
      </c>
      <c r="AQ55" s="12">
        <f>IF(COUNT(AP50:AP55)=6,(AVERAGE(AP53:AP55)/AVERAGE(AP50:AP52))^4-1,"")</f>
        <v/>
      </c>
      <c r="AR55" s="10" t="n">
        <v>84.5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84.7854</v>
      </c>
      <c r="AW55" s="12">
        <f>IF(COUNT(AV50:AV55)=6,(AVERAGE(AV53:AV55)/AVERAGE(AV50:AV52))^4-1,"")</f>
        <v/>
      </c>
    </row>
    <row r="56">
      <c r="A56" s="9" t="n">
        <v>43556</v>
      </c>
      <c r="B56" s="10" t="n">
        <v>83.7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83.0176</v>
      </c>
      <c r="G56" s="12">
        <f>IF(COUNT(F51:F56)=6,(AVERAGE(F54:F56)/AVERAGE(F51:F53))^4-1,"")</f>
        <v/>
      </c>
      <c r="H56" s="10" t="n">
        <v>88.90000000000001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87.89919999999999</v>
      </c>
      <c r="M56" s="12">
        <f>IF(COUNT(L51:L56)=6,(AVERAGE(L54:L56)/AVERAGE(L51:L53))^4-1,"")</f>
        <v/>
      </c>
      <c r="N56" s="10" t="n">
        <v>86.2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85.43000000000001</v>
      </c>
      <c r="S56" s="12">
        <f>IF(COUNT(R51:R56)=6,(AVERAGE(R54:R56)/AVERAGE(R51:R53))^4-1,"")</f>
        <v/>
      </c>
      <c r="T56" s="10" t="n">
        <v>82.5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81.51609999999999</v>
      </c>
      <c r="Y56" s="12">
        <f>IF(COUNT(X51:X56)=6,(AVERAGE(X54:X56)/AVERAGE(X51:X53))^4-1,"")</f>
        <v/>
      </c>
      <c r="Z56" s="10" t="n">
        <v>86.3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86.0068</v>
      </c>
      <c r="AE56" s="12">
        <f>IF(COUNT(AD51:AD56)=6,(AVERAGE(AD54:AD56)/AVERAGE(AD51:AD53))^4-1,"")</f>
        <v/>
      </c>
      <c r="AF56" s="10" t="n">
        <v>78.59999999999999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78.4238</v>
      </c>
      <c r="AK56" s="12">
        <f>IF(COUNT(AJ51:AJ56)=6,(AVERAGE(AJ54:AJ56)/AVERAGE(AJ51:AJ53))^4-1,"")</f>
        <v/>
      </c>
      <c r="AL56" s="10" t="n">
        <v>71.40000000000001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71.6276</v>
      </c>
      <c r="AQ56" s="12">
        <f>IF(COUNT(AP51:AP56)=6,(AVERAGE(AP54:AP56)/AVERAGE(AP51:AP53))^4-1,"")</f>
        <v/>
      </c>
      <c r="AR56" s="10" t="n">
        <v>86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86.12090000000001</v>
      </c>
      <c r="AW56" s="12">
        <f>IF(COUNT(AV51:AV56)=6,(AVERAGE(AV54:AV56)/AVERAGE(AV51:AV53))^4-1,"")</f>
        <v/>
      </c>
    </row>
    <row r="57">
      <c r="A57" s="9" t="n">
        <v>43586</v>
      </c>
      <c r="B57" s="10" t="n">
        <v>83.8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83.2359</v>
      </c>
      <c r="G57" s="12">
        <f>IF(COUNT(F52:F57)=6,(AVERAGE(F55:F57)/AVERAGE(F52:F54))^4-1,"")</f>
        <v/>
      </c>
      <c r="H57" s="10" t="n">
        <v>88.8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87.79600000000001</v>
      </c>
      <c r="M57" s="12">
        <f>IF(COUNT(L52:L57)=6,(AVERAGE(L55:L57)/AVERAGE(L52:L54))^4-1,"")</f>
        <v/>
      </c>
      <c r="N57" s="10" t="n">
        <v>86.2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85.3304</v>
      </c>
      <c r="S57" s="12">
        <f>IF(COUNT(R52:R57)=6,(AVERAGE(R55:R57)/AVERAGE(R52:R54))^4-1,"")</f>
        <v/>
      </c>
      <c r="T57" s="10" t="n">
        <v>82.8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81.8466</v>
      </c>
      <c r="Y57" s="12">
        <f>IF(COUNT(X52:X57)=6,(AVERAGE(X55:X57)/AVERAGE(X52:X54))^4-1,"")</f>
        <v/>
      </c>
      <c r="Z57" s="10" t="n">
        <v>86.09999999999999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85.9265</v>
      </c>
      <c r="AE57" s="12">
        <f>IF(COUNT(AD52:AD57)=6,(AVERAGE(AD55:AD57)/AVERAGE(AD52:AD54))^4-1,"")</f>
        <v/>
      </c>
      <c r="AF57" s="10" t="n">
        <v>79.2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78.74509999999999</v>
      </c>
      <c r="AK57" s="12">
        <f>IF(COUNT(AJ52:AJ57)=6,(AVERAGE(AJ55:AJ57)/AVERAGE(AJ52:AJ54))^4-1,"")</f>
        <v/>
      </c>
      <c r="AL57" s="10" t="n">
        <v>71.8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71.9633</v>
      </c>
      <c r="AQ57" s="12">
        <f>IF(COUNT(AP52:AP57)=6,(AVERAGE(AP55:AP57)/AVERAGE(AP52:AP54))^4-1,"")</f>
        <v/>
      </c>
      <c r="AR57" s="10" t="n">
        <v>85.90000000000001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85.8716</v>
      </c>
      <c r="AW57" s="12">
        <f>IF(COUNT(AV52:AV57)=6,(AVERAGE(AV55:AV57)/AVERAGE(AV52:AV54))^4-1,"")</f>
        <v/>
      </c>
    </row>
    <row r="58">
      <c r="A58" s="9" t="n">
        <v>43617</v>
      </c>
      <c r="B58" s="10" t="n">
        <v>83.8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83.07559999999999</v>
      </c>
      <c r="G58" s="12">
        <f>IF(COUNT(F53:F58)=6,(AVERAGE(F56:F58)/AVERAGE(F53:F55))^4-1,"")</f>
        <v/>
      </c>
      <c r="H58" s="10" t="n">
        <v>89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87.8794</v>
      </c>
      <c r="M58" s="12">
        <f>IF(COUNT(L53:L58)=6,(AVERAGE(L56:L58)/AVERAGE(L53:L55))^4-1,"")</f>
        <v/>
      </c>
      <c r="N58" s="10" t="n">
        <v>86.3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85.3708</v>
      </c>
      <c r="S58" s="12">
        <f>IF(COUNT(R53:R58)=6,(AVERAGE(R56:R58)/AVERAGE(R53:R55))^4-1,"")</f>
        <v/>
      </c>
      <c r="T58" s="10" t="n">
        <v>82.5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81.5834</v>
      </c>
      <c r="Y58" s="12">
        <f>IF(COUNT(X53:X58)=6,(AVERAGE(X56:X58)/AVERAGE(X53:X55))^4-1,"")</f>
        <v/>
      </c>
      <c r="Z58" s="10" t="n">
        <v>86.59999999999999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86.14830000000001</v>
      </c>
      <c r="AE58" s="12">
        <f>IF(COUNT(AD53:AD58)=6,(AVERAGE(AD56:AD58)/AVERAGE(AD53:AD55))^4-1,"")</f>
        <v/>
      </c>
      <c r="AF58" s="10" t="n">
        <v>78.90000000000001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78.6906</v>
      </c>
      <c r="AK58" s="12">
        <f>IF(COUNT(AJ53:AJ58)=6,(AVERAGE(AJ56:AJ58)/AVERAGE(AJ53:AJ55))^4-1,"")</f>
        <v/>
      </c>
      <c r="AL58" s="10" t="n">
        <v>71.5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72.3152</v>
      </c>
      <c r="AQ58" s="12">
        <f>IF(COUNT(AP53:AP58)=6,(AVERAGE(AP56:AP58)/AVERAGE(AP53:AP55))^4-1,"")</f>
        <v/>
      </c>
      <c r="AR58" s="10" t="n">
        <v>86.59999999999999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86.3578</v>
      </c>
      <c r="AW58" s="12">
        <f>IF(COUNT(AV53:AV58)=6,(AVERAGE(AV56:AV58)/AVERAGE(AV53:AV55))^4-1,"")</f>
        <v/>
      </c>
    </row>
    <row r="59">
      <c r="A59" s="9" t="n">
        <v>43647</v>
      </c>
      <c r="B59" s="10" t="n">
        <v>82.3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83.04519999999999</v>
      </c>
      <c r="G59" s="12">
        <f>IF(COUNT(F54:F59)=6,(AVERAGE(F57:F59)/AVERAGE(F54:F56))^4-1,"")</f>
        <v/>
      </c>
      <c r="H59" s="10" t="n">
        <v>87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87.8878</v>
      </c>
      <c r="M59" s="12">
        <f>IF(COUNT(L54:L59)=6,(AVERAGE(L57:L59)/AVERAGE(L54:L56))^4-1,"")</f>
        <v/>
      </c>
      <c r="N59" s="10" t="n">
        <v>84.8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85.5488</v>
      </c>
      <c r="S59" s="12">
        <f>IF(COUNT(R54:R59)=6,(AVERAGE(R57:R59)/AVERAGE(R54:R56))^4-1,"")</f>
        <v/>
      </c>
      <c r="T59" s="10" t="n">
        <v>79.59999999999999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81.3844</v>
      </c>
      <c r="Y59" s="12">
        <f>IF(COUNT(X54:X59)=6,(AVERAGE(X57:X59)/AVERAGE(X54:X56))^4-1,"")</f>
        <v/>
      </c>
      <c r="Z59" s="10" t="n">
        <v>87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86.20350000000001</v>
      </c>
      <c r="AE59" s="12">
        <f>IF(COUNT(AD54:AD59)=6,(AVERAGE(AD57:AD59)/AVERAGE(AD54:AD56))^4-1,"")</f>
        <v/>
      </c>
      <c r="AF59" s="10" t="n">
        <v>78.7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78.8897</v>
      </c>
      <c r="AK59" s="12">
        <f>IF(COUNT(AJ54:AJ59)=6,(AVERAGE(AJ57:AJ59)/AVERAGE(AJ54:AJ56))^4-1,"")</f>
        <v/>
      </c>
      <c r="AL59" s="10" t="n">
        <v>70.09999999999999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70.5753</v>
      </c>
      <c r="AQ59" s="12">
        <f>IF(COUNT(AP54:AP59)=6,(AVERAGE(AP57:AP59)/AVERAGE(AP54:AP56))^4-1,"")</f>
        <v/>
      </c>
      <c r="AR59" s="10" t="n">
        <v>86.7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86.11150000000001</v>
      </c>
      <c r="AW59" s="12">
        <f>IF(COUNT(AV54:AV59)=6,(AVERAGE(AV57:AV59)/AVERAGE(AV54:AV56))^4-1,"")</f>
        <v/>
      </c>
    </row>
    <row r="60">
      <c r="A60" s="9" t="n">
        <v>43678</v>
      </c>
      <c r="B60" s="10" t="n">
        <v>82.3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83.0746</v>
      </c>
      <c r="G60" s="12">
        <f>IF(COUNT(F55:F60)=6,(AVERAGE(F58:F60)/AVERAGE(F55:F57))^4-1,"")</f>
        <v/>
      </c>
      <c r="H60" s="10" t="n">
        <v>87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88.0227</v>
      </c>
      <c r="M60" s="12">
        <f>IF(COUNT(L55:L60)=6,(AVERAGE(L58:L60)/AVERAGE(L55:L57))^4-1,"")</f>
        <v/>
      </c>
      <c r="N60" s="10" t="n">
        <v>84.8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85.626</v>
      </c>
      <c r="S60" s="12">
        <f>IF(COUNT(R55:R60)=6,(AVERAGE(R58:R60)/AVERAGE(R55:R57))^4-1,"")</f>
        <v/>
      </c>
      <c r="T60" s="10" t="n">
        <v>79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81.2332</v>
      </c>
      <c r="Y60" s="12">
        <f>IF(COUNT(X55:X60)=6,(AVERAGE(X58:X60)/AVERAGE(X55:X57))^4-1,"")</f>
        <v/>
      </c>
      <c r="Z60" s="10" t="n">
        <v>87.8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86.733</v>
      </c>
      <c r="AE60" s="12">
        <f>IF(COUNT(AD55:AD60)=6,(AVERAGE(AD58:AD60)/AVERAGE(AD55:AD57))^4-1,"")</f>
        <v/>
      </c>
      <c r="AF60" s="10" t="n">
        <v>78.8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79.0192</v>
      </c>
      <c r="AK60" s="12">
        <f>IF(COUNT(AJ55:AJ60)=6,(AVERAGE(AJ58:AJ60)/AVERAGE(AJ55:AJ57))^4-1,"")</f>
        <v/>
      </c>
      <c r="AL60" s="10" t="n">
        <v>70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70.48950000000001</v>
      </c>
      <c r="AQ60" s="12">
        <f>IF(COUNT(AP55:AP60)=6,(AVERAGE(AP58:AP60)/AVERAGE(AP55:AP57))^4-1,"")</f>
        <v/>
      </c>
      <c r="AR60" s="10" t="n">
        <v>88.5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86.40179999999999</v>
      </c>
      <c r="AW60" s="12">
        <f>IF(COUNT(AV55:AV60)=6,(AVERAGE(AV58:AV60)/AVERAGE(AV55:AV57))^4-1,"")</f>
        <v/>
      </c>
    </row>
    <row r="61">
      <c r="A61" s="9" t="n">
        <v>43709</v>
      </c>
      <c r="B61" s="10" t="n">
        <v>83.5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83.0526</v>
      </c>
      <c r="G61" s="12">
        <f>IF(COUNT(F56:F61)=6,(AVERAGE(F59:F61)/AVERAGE(F56:F58))^4-1,"")</f>
        <v/>
      </c>
      <c r="H61" s="10" t="n">
        <v>88.90000000000001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87.9995</v>
      </c>
      <c r="M61" s="12">
        <f>IF(COUNT(L56:L61)=6,(AVERAGE(L59:L61)/AVERAGE(L56:L58))^4-1,"")</f>
        <v/>
      </c>
      <c r="N61" s="10" t="n">
        <v>86.2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85.5956</v>
      </c>
      <c r="S61" s="12">
        <f>IF(COUNT(R56:R61)=6,(AVERAGE(R59:R61)/AVERAGE(R56:R58))^4-1,"")</f>
        <v/>
      </c>
      <c r="T61" s="10" t="n">
        <v>81.90000000000001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81.4845</v>
      </c>
      <c r="Y61" s="12">
        <f>IF(COUNT(X56:X61)=6,(AVERAGE(X59:X61)/AVERAGE(X56:X58))^4-1,"")</f>
        <v/>
      </c>
      <c r="Z61" s="10" t="n">
        <v>86.7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86.2718</v>
      </c>
      <c r="AE61" s="12">
        <f>IF(COUNT(AD56:AD61)=6,(AVERAGE(AD59:AD61)/AVERAGE(AD56:AD58))^4-1,"")</f>
        <v/>
      </c>
      <c r="AF61" s="10" t="n">
        <v>78.5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78.884</v>
      </c>
      <c r="AK61" s="12">
        <f>IF(COUNT(AJ56:AJ61)=6,(AVERAGE(AJ59:AJ61)/AVERAGE(AJ56:AJ58))^4-1,"")</f>
        <v/>
      </c>
      <c r="AL61" s="10" t="n">
        <v>69.59999999999999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69.7139</v>
      </c>
      <c r="AQ61" s="12">
        <f>IF(COUNT(AP56:AP61)=6,(AVERAGE(AP59:AP61)/AVERAGE(AP56:AP58))^4-1,"")</f>
        <v/>
      </c>
      <c r="AR61" s="10" t="n">
        <v>85.5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85.58150000000001</v>
      </c>
      <c r="AW61" s="12">
        <f>IF(COUNT(AV56:AV61)=6,(AVERAGE(AV59:AV61)/AVERAGE(AV56:AV58))^4-1,"")</f>
        <v/>
      </c>
    </row>
    <row r="62">
      <c r="A62" s="9" t="n">
        <v>43739</v>
      </c>
      <c r="B62" s="10" t="n">
        <v>83.59999999999999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83.03230000000001</v>
      </c>
      <c r="G62" s="12">
        <f>IF(COUNT(F57:F62)=6,(AVERAGE(F60:F62)/AVERAGE(F57:F59))^4-1,"")</f>
        <v/>
      </c>
      <c r="H62" s="10" t="n">
        <v>88.90000000000001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88.0847</v>
      </c>
      <c r="M62" s="12">
        <f>IF(COUNT(L57:L62)=6,(AVERAGE(L60:L62)/AVERAGE(L57:L59))^4-1,"")</f>
        <v/>
      </c>
      <c r="N62" s="10" t="n">
        <v>86.09999999999999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85.59139999999999</v>
      </c>
      <c r="S62" s="12">
        <f>IF(COUNT(R57:R62)=6,(AVERAGE(R60:R62)/AVERAGE(R57:R59))^4-1,"")</f>
        <v/>
      </c>
      <c r="T62" s="10" t="n">
        <v>82.40000000000001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81.3233</v>
      </c>
      <c r="Y62" s="12">
        <f>IF(COUNT(X57:X62)=6,(AVERAGE(X60:X62)/AVERAGE(X57:X59))^4-1,"")</f>
        <v/>
      </c>
      <c r="Z62" s="10" t="n">
        <v>86.3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86.3967</v>
      </c>
      <c r="AE62" s="12">
        <f>IF(COUNT(AD57:AD62)=6,(AVERAGE(AD60:AD62)/AVERAGE(AD57:AD59))^4-1,"")</f>
        <v/>
      </c>
      <c r="AF62" s="10" t="n">
        <v>78.5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78.79819999999999</v>
      </c>
      <c r="AK62" s="12">
        <f>IF(COUNT(AJ57:AJ62)=6,(AVERAGE(AJ60:AJ62)/AVERAGE(AJ57:AJ59))^4-1,"")</f>
        <v/>
      </c>
      <c r="AL62" s="10" t="n">
        <v>70.8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71.2589</v>
      </c>
      <c r="AQ62" s="12">
        <f>IF(COUNT(AP57:AP62)=6,(AVERAGE(AP60:AP62)/AVERAGE(AP57:AP59))^4-1,"")</f>
        <v/>
      </c>
      <c r="AR62" s="10" t="n">
        <v>85.5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85.8222</v>
      </c>
      <c r="AW62" s="12">
        <f>IF(COUNT(AV57:AV62)=6,(AVERAGE(AV60:AV62)/AVERAGE(AV57:AV59))^4-1,"")</f>
        <v/>
      </c>
    </row>
    <row r="63">
      <c r="A63" s="9" t="n">
        <v>43770</v>
      </c>
      <c r="B63" s="10" t="n">
        <v>83.40000000000001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83.10809999999999</v>
      </c>
      <c r="G63" s="12">
        <f>IF(COUNT(F58:F63)=6,(AVERAGE(F61:F63)/AVERAGE(F58:F60))^4-1,"")</f>
        <v/>
      </c>
      <c r="H63" s="10" t="n">
        <v>88.5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88.22280000000001</v>
      </c>
      <c r="M63" s="12">
        <f>IF(COUNT(L58:L63)=6,(AVERAGE(L61:L63)/AVERAGE(L58:L60))^4-1,"")</f>
        <v/>
      </c>
      <c r="N63" s="10" t="n">
        <v>85.90000000000001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85.72669999999999</v>
      </c>
      <c r="S63" s="12">
        <f>IF(COUNT(R58:R63)=6,(AVERAGE(R61:R63)/AVERAGE(R58:R60))^4-1,"")</f>
        <v/>
      </c>
      <c r="T63" s="10" t="n">
        <v>82.5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81.4306</v>
      </c>
      <c r="Y63" s="12">
        <f>IF(COUNT(X58:X63)=6,(AVERAGE(X61:X63)/AVERAGE(X58:X60))^4-1,"")</f>
        <v/>
      </c>
      <c r="Z63" s="10" t="n">
        <v>85.59999999999999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86.3734</v>
      </c>
      <c r="AE63" s="12">
        <f>IF(COUNT(AD58:AD63)=6,(AVERAGE(AD61:AD63)/AVERAGE(AD58:AD60))^4-1,"")</f>
        <v/>
      </c>
      <c r="AF63" s="10" t="n">
        <v>78.90000000000001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78.9207</v>
      </c>
      <c r="AK63" s="12">
        <f>IF(COUNT(AJ58:AJ63)=6,(AVERAGE(AJ61:AJ63)/AVERAGE(AJ58:AJ60))^4-1,"")</f>
        <v/>
      </c>
      <c r="AL63" s="10" t="n">
        <v>70.7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70.58839999999999</v>
      </c>
      <c r="AQ63" s="12">
        <f>IF(COUNT(AP58:AP63)=6,(AVERAGE(AP61:AP63)/AVERAGE(AP58:AP60))^4-1,"")</f>
        <v/>
      </c>
      <c r="AR63" s="10" t="n">
        <v>84.8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85.3967</v>
      </c>
      <c r="AW63" s="12">
        <f>IF(COUNT(AV58:AV63)=6,(AVERAGE(AV61:AV63)/AVERAGE(AV58:AV60))^4-1,"")</f>
        <v/>
      </c>
    </row>
    <row r="64">
      <c r="A64" s="9" t="n">
        <v>43800</v>
      </c>
      <c r="B64" s="10" t="n">
        <v>83.5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83.16070000000001</v>
      </c>
      <c r="G64" s="12">
        <f>IF(COUNT(F59:F64)=6,(AVERAGE(F62:F64)/AVERAGE(F59:F61))^4-1,"")</f>
        <v/>
      </c>
      <c r="H64" s="10" t="n">
        <v>88.7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88.2034</v>
      </c>
      <c r="M64" s="12">
        <f>IF(COUNT(L59:L64)=6,(AVERAGE(L62:L64)/AVERAGE(L59:L61))^4-1,"")</f>
        <v/>
      </c>
      <c r="N64" s="10" t="n">
        <v>86.09999999999999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85.8108</v>
      </c>
      <c r="S64" s="12">
        <f>IF(COUNT(R59:R64)=6,(AVERAGE(R62:R64)/AVERAGE(R59:R61))^4-1,"")</f>
        <v/>
      </c>
      <c r="T64" s="10" t="n">
        <v>82.5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81.5097</v>
      </c>
      <c r="Y64" s="12">
        <f>IF(COUNT(X59:X64)=6,(AVERAGE(X62:X64)/AVERAGE(X59:X61))^4-1,"")</f>
        <v/>
      </c>
      <c r="Z64" s="10" t="n">
        <v>85.90000000000001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86.4705</v>
      </c>
      <c r="AE64" s="12">
        <f>IF(COUNT(AD59:AD64)=6,(AVERAGE(AD62:AD64)/AVERAGE(AD59:AD61))^4-1,"")</f>
        <v/>
      </c>
      <c r="AF64" s="10" t="n">
        <v>78.8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79.0519</v>
      </c>
      <c r="AK64" s="12">
        <f>IF(COUNT(AJ59:AJ64)=6,(AVERAGE(AJ62:AJ64)/AVERAGE(AJ59:AJ61))^4-1,"")</f>
        <v/>
      </c>
      <c r="AL64" s="10" t="n">
        <v>70.90000000000001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70.97239999999999</v>
      </c>
      <c r="AQ64" s="12">
        <f>IF(COUNT(AP59:AP64)=6,(AVERAGE(AP62:AP64)/AVERAGE(AP59:AP61))^4-1,"")</f>
        <v/>
      </c>
      <c r="AR64" s="10" t="n">
        <v>85.3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85.7377</v>
      </c>
      <c r="AW64" s="12">
        <f>IF(COUNT(AV59:AV64)=6,(AVERAGE(AV62:AV64)/AVERAGE(AV59:AV61))^4-1,"")</f>
        <v/>
      </c>
    </row>
    <row r="65">
      <c r="A65" s="9" t="n">
        <v>43831</v>
      </c>
      <c r="B65" s="10" t="n">
        <v>82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83.0181</v>
      </c>
      <c r="G65" s="12">
        <f>IF(COUNT(F60:F65)=6,(AVERAGE(F63:F65)/AVERAGE(F60:F62))^4-1,"")</f>
        <v/>
      </c>
      <c r="H65" s="10" t="n">
        <v>86.09999999999999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87.9683</v>
      </c>
      <c r="M65" s="12">
        <f>IF(COUNT(L60:L65)=6,(AVERAGE(L63:L65)/AVERAGE(L60:L62))^4-1,"")</f>
        <v/>
      </c>
      <c r="N65" s="10" t="n">
        <v>84.3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85.5321</v>
      </c>
      <c r="S65" s="12">
        <f>IF(COUNT(R60:R65)=6,(AVERAGE(R63:R65)/AVERAGE(R60:R62))^4-1,"")</f>
        <v/>
      </c>
      <c r="T65" s="10" t="n">
        <v>80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81.18600000000001</v>
      </c>
      <c r="Y65" s="12">
        <f>IF(COUNT(X60:X65)=6,(AVERAGE(X63:X65)/AVERAGE(X60:X62))^4-1,"")</f>
        <v/>
      </c>
      <c r="Z65" s="10" t="n">
        <v>85.7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86.41719999999999</v>
      </c>
      <c r="AE65" s="12">
        <f>IF(COUNT(AD60:AD65)=6,(AVERAGE(AD63:AD65)/AVERAGE(AD60:AD62))^4-1,"")</f>
        <v/>
      </c>
      <c r="AF65" s="10" t="n">
        <v>79.59999999999999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79.309</v>
      </c>
      <c r="AK65" s="12">
        <f>IF(COUNT(AJ60:AJ65)=6,(AVERAGE(AJ63:AJ65)/AVERAGE(AJ60:AJ62))^4-1,"")</f>
        <v/>
      </c>
      <c r="AL65" s="10" t="n">
        <v>70.90000000000001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69.60599999999999</v>
      </c>
      <c r="AQ65" s="12">
        <f>IF(COUNT(AP60:AP65)=6,(AVERAGE(AP63:AP65)/AVERAGE(AP60:AP62))^4-1,"")</f>
        <v/>
      </c>
      <c r="AR65" s="10" t="n">
        <v>85.5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86.467</v>
      </c>
      <c r="AW65" s="12">
        <f>IF(COUNT(AV60:AV65)=6,(AVERAGE(AV63:AV65)/AVERAGE(AV60:AV62))^4-1,"")</f>
        <v/>
      </c>
    </row>
    <row r="66">
      <c r="A66" s="9" t="n">
        <v>43862</v>
      </c>
      <c r="B66" s="10" t="n">
        <v>81.59999999999999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82.8974</v>
      </c>
      <c r="G66" s="12">
        <f>IF(COUNT(F61:F66)=6,(AVERAGE(F64:F66)/AVERAGE(F61:F63))^4-1,"")</f>
        <v/>
      </c>
      <c r="H66" s="10" t="n">
        <v>85.59999999999999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87.547</v>
      </c>
      <c r="M66" s="12">
        <f>IF(COUNT(L61:L66)=6,(AVERAGE(L64:L66)/AVERAGE(L61:L63))^4-1,"")</f>
        <v/>
      </c>
      <c r="N66" s="10" t="n">
        <v>84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85.49290000000001</v>
      </c>
      <c r="S66" s="12">
        <f>IF(COUNT(R61:R66)=6,(AVERAGE(R64:R66)/AVERAGE(R61:R63))^4-1,"")</f>
        <v/>
      </c>
      <c r="T66" s="10" t="n">
        <v>79.40000000000001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81.10680000000001</v>
      </c>
      <c r="Y66" s="12">
        <f>IF(COUNT(X61:X66)=6,(AVERAGE(X64:X66)/AVERAGE(X61:X63))^4-1,"")</f>
        <v/>
      </c>
      <c r="Z66" s="10" t="n">
        <v>85.7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86.4061</v>
      </c>
      <c r="AE66" s="12">
        <f>IF(COUNT(AD61:AD66)=6,(AVERAGE(AD64:AD66)/AVERAGE(AD61:AD63))^4-1,"")</f>
        <v/>
      </c>
      <c r="AF66" s="10" t="n">
        <v>79.59999999999999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79.5318</v>
      </c>
      <c r="AK66" s="12">
        <f>IF(COUNT(AJ61:AJ66)=6,(AVERAGE(AJ64:AJ66)/AVERAGE(AJ61:AJ63))^4-1,"")</f>
        <v/>
      </c>
      <c r="AL66" s="10" t="n">
        <v>70.3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69.4746</v>
      </c>
      <c r="AQ66" s="12">
        <f>IF(COUNT(AP61:AP66)=6,(AVERAGE(AP64:AP66)/AVERAGE(AP61:AP63))^4-1,"")</f>
        <v/>
      </c>
      <c r="AR66" s="10" t="n">
        <v>84.8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85.0796</v>
      </c>
      <c r="AW66" s="12">
        <f>IF(COUNT(AV61:AV66)=6,(AVERAGE(AV64:AV66)/AVERAGE(AV61:AV63))^4-1,"")</f>
        <v/>
      </c>
    </row>
    <row r="67">
      <c r="A67" s="9" t="n">
        <v>43891</v>
      </c>
      <c r="B67" s="10" t="n">
        <v>83.40000000000001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83.1045</v>
      </c>
      <c r="G67" s="12">
        <f>IF(COUNT(F62:F67)=6,(AVERAGE(F65:F67)/AVERAGE(F62:F64))^4-1,"")</f>
        <v/>
      </c>
      <c r="H67" s="10" t="n">
        <v>88.3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88.1721</v>
      </c>
      <c r="M67" s="12">
        <f>IF(COUNT(L62:L67)=6,(AVERAGE(L65:L67)/AVERAGE(L62:L64))^4-1,"")</f>
        <v/>
      </c>
      <c r="N67" s="10" t="n">
        <v>86.09999999999999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85.9524</v>
      </c>
      <c r="S67" s="12">
        <f>IF(COUNT(R62:R67)=6,(AVERAGE(R65:R67)/AVERAGE(R62:R64))^4-1,"")</f>
        <v/>
      </c>
      <c r="T67" s="10" t="n">
        <v>82.3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81.5475</v>
      </c>
      <c r="Y67" s="12">
        <f>IF(COUNT(X62:X67)=6,(AVERAGE(X65:X67)/AVERAGE(X62:X64))^4-1,"")</f>
        <v/>
      </c>
      <c r="Z67" s="10" t="n">
        <v>85.90000000000001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86.42700000000001</v>
      </c>
      <c r="AE67" s="12">
        <f>IF(COUNT(AD62:AD67)=6,(AVERAGE(AD65:AD67)/AVERAGE(AD62:AD64))^4-1,"")</f>
        <v/>
      </c>
      <c r="AF67" s="10" t="n">
        <v>80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79.8569</v>
      </c>
      <c r="AK67" s="12">
        <f>IF(COUNT(AJ62:AJ67)=6,(AVERAGE(AJ65:AJ67)/AVERAGE(AJ62:AJ64))^4-1,"")</f>
        <v/>
      </c>
      <c r="AL67" s="10" t="n">
        <v>69.2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68.6354</v>
      </c>
      <c r="AQ67" s="12">
        <f>IF(COUNT(AP62:AP67)=6,(AVERAGE(AP65:AP67)/AVERAGE(AP62:AP64))^4-1,"")</f>
        <v/>
      </c>
      <c r="AR67" s="10" t="n">
        <v>84.3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84.4624</v>
      </c>
      <c r="AW67" s="12">
        <f>IF(COUNT(AV62:AV67)=6,(AVERAGE(AV65:AV67)/AVERAGE(AV62:AV64))^4-1,"")</f>
        <v/>
      </c>
    </row>
    <row r="68">
      <c r="A68" s="9" t="n">
        <v>43922</v>
      </c>
      <c r="B68" s="10" t="n">
        <v>83.8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83.1289</v>
      </c>
      <c r="G68" s="12">
        <f>IF(COUNT(F63:F68)=6,(AVERAGE(F66:F68)/AVERAGE(F63:F65))^4-1,"")</f>
        <v/>
      </c>
      <c r="H68" s="10" t="n">
        <v>89.40000000000001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88.42829999999999</v>
      </c>
      <c r="M68" s="12">
        <f>IF(COUNT(L63:L68)=6,(AVERAGE(L66:L68)/AVERAGE(L63:L65))^4-1,"")</f>
        <v/>
      </c>
      <c r="N68" s="10" t="n">
        <v>87.09999999999999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86.3519</v>
      </c>
      <c r="S68" s="12">
        <f>IF(COUNT(R63:R68)=6,(AVERAGE(R66:R68)/AVERAGE(R63:R65))^4-1,"")</f>
        <v/>
      </c>
      <c r="T68" s="10" t="n">
        <v>82.3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81.3613</v>
      </c>
      <c r="Y68" s="12">
        <f>IF(COUNT(X63:X68)=6,(AVERAGE(X66:X68)/AVERAGE(X63:X65))^4-1,"")</f>
        <v/>
      </c>
      <c r="Z68" s="10" t="n">
        <v>86.8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86.50960000000001</v>
      </c>
      <c r="AE68" s="12">
        <f>IF(COUNT(AD63:AD68)=6,(AVERAGE(AD66:AD68)/AVERAGE(AD63:AD65))^4-1,"")</f>
        <v/>
      </c>
      <c r="AF68" s="10" t="n">
        <v>80.90000000000001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80.7124</v>
      </c>
      <c r="AK68" s="12">
        <f>IF(COUNT(AJ63:AJ68)=6,(AVERAGE(AJ66:AJ68)/AVERAGE(AJ63:AJ65))^4-1,"")</f>
        <v/>
      </c>
      <c r="AL68" s="10" t="n">
        <v>64.40000000000001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64.53440000000001</v>
      </c>
      <c r="AQ68" s="12">
        <f>IF(COUNT(AP63:AP68)=6,(AVERAGE(AP66:AP68)/AVERAGE(AP63:AP65))^4-1,"")</f>
        <v/>
      </c>
      <c r="AR68" s="10" t="n">
        <v>83.90000000000001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83.87479999999999</v>
      </c>
      <c r="AW68" s="12">
        <f>IF(COUNT(AV63:AV68)=6,(AVERAGE(AV66:AV68)/AVERAGE(AV63:AV65))^4-1,"")</f>
        <v/>
      </c>
    </row>
    <row r="69">
      <c r="A69" s="9" t="n">
        <v>43952</v>
      </c>
      <c r="B69" s="10" t="n">
        <v>83.5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82.98439999999999</v>
      </c>
      <c r="G69" s="12">
        <f>IF(COUNT(F64:F69)=6,(AVERAGE(F67:F69)/AVERAGE(F64:F66))^4-1,"")</f>
        <v/>
      </c>
      <c r="H69" s="10" t="n">
        <v>89.3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88.3083</v>
      </c>
      <c r="M69" s="12">
        <f>IF(COUNT(L64:L69)=6,(AVERAGE(L67:L69)/AVERAGE(L64:L66))^4-1,"")</f>
        <v/>
      </c>
      <c r="N69" s="10" t="n">
        <v>87.09999999999999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86.2457</v>
      </c>
      <c r="S69" s="12">
        <f>IF(COUNT(R64:R69)=6,(AVERAGE(R67:R69)/AVERAGE(R64:R66))^4-1,"")</f>
        <v/>
      </c>
      <c r="T69" s="10" t="n">
        <v>82.09999999999999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81.2383</v>
      </c>
      <c r="Y69" s="12">
        <f>IF(COUNT(X64:X69)=6,(AVERAGE(X67:X69)/AVERAGE(X64:X66))^4-1,"")</f>
        <v/>
      </c>
      <c r="Z69" s="10" t="n">
        <v>86.59999999999999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86.381</v>
      </c>
      <c r="AE69" s="12">
        <f>IF(COUNT(AD64:AD69)=6,(AVERAGE(AD67:AD69)/AVERAGE(AD64:AD66))^4-1,"")</f>
        <v/>
      </c>
      <c r="AF69" s="10" t="n">
        <v>81.3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80.8387</v>
      </c>
      <c r="AK69" s="12">
        <f>IF(COUNT(AJ64:AJ69)=6,(AVERAGE(AJ67:AJ69)/AVERAGE(AJ64:AJ66))^4-1,"")</f>
        <v/>
      </c>
      <c r="AL69" s="10" t="n">
        <v>62.4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62.5489</v>
      </c>
      <c r="AQ69" s="12">
        <f>IF(COUNT(AP64:AP69)=6,(AVERAGE(AP67:AP69)/AVERAGE(AP64:AP66))^4-1,"")</f>
        <v/>
      </c>
      <c r="AR69" s="10" t="n">
        <v>82.5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82.4387</v>
      </c>
      <c r="AW69" s="12">
        <f>IF(COUNT(AV64:AV69)=6,(AVERAGE(AV67:AV69)/AVERAGE(AV64:AV66))^4-1,"")</f>
        <v/>
      </c>
    </row>
    <row r="70">
      <c r="A70" s="9" t="n">
        <v>43983</v>
      </c>
      <c r="B70" s="10" t="n">
        <v>83.5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82.7989</v>
      </c>
      <c r="G70" s="12">
        <f>IF(COUNT(F65:F70)=6,(AVERAGE(F68:F70)/AVERAGE(F65:F67))^4-1,"")</f>
        <v/>
      </c>
      <c r="H70" s="10" t="n">
        <v>89.40000000000001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88.2718</v>
      </c>
      <c r="M70" s="12">
        <f>IF(COUNT(L65:L70)=6,(AVERAGE(L68:L70)/AVERAGE(L65:L67))^4-1,"")</f>
        <v/>
      </c>
      <c r="N70" s="10" t="n">
        <v>87.09999999999999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86.15730000000001</v>
      </c>
      <c r="S70" s="12">
        <f>IF(COUNT(R65:R70)=6,(AVERAGE(R68:R70)/AVERAGE(R65:R67))^4-1,"")</f>
        <v/>
      </c>
      <c r="T70" s="10" t="n">
        <v>81.8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80.9511</v>
      </c>
      <c r="Y70" s="12">
        <f>IF(COUNT(X65:X70)=6,(AVERAGE(X68:X70)/AVERAGE(X65:X67))^4-1,"")</f>
        <v/>
      </c>
      <c r="Z70" s="10" t="n">
        <v>86.90000000000001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86.39619999999999</v>
      </c>
      <c r="AE70" s="12">
        <f>IF(COUNT(AD65:AD70)=6,(AVERAGE(AD68:AD70)/AVERAGE(AD65:AD67))^4-1,"")</f>
        <v/>
      </c>
      <c r="AF70" s="10" t="n">
        <v>80.8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80.59950000000001</v>
      </c>
      <c r="AK70" s="12">
        <f>IF(COUNT(AJ65:AJ70)=6,(AVERAGE(AJ68:AJ70)/AVERAGE(AJ65:AJ67))^4-1,"")</f>
        <v/>
      </c>
      <c r="AL70" s="10" t="n">
        <v>62.6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63.5244</v>
      </c>
      <c r="AQ70" s="12">
        <f>IF(COUNT(AP65:AP70)=6,(AVERAGE(AP68:AP70)/AVERAGE(AP65:AP67))^4-1,"")</f>
        <v/>
      </c>
      <c r="AR70" s="10" t="n">
        <v>83.5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83.2897</v>
      </c>
      <c r="AW70" s="12">
        <f>IF(COUNT(AV65:AV70)=6,(AVERAGE(AV68:AV70)/AVERAGE(AV65:AV67))^4-1,"")</f>
        <v/>
      </c>
    </row>
    <row r="71">
      <c r="A71" s="9" t="n">
        <v>44013</v>
      </c>
      <c r="B71" s="10" t="n">
        <v>82.90000000000001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83.6092</v>
      </c>
      <c r="G71" s="12">
        <f>IF(COUNT(F66:F71)=6,(AVERAGE(F69:F71)/AVERAGE(F66:F68))^4-1,"")</f>
        <v/>
      </c>
      <c r="H71" s="10" t="n">
        <v>88.8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89.6435</v>
      </c>
      <c r="M71" s="12">
        <f>IF(COUNT(L66:L71)=6,(AVERAGE(L69:L71)/AVERAGE(L66:L68))^4-1,"")</f>
        <v/>
      </c>
      <c r="N71" s="10" t="n">
        <v>86.40000000000001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87.10380000000001</v>
      </c>
      <c r="S71" s="12">
        <f>IF(COUNT(R66:R71)=6,(AVERAGE(R69:R71)/AVERAGE(R66:R68))^4-1,"")</f>
        <v/>
      </c>
      <c r="T71" s="10" t="n">
        <v>80.7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82.444</v>
      </c>
      <c r="Y71" s="12">
        <f>IF(COUNT(X66:X71)=6,(AVERAGE(X69:X71)/AVERAGE(X66:X68))^4-1,"")</f>
        <v/>
      </c>
      <c r="Z71" s="10" t="n">
        <v>87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86.17529999999999</v>
      </c>
      <c r="AE71" s="12">
        <f>IF(COUNT(AD66:AD71)=6,(AVERAGE(AD69:AD71)/AVERAGE(AD66:AD68))^4-1,"")</f>
        <v/>
      </c>
      <c r="AF71" s="10" t="n">
        <v>79.90000000000001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80.1007</v>
      </c>
      <c r="AK71" s="12">
        <f>IF(COUNT(AJ66:AJ71)=6,(AVERAGE(AJ69:AJ71)/AVERAGE(AJ66:AJ68))^4-1,"")</f>
        <v/>
      </c>
      <c r="AL71" s="10" t="n">
        <v>62.7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63.1582</v>
      </c>
      <c r="AQ71" s="12">
        <f>IF(COUNT(AP66:AP71)=6,(AVERAGE(AP69:AP71)/AVERAGE(AP66:AP68))^4-1,"")</f>
        <v/>
      </c>
      <c r="AR71" s="10" t="n">
        <v>84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83.4799</v>
      </c>
      <c r="AW71" s="12">
        <f>IF(COUNT(AV66:AV71)=6,(AVERAGE(AV69:AV71)/AVERAGE(AV66:AV68))^4-1,"")</f>
        <v/>
      </c>
    </row>
    <row r="72">
      <c r="A72" s="9" t="n">
        <v>44044</v>
      </c>
      <c r="B72" s="10" t="n">
        <v>81.90000000000001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82.6324</v>
      </c>
      <c r="G72" s="12">
        <f>IF(COUNT(F67:F72)=6,(AVERAGE(F70:F72)/AVERAGE(F67:F69))^4-1,"")</f>
        <v/>
      </c>
      <c r="H72" s="10" t="n">
        <v>87.2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88.17570000000001</v>
      </c>
      <c r="M72" s="12">
        <f>IF(COUNT(L67:L72)=6,(AVERAGE(L70:L72)/AVERAGE(L67:L69))^4-1,"")</f>
        <v/>
      </c>
      <c r="N72" s="10" t="n">
        <v>85.2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85.9969</v>
      </c>
      <c r="S72" s="12">
        <f>IF(COUNT(R67:R72)=6,(AVERAGE(R70:R72)/AVERAGE(R67:R69))^4-1,"")</f>
        <v/>
      </c>
      <c r="T72" s="10" t="n">
        <v>78.40000000000001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80.4841</v>
      </c>
      <c r="Y72" s="12">
        <f>IF(COUNT(X67:X72)=6,(AVERAGE(X70:X72)/AVERAGE(X67:X69))^4-1,"")</f>
        <v/>
      </c>
      <c r="Z72" s="10" t="n">
        <v>87.7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86.6489</v>
      </c>
      <c r="AE72" s="12">
        <f>IF(COUNT(AD67:AD72)=6,(AVERAGE(AD70:AD72)/AVERAGE(AD67:AD69))^4-1,"")</f>
        <v/>
      </c>
      <c r="AF72" s="10" t="n">
        <v>79.7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79.9415</v>
      </c>
      <c r="AK72" s="12">
        <f>IF(COUNT(AJ67:AJ72)=6,(AVERAGE(AJ70:AJ72)/AVERAGE(AJ67:AJ69))^4-1,"")</f>
        <v/>
      </c>
      <c r="AL72" s="10" t="n">
        <v>62.7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63.0628</v>
      </c>
      <c r="AQ72" s="12">
        <f>IF(COUNT(AP67:AP72)=6,(AVERAGE(AP70:AP72)/AVERAGE(AP67:AP69))^4-1,"")</f>
        <v/>
      </c>
      <c r="AR72" s="10" t="n">
        <v>85.09999999999999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83.1644</v>
      </c>
      <c r="AW72" s="12">
        <f>IF(COUNT(AV67:AV72)=6,(AVERAGE(AV70:AV72)/AVERAGE(AV67:AV69))^4-1,"")</f>
        <v/>
      </c>
    </row>
    <row r="73">
      <c r="A73" s="9" t="n">
        <v>44075</v>
      </c>
      <c r="B73" s="10" t="n">
        <v>82.59999999999999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82.1943</v>
      </c>
      <c r="G73" s="12">
        <f>IF(COUNT(F68:F73)=6,(AVERAGE(F71:F73)/AVERAGE(F68:F70))^4-1,"")</f>
        <v/>
      </c>
      <c r="H73" s="10" t="n">
        <v>88.40000000000001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87.53</v>
      </c>
      <c r="M73" s="12">
        <f>IF(COUNT(L68:L73)=6,(AVERAGE(L71:L73)/AVERAGE(L68:L70))^4-1,"")</f>
        <v/>
      </c>
      <c r="N73" s="10" t="n">
        <v>86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85.417</v>
      </c>
      <c r="S73" s="12">
        <f>IF(COUNT(R68:R73)=6,(AVERAGE(R71:R73)/AVERAGE(R68:R70))^4-1,"")</f>
        <v/>
      </c>
      <c r="T73" s="10" t="n">
        <v>80.59999999999999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80.26900000000001</v>
      </c>
      <c r="Y73" s="12">
        <f>IF(COUNT(X68:X73)=6,(AVERAGE(X71:X73)/AVERAGE(X68:X70))^4-1,"")</f>
        <v/>
      </c>
      <c r="Z73" s="10" t="n">
        <v>86.40000000000001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85.9499</v>
      </c>
      <c r="AE73" s="12">
        <f>IF(COUNT(AD68:AD73)=6,(AVERAGE(AD71:AD73)/AVERAGE(AD68:AD70))^4-1,"")</f>
        <v/>
      </c>
      <c r="AF73" s="10" t="n">
        <v>79.5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79.8627</v>
      </c>
      <c r="AK73" s="12">
        <f>IF(COUNT(AJ68:AJ73)=6,(AVERAGE(AJ71:AJ73)/AVERAGE(AJ68:AJ70))^4-1,"")</f>
        <v/>
      </c>
      <c r="AL73" s="10" t="n">
        <v>62.6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62.5622</v>
      </c>
      <c r="AQ73" s="12">
        <f>IF(COUNT(AP68:AP73)=6,(AVERAGE(AP71:AP73)/AVERAGE(AP68:AP70))^4-1,"")</f>
        <v/>
      </c>
      <c r="AR73" s="10" t="n">
        <v>82.7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82.85129999999999</v>
      </c>
      <c r="AW73" s="12">
        <f>IF(COUNT(AV68:AV73)=6,(AVERAGE(AV71:AV73)/AVERAGE(AV68:AV70))^4-1,"")</f>
        <v/>
      </c>
    </row>
    <row r="74">
      <c r="A74" s="9" t="n">
        <v>44105</v>
      </c>
      <c r="B74" s="10" t="n">
        <v>83.09999999999999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82.5591</v>
      </c>
      <c r="G74" s="12">
        <f>IF(COUNT(F69:F74)=6,(AVERAGE(F72:F74)/AVERAGE(F69:F71))^4-1,"")</f>
        <v/>
      </c>
      <c r="H74" s="10" t="n">
        <v>88.8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88.0081</v>
      </c>
      <c r="M74" s="12">
        <f>IF(COUNT(L69:L74)=6,(AVERAGE(L72:L74)/AVERAGE(L69:L71))^4-1,"")</f>
        <v/>
      </c>
      <c r="N74" s="10" t="n">
        <v>86.40000000000001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85.8933</v>
      </c>
      <c r="S74" s="12">
        <f>IF(COUNT(R69:R74)=6,(AVERAGE(R72:R74)/AVERAGE(R69:R71))^4-1,"")</f>
        <v/>
      </c>
      <c r="T74" s="10" t="n">
        <v>81.59999999999999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80.58459999999999</v>
      </c>
      <c r="Y74" s="12">
        <f>IF(COUNT(X69:X74)=6,(AVERAGE(X72:X74)/AVERAGE(X69:X71))^4-1,"")</f>
        <v/>
      </c>
      <c r="Z74" s="10" t="n">
        <v>86.2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86.29000000000001</v>
      </c>
      <c r="AE74" s="12">
        <f>IF(COUNT(AD69:AD74)=6,(AVERAGE(AD72:AD74)/AVERAGE(AD69:AD71))^4-1,"")</f>
        <v/>
      </c>
      <c r="AF74" s="10" t="n">
        <v>79.7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79.9524</v>
      </c>
      <c r="AK74" s="12">
        <f>IF(COUNT(AJ69:AJ74)=6,(AVERAGE(AJ72:AJ74)/AVERAGE(AJ69:AJ71))^4-1,"")</f>
        <v/>
      </c>
      <c r="AL74" s="10" t="n">
        <v>64.40000000000001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64.7923</v>
      </c>
      <c r="AQ74" s="12">
        <f>IF(COUNT(AP69:AP74)=6,(AVERAGE(AP72:AP74)/AVERAGE(AP69:AP71))^4-1,"")</f>
        <v/>
      </c>
      <c r="AR74" s="10" t="n">
        <v>82.2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82.6156</v>
      </c>
      <c r="AW74" s="12">
        <f>IF(COUNT(AV69:AV74)=6,(AVERAGE(AV72:AV74)/AVERAGE(AV69:AV71))^4-1,"")</f>
        <v/>
      </c>
    </row>
    <row r="75">
      <c r="A75" s="9" t="n">
        <v>44136</v>
      </c>
      <c r="B75" s="10" t="n">
        <v>83.09999999999999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82.8449</v>
      </c>
      <c r="G75" s="12">
        <f>IF(COUNT(F70:F75)=6,(AVERAGE(F73:F75)/AVERAGE(F70:F72))^4-1,"")</f>
        <v/>
      </c>
      <c r="H75" s="10" t="n">
        <v>88.7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88.4528</v>
      </c>
      <c r="M75" s="12">
        <f>IF(COUNT(L70:L75)=6,(AVERAGE(L73:L75)/AVERAGE(L70:L72))^4-1,"")</f>
        <v/>
      </c>
      <c r="N75" s="10" t="n">
        <v>86.40000000000001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86.24460000000001</v>
      </c>
      <c r="S75" s="12">
        <f>IF(COUNT(R70:R75)=6,(AVERAGE(R73:R75)/AVERAGE(R70:R72))^4-1,"")</f>
        <v/>
      </c>
      <c r="T75" s="10" t="n">
        <v>81.90000000000001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80.9126</v>
      </c>
      <c r="Y75" s="12">
        <f>IF(COUNT(X70:X75)=6,(AVERAGE(X73:X75)/AVERAGE(X70:X72))^4-1,"")</f>
        <v/>
      </c>
      <c r="Z75" s="10" t="n">
        <v>85.8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86.5728</v>
      </c>
      <c r="AE75" s="12">
        <f>IF(COUNT(AD70:AD75)=6,(AVERAGE(AD73:AD75)/AVERAGE(AD70:AD72))^4-1,"")</f>
        <v/>
      </c>
      <c r="AF75" s="10" t="n">
        <v>80.09999999999999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80.1011</v>
      </c>
      <c r="AK75" s="12">
        <f>IF(COUNT(AJ70:AJ75)=6,(AVERAGE(AJ73:AJ75)/AVERAGE(AJ70:AJ72))^4-1,"")</f>
        <v/>
      </c>
      <c r="AL75" s="10" t="n">
        <v>64.5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64.4216</v>
      </c>
      <c r="AQ75" s="12">
        <f>IF(COUNT(AP70:AP75)=6,(AVERAGE(AP73:AP75)/AVERAGE(AP70:AP72))^4-1,"")</f>
        <v/>
      </c>
      <c r="AR75" s="10" t="n">
        <v>81.8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82.38720000000001</v>
      </c>
      <c r="AW75" s="12">
        <f>IF(COUNT(AV70:AV75)=6,(AVERAGE(AV73:AV75)/AVERAGE(AV70:AV72))^4-1,"")</f>
        <v/>
      </c>
    </row>
    <row r="76">
      <c r="A76" s="9" t="n">
        <v>44166</v>
      </c>
      <c r="B76" s="10" t="n">
        <v>83.3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83.0026</v>
      </c>
      <c r="G76" s="12">
        <f>IF(COUNT(F71:F76)=6,(AVERAGE(F74:F76)/AVERAGE(F71:F73))^4-1,"")</f>
        <v/>
      </c>
      <c r="H76" s="10" t="n">
        <v>88.90000000000001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88.45269999999999</v>
      </c>
      <c r="M76" s="12">
        <f>IF(COUNT(L71:L76)=6,(AVERAGE(L74:L76)/AVERAGE(L71:L73))^4-1,"")</f>
        <v/>
      </c>
      <c r="N76" s="10" t="n">
        <v>86.5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86.2486</v>
      </c>
      <c r="S76" s="12">
        <f>IF(COUNT(R71:R76)=6,(AVERAGE(R74:R76)/AVERAGE(R71:R73))^4-1,"")</f>
        <v/>
      </c>
      <c r="T76" s="10" t="n">
        <v>81.90000000000001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80.9796</v>
      </c>
      <c r="Y76" s="12">
        <f>IF(COUNT(X71:X76)=6,(AVERAGE(X74:X76)/AVERAGE(X71:X73))^4-1,"")</f>
        <v/>
      </c>
      <c r="Z76" s="10" t="n">
        <v>86.2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86.7941</v>
      </c>
      <c r="AE76" s="12">
        <f>IF(COUNT(AD71:AD76)=6,(AVERAGE(AD74:AD76)/AVERAGE(AD71:AD73))^4-1,"")</f>
        <v/>
      </c>
      <c r="AF76" s="10" t="n">
        <v>79.59999999999999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79.85890000000001</v>
      </c>
      <c r="AK76" s="12">
        <f>IF(COUNT(AJ71:AJ76)=6,(AVERAGE(AJ74:AJ76)/AVERAGE(AJ71:AJ73))^4-1,"")</f>
        <v/>
      </c>
      <c r="AL76" s="10" t="n">
        <v>65.3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65.4182</v>
      </c>
      <c r="AQ76" s="12">
        <f>IF(COUNT(AP71:AP76)=6,(AVERAGE(AP74:AP76)/AVERAGE(AP71:AP73))^4-1,"")</f>
        <v/>
      </c>
      <c r="AR76" s="10" t="n">
        <v>83.09999999999999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83.54900000000001</v>
      </c>
      <c r="AW76" s="12">
        <f>IF(COUNT(AV71:AV76)=6,(AVERAGE(AV74:AV76)/AVERAGE(AV71:AV73))^4-1,"")</f>
        <v/>
      </c>
    </row>
    <row r="77">
      <c r="A77" s="9" t="n">
        <v>44197</v>
      </c>
      <c r="B77" s="10" t="n">
        <v>82.59999999999999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83.5641</v>
      </c>
      <c r="G77" s="12">
        <f>IF(COUNT(F72:F77)=6,(AVERAGE(F75:F77)/AVERAGE(F72:F74))^4-1,"")</f>
        <v/>
      </c>
      <c r="H77" s="10" t="n">
        <v>87.2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89.0427</v>
      </c>
      <c r="M77" s="12">
        <f>IF(COUNT(L72:L77)=6,(AVERAGE(L75:L77)/AVERAGE(L72:L74))^4-1,"")</f>
        <v/>
      </c>
      <c r="N77" s="10" t="n">
        <v>85.40000000000001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86.6383</v>
      </c>
      <c r="S77" s="12">
        <f>IF(COUNT(R72:R77)=6,(AVERAGE(R75:R77)/AVERAGE(R72:R74))^4-1,"")</f>
        <v/>
      </c>
      <c r="T77" s="10" t="n">
        <v>80.7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81.7595</v>
      </c>
      <c r="Y77" s="12">
        <f>IF(COUNT(X72:X77)=6,(AVERAGE(X75:X77)/AVERAGE(X72:X74))^4-1,"")</f>
        <v/>
      </c>
      <c r="Z77" s="10" t="n">
        <v>86.3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87.0549</v>
      </c>
      <c r="AE77" s="12">
        <f>IF(COUNT(AD72:AD77)=6,(AVERAGE(AD75:AD77)/AVERAGE(AD72:AD74))^4-1,"")</f>
        <v/>
      </c>
      <c r="AF77" s="10" t="n">
        <v>80.09999999999999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79.83929999999999</v>
      </c>
      <c r="AK77" s="12">
        <f>IF(COUNT(AJ72:AJ77)=6,(AVERAGE(AJ75:AJ77)/AVERAGE(AJ72:AJ74))^4-1,"")</f>
        <v/>
      </c>
      <c r="AL77" s="10" t="n">
        <v>67.40000000000001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66.0081</v>
      </c>
      <c r="AQ77" s="12">
        <f>IF(COUNT(AP72:AP77)=6,(AVERAGE(AP75:AP77)/AVERAGE(AP72:AP74))^4-1,"")</f>
        <v/>
      </c>
      <c r="AR77" s="10" t="n">
        <v>84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84.9058</v>
      </c>
      <c r="AW77" s="12">
        <f>IF(COUNT(AV72:AV77)=6,(AVERAGE(AV75:AV77)/AVERAGE(AV72:AV74))^4-1,"")</f>
        <v/>
      </c>
    </row>
    <row r="78">
      <c r="A78" s="9" t="n">
        <v>44228</v>
      </c>
      <c r="B78" s="10" t="n">
        <v>82.40000000000001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83.6116</v>
      </c>
      <c r="G78" s="12">
        <f>IF(COUNT(F73:F78)=6,(AVERAGE(F76:F78)/AVERAGE(F73:F75))^4-1,"")</f>
        <v/>
      </c>
      <c r="H78" s="10" t="n">
        <v>86.90000000000001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88.78570000000001</v>
      </c>
      <c r="M78" s="12">
        <f>IF(COUNT(L73:L78)=6,(AVERAGE(L76:L78)/AVERAGE(L73:L75))^4-1,"")</f>
        <v/>
      </c>
      <c r="N78" s="10" t="n">
        <v>85.09999999999999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86.52200000000001</v>
      </c>
      <c r="S78" s="12">
        <f>IF(COUNT(R73:R78)=6,(AVERAGE(R76:R78)/AVERAGE(R73:R75))^4-1,"")</f>
        <v/>
      </c>
      <c r="T78" s="10" t="n">
        <v>80.3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81.8163</v>
      </c>
      <c r="Y78" s="12">
        <f>IF(COUNT(X73:X78)=6,(AVERAGE(X76:X78)/AVERAGE(X73:X75))^4-1,"")</f>
        <v/>
      </c>
      <c r="Z78" s="10" t="n">
        <v>86.5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87.2542</v>
      </c>
      <c r="AE78" s="12">
        <f>IF(COUNT(AD73:AD78)=6,(AVERAGE(AD76:AD78)/AVERAGE(AD73:AD75))^4-1,"")</f>
        <v/>
      </c>
      <c r="AF78" s="10" t="n">
        <v>80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79.9127</v>
      </c>
      <c r="AK78" s="12">
        <f>IF(COUNT(AJ73:AJ78)=6,(AVERAGE(AJ76:AJ78)/AVERAGE(AJ73:AJ75))^4-1,"")</f>
        <v/>
      </c>
      <c r="AL78" s="10" t="n">
        <v>68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66.93899999999999</v>
      </c>
      <c r="AQ78" s="12">
        <f>IF(COUNT(AP73:AP78)=6,(AVERAGE(AP76:AP78)/AVERAGE(AP73:AP75))^4-1,"")</f>
        <v/>
      </c>
      <c r="AR78" s="10" t="n">
        <v>84.8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85.02719999999999</v>
      </c>
      <c r="AW78" s="12">
        <f>IF(COUNT(AV73:AV78)=6,(AVERAGE(AV76:AV78)/AVERAGE(AV73:AV75))^4-1,"")</f>
        <v/>
      </c>
    </row>
    <row r="79">
      <c r="A79" s="9" t="n">
        <v>44256</v>
      </c>
      <c r="B79" s="10" t="n">
        <v>83.8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83.5059</v>
      </c>
      <c r="G79" s="12">
        <f>IF(COUNT(F74:F79)=6,(AVERAGE(F77:F79)/AVERAGE(F74:F76))^4-1,"")</f>
        <v/>
      </c>
      <c r="H79" s="10" t="n">
        <v>88.90000000000001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88.83069999999999</v>
      </c>
      <c r="M79" s="12">
        <f>IF(COUNT(L74:L79)=6,(AVERAGE(L77:L79)/AVERAGE(L74:L76))^4-1,"")</f>
        <v/>
      </c>
      <c r="N79" s="10" t="n">
        <v>86.59999999999999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86.5035</v>
      </c>
      <c r="S79" s="12">
        <f>IF(COUNT(R74:R79)=6,(AVERAGE(R77:R79)/AVERAGE(R74:R76))^4-1,"")</f>
        <v/>
      </c>
      <c r="T79" s="10" t="n">
        <v>82.40000000000001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81.7688</v>
      </c>
      <c r="Y79" s="12">
        <f>IF(COUNT(X74:X79)=6,(AVERAGE(X77:X79)/AVERAGE(X74:X76))^4-1,"")</f>
        <v/>
      </c>
      <c r="Z79" s="10" t="n">
        <v>86.7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87.2436</v>
      </c>
      <c r="AE79" s="12">
        <f>IF(COUNT(AD74:AD79)=6,(AVERAGE(AD77:AD79)/AVERAGE(AD74:AD76))^4-1,"")</f>
        <v/>
      </c>
      <c r="AF79" s="10" t="n">
        <v>80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79.87269999999999</v>
      </c>
      <c r="AK79" s="12">
        <f>IF(COUNT(AJ74:AJ79)=6,(AVERAGE(AJ77:AJ79)/AVERAGE(AJ74:AJ76))^4-1,"")</f>
        <v/>
      </c>
      <c r="AL79" s="10" t="n">
        <v>69.40000000000001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69.1849</v>
      </c>
      <c r="AQ79" s="12">
        <f>IF(COUNT(AP74:AP79)=6,(AVERAGE(AP77:AP79)/AVERAGE(AP74:AP76))^4-1,"")</f>
        <v/>
      </c>
      <c r="AR79" s="10" t="n">
        <v>86.40000000000001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86.5183</v>
      </c>
      <c r="AW79" s="12">
        <f>IF(COUNT(AV74:AV79)=6,(AVERAGE(AV77:AV79)/AVERAGE(AV74:AV76))^4-1,"")</f>
        <v/>
      </c>
    </row>
    <row r="80">
      <c r="A80" s="9" t="n">
        <v>44287</v>
      </c>
      <c r="B80" s="10" t="n">
        <v>84.5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83.84220000000001</v>
      </c>
      <c r="G80" s="12">
        <f>IF(COUNT(F75:F80)=6,(AVERAGE(F78:F80)/AVERAGE(F75:F77))^4-1,"")</f>
        <v/>
      </c>
      <c r="H80" s="10" t="n">
        <v>89.59999999999999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88.6516</v>
      </c>
      <c r="M80" s="12">
        <f>IF(COUNT(L75:L80)=6,(AVERAGE(L78:L80)/AVERAGE(L75:L77))^4-1,"")</f>
        <v/>
      </c>
      <c r="N80" s="10" t="n">
        <v>87.2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86.4543</v>
      </c>
      <c r="S80" s="12">
        <f>IF(COUNT(R75:R80)=6,(AVERAGE(R78:R80)/AVERAGE(R75:R77))^4-1,"")</f>
        <v/>
      </c>
      <c r="T80" s="10" t="n">
        <v>83.40000000000001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82.4714</v>
      </c>
      <c r="Y80" s="12">
        <f>IF(COUNT(X75:X80)=6,(AVERAGE(X78:X80)/AVERAGE(X75:X77))^4-1,"")</f>
        <v/>
      </c>
      <c r="Z80" s="10" t="n">
        <v>87.09999999999999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86.8262</v>
      </c>
      <c r="AE80" s="12">
        <f>IF(COUNT(AD75:AD80)=6,(AVERAGE(AD78:AD80)/AVERAGE(AD75:AD77))^4-1,"")</f>
        <v/>
      </c>
      <c r="AF80" s="10" t="n">
        <v>80.5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80.2834</v>
      </c>
      <c r="AK80" s="12">
        <f>IF(COUNT(AJ75:AJ80)=6,(AVERAGE(AJ78:AJ80)/AVERAGE(AJ75:AJ77))^4-1,"")</f>
        <v/>
      </c>
      <c r="AL80" s="10" t="n">
        <v>70.7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70.90300000000001</v>
      </c>
      <c r="AQ80" s="12">
        <f>IF(COUNT(AP75:AP80)=6,(AVERAGE(AP78:AP80)/AVERAGE(AP75:AP77))^4-1,"")</f>
        <v/>
      </c>
      <c r="AR80" s="10" t="n">
        <v>86.2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85.9943</v>
      </c>
      <c r="AW80" s="12">
        <f>IF(COUNT(AV75:AV80)=6,(AVERAGE(AV78:AV80)/AVERAGE(AV75:AV77))^4-1,"")</f>
        <v/>
      </c>
    </row>
    <row r="81">
      <c r="A81" s="9" t="n">
        <v>44317</v>
      </c>
      <c r="B81" s="10" t="n">
        <v>84.5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84.0004</v>
      </c>
      <c r="G81" s="12">
        <f>IF(COUNT(F76:F81)=6,(AVERAGE(F79:F81)/AVERAGE(F76:F78))^4-1,"")</f>
        <v/>
      </c>
      <c r="H81" s="10" t="n">
        <v>89.40000000000001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88.4166</v>
      </c>
      <c r="M81" s="12">
        <f>IF(COUNT(L76:L81)=6,(AVERAGE(L79:L81)/AVERAGE(L76:L78))^4-1,"")</f>
        <v/>
      </c>
      <c r="N81" s="10" t="n">
        <v>87.09999999999999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86.2582</v>
      </c>
      <c r="S81" s="12">
        <f>IF(COUNT(R76:R81)=6,(AVERAGE(R79:R81)/AVERAGE(R76:R78))^4-1,"")</f>
        <v/>
      </c>
      <c r="T81" s="10" t="n">
        <v>83.5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82.6844</v>
      </c>
      <c r="Y81" s="12">
        <f>IF(COUNT(X76:X81)=6,(AVERAGE(X79:X81)/AVERAGE(X76:X78))^4-1,"")</f>
        <v/>
      </c>
      <c r="Z81" s="10" t="n">
        <v>86.8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86.54179999999999</v>
      </c>
      <c r="AE81" s="12">
        <f>IF(COUNT(AD76:AD81)=6,(AVERAGE(AD79:AD81)/AVERAGE(AD76:AD78))^4-1,"")</f>
        <v/>
      </c>
      <c r="AF81" s="10" t="n">
        <v>80.7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80.2441</v>
      </c>
      <c r="AK81" s="12">
        <f>IF(COUNT(AJ76:AJ81)=6,(AVERAGE(AJ79:AJ81)/AVERAGE(AJ76:AJ78))^4-1,"")</f>
        <v/>
      </c>
      <c r="AL81" s="10" t="n">
        <v>71.2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71.5204</v>
      </c>
      <c r="AQ81" s="12">
        <f>IF(COUNT(AP76:AP81)=6,(AVERAGE(AP79:AP81)/AVERAGE(AP76:AP78))^4-1,"")</f>
        <v/>
      </c>
      <c r="AR81" s="10" t="n">
        <v>86.40000000000001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86.2898</v>
      </c>
      <c r="AW81" s="12">
        <f>IF(COUNT(AV76:AV81)=6,(AVERAGE(AV79:AV81)/AVERAGE(AV76:AV78))^4-1,"")</f>
        <v/>
      </c>
    </row>
    <row r="82">
      <c r="A82" s="9" t="n">
        <v>44348</v>
      </c>
      <c r="B82" s="10" t="n">
        <v>84.59999999999999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83.93089999999999</v>
      </c>
      <c r="G82" s="12">
        <f>IF(COUNT(F77:F82)=6,(AVERAGE(F80:F82)/AVERAGE(F77:F79))^4-1,"")</f>
        <v/>
      </c>
      <c r="H82" s="10" t="n">
        <v>89.59999999999999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88.4714</v>
      </c>
      <c r="M82" s="12">
        <f>IF(COUNT(L77:L82)=6,(AVERAGE(L80:L82)/AVERAGE(L77:L79))^4-1,"")</f>
        <v/>
      </c>
      <c r="N82" s="10" t="n">
        <v>87.2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86.27079999999999</v>
      </c>
      <c r="S82" s="12">
        <f>IF(COUNT(R77:R82)=6,(AVERAGE(R80:R82)/AVERAGE(R77:R79))^4-1,"")</f>
        <v/>
      </c>
      <c r="T82" s="10" t="n">
        <v>83.5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82.70910000000001</v>
      </c>
      <c r="Y82" s="12">
        <f>IF(COUNT(X77:X82)=6,(AVERAGE(X80:X82)/AVERAGE(X77:X79))^4-1,"")</f>
        <v/>
      </c>
      <c r="Z82" s="10" t="n">
        <v>87.2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86.6567</v>
      </c>
      <c r="AE82" s="12">
        <f>IF(COUNT(AD77:AD82)=6,(AVERAGE(AD80:AD82)/AVERAGE(AD77:AD79))^4-1,"")</f>
        <v/>
      </c>
      <c r="AF82" s="10" t="n">
        <v>80.40000000000001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80.2062</v>
      </c>
      <c r="AK82" s="12">
        <f>IF(COUNT(AJ77:AJ82)=6,(AVERAGE(AJ80:AJ82)/AVERAGE(AJ77:AJ79))^4-1,"")</f>
        <v/>
      </c>
      <c r="AL82" s="10" t="n">
        <v>71.5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72.7012</v>
      </c>
      <c r="AQ82" s="12">
        <f>IF(COUNT(AP77:AP82)=6,(AVERAGE(AP80:AP82)/AVERAGE(AP77:AP79))^4-1,"")</f>
        <v/>
      </c>
      <c r="AR82" s="10" t="n">
        <v>87.09999999999999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86.8938</v>
      </c>
      <c r="AW82" s="12">
        <f>IF(COUNT(AV77:AV82)=6,(AVERAGE(AV80:AV82)/AVERAGE(AV77:AV79))^4-1,"")</f>
        <v/>
      </c>
    </row>
    <row r="83">
      <c r="A83" s="9" t="n">
        <v>44378</v>
      </c>
      <c r="B83" s="10" t="n">
        <v>83.8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84.4671</v>
      </c>
      <c r="G83" s="12">
        <f>IF(COUNT(F78:F83)=6,(AVERAGE(F81:F83)/AVERAGE(F78:F80))^4-1,"")</f>
        <v/>
      </c>
      <c r="H83" s="10" t="n">
        <v>88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88.77</v>
      </c>
      <c r="M83" s="12">
        <f>IF(COUNT(L78:L83)=6,(AVERAGE(L81:L83)/AVERAGE(L78:L80))^4-1,"")</f>
        <v/>
      </c>
      <c r="N83" s="10" t="n">
        <v>85.90000000000001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86.5442</v>
      </c>
      <c r="S83" s="12">
        <f>IF(COUNT(R78:R83)=6,(AVERAGE(R81:R83)/AVERAGE(R78:R80))^4-1,"")</f>
        <v/>
      </c>
      <c r="T83" s="10" t="n">
        <v>81.90000000000001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83.5825</v>
      </c>
      <c r="Y83" s="12">
        <f>IF(COUNT(X78:X83)=6,(AVERAGE(X81:X83)/AVERAGE(X78:X80))^4-1,"")</f>
        <v/>
      </c>
      <c r="Z83" s="10" t="n">
        <v>87.59999999999999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86.7526</v>
      </c>
      <c r="AE83" s="12">
        <f>IF(COUNT(AD78:AD83)=6,(AVERAGE(AD81:AD83)/AVERAGE(AD78:AD80))^4-1,"")</f>
        <v/>
      </c>
      <c r="AF83" s="10" t="n">
        <v>80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80.2432</v>
      </c>
      <c r="AK83" s="12">
        <f>IF(COUNT(AJ78:AJ83)=6,(AVERAGE(AJ81:AJ83)/AVERAGE(AJ78:AJ80))^4-1,"")</f>
        <v/>
      </c>
      <c r="AL83" s="10" t="n">
        <v>74.5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75.059</v>
      </c>
      <c r="AQ83" s="12">
        <f>IF(COUNT(AP78:AP83)=6,(AVERAGE(AP81:AP83)/AVERAGE(AP78:AP80))^4-1,"")</f>
        <v/>
      </c>
      <c r="AR83" s="10" t="n">
        <v>88.2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87.6511</v>
      </c>
      <c r="AW83" s="12">
        <f>IF(COUNT(AV78:AV83)=6,(AVERAGE(AV81:AV83)/AVERAGE(AV78:AV80))^4-1,"")</f>
        <v/>
      </c>
    </row>
    <row r="84">
      <c r="A84" s="9" t="n">
        <v>44409</v>
      </c>
      <c r="B84" s="10" t="n">
        <v>83.90000000000001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84.6326</v>
      </c>
      <c r="G84" s="12">
        <f>IF(COUNT(F79:F84)=6,(AVERAGE(F82:F84)/AVERAGE(F79:F81))^4-1,"")</f>
        <v/>
      </c>
      <c r="H84" s="10" t="n">
        <v>87.90000000000001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88.84950000000001</v>
      </c>
      <c r="M84" s="12">
        <f>IF(COUNT(L79:L84)=6,(AVERAGE(L82:L84)/AVERAGE(L79:L81))^4-1,"")</f>
        <v/>
      </c>
      <c r="N84" s="10" t="n">
        <v>85.90000000000001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86.68049999999999</v>
      </c>
      <c r="S84" s="12">
        <f>IF(COUNT(R79:R84)=6,(AVERAGE(R82:R84)/AVERAGE(R79:R81))^4-1,"")</f>
        <v/>
      </c>
      <c r="T84" s="10" t="n">
        <v>81.7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83.7393</v>
      </c>
      <c r="Y84" s="12">
        <f>IF(COUNT(X79:X84)=6,(AVERAGE(X82:X84)/AVERAGE(X79:X81))^4-1,"")</f>
        <v/>
      </c>
      <c r="Z84" s="10" t="n">
        <v>88.3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87.2492</v>
      </c>
      <c r="AE84" s="12">
        <f>IF(COUNT(AD79:AD84)=6,(AVERAGE(AD82:AD84)/AVERAGE(AD79:AD81))^4-1,"")</f>
        <v/>
      </c>
      <c r="AF84" s="10" t="n">
        <v>80.3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80.59059999999999</v>
      </c>
      <c r="AK84" s="12">
        <f>IF(COUNT(AJ79:AJ84)=6,(AVERAGE(AJ82:AJ84)/AVERAGE(AJ79:AJ81))^4-1,"")</f>
        <v/>
      </c>
      <c r="AL84" s="10" t="n">
        <v>75.3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75.6319</v>
      </c>
      <c r="AQ84" s="12">
        <f>IF(COUNT(AP79:AP84)=6,(AVERAGE(AP82:AP84)/AVERAGE(AP79:AP81))^4-1,"")</f>
        <v/>
      </c>
      <c r="AR84" s="10" t="n">
        <v>89.59999999999999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87.6857</v>
      </c>
      <c r="AW84" s="12">
        <f>IF(COUNT(AV79:AV84)=6,(AVERAGE(AV82:AV84)/AVERAGE(AV79:AV81))^4-1,"")</f>
        <v/>
      </c>
    </row>
    <row r="85">
      <c r="A85" s="9" t="n">
        <v>44440</v>
      </c>
      <c r="B85" s="10" t="n">
        <v>85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84.6469</v>
      </c>
      <c r="G85" s="12">
        <f>IF(COUNT(F80:F85)=6,(AVERAGE(F83:F85)/AVERAGE(F80:F82))^4-1,"")</f>
        <v/>
      </c>
      <c r="H85" s="10" t="n">
        <v>89.7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88.8471</v>
      </c>
      <c r="M85" s="12">
        <f>IF(COUNT(L80:L85)=6,(AVERAGE(L83:L85)/AVERAGE(L80:L82))^4-1,"")</f>
        <v/>
      </c>
      <c r="N85" s="10" t="n">
        <v>87.2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86.6285</v>
      </c>
      <c r="S85" s="12">
        <f>IF(COUNT(R80:R85)=6,(AVERAGE(R83:R85)/AVERAGE(R80:R82))^4-1,"")</f>
        <v/>
      </c>
      <c r="T85" s="10" t="n">
        <v>83.90000000000001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83.67230000000001</v>
      </c>
      <c r="Y85" s="12">
        <f>IF(COUNT(X80:X85)=6,(AVERAGE(X83:X85)/AVERAGE(X80:X82))^4-1,"")</f>
        <v/>
      </c>
      <c r="Z85" s="10" t="n">
        <v>87.59999999999999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87.1173</v>
      </c>
      <c r="AE85" s="12">
        <f>IF(COUNT(AD80:AD85)=6,(AVERAGE(AD83:AD85)/AVERAGE(AD80:AD82))^4-1,"")</f>
        <v/>
      </c>
      <c r="AF85" s="10" t="n">
        <v>80.3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80.6306</v>
      </c>
      <c r="AK85" s="12">
        <f>IF(COUNT(AJ80:AJ85)=6,(AVERAGE(AJ83:AJ85)/AVERAGE(AJ80:AJ82))^4-1,"")</f>
        <v/>
      </c>
      <c r="AL85" s="10" t="n">
        <v>75.40000000000001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75.0796</v>
      </c>
      <c r="AQ85" s="12">
        <f>IF(COUNT(AP80:AP85)=6,(AVERAGE(AP83:AP85)/AVERAGE(AP80:AP82))^4-1,"")</f>
        <v/>
      </c>
      <c r="AR85" s="10" t="n">
        <v>88.40000000000001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88.66800000000001</v>
      </c>
      <c r="AW85" s="12">
        <f>IF(COUNT(AV80:AV85)=6,(AVERAGE(AV83:AV85)/AVERAGE(AV80:AV82))^4-1,"")</f>
        <v/>
      </c>
    </row>
    <row r="86">
      <c r="A86" s="9" t="n">
        <v>44470</v>
      </c>
      <c r="B86" s="10" t="n">
        <v>85.8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85.2612</v>
      </c>
      <c r="G86" s="12">
        <f>IF(COUNT(F81:F86)=6,(AVERAGE(F84:F86)/AVERAGE(F81:F83))^4-1,"")</f>
        <v/>
      </c>
      <c r="H86" s="10" t="n">
        <v>89.8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89.0241</v>
      </c>
      <c r="M86" s="12">
        <f>IF(COUNT(L81:L86)=6,(AVERAGE(L84:L86)/AVERAGE(L81:L83))^4-1,"")</f>
        <v/>
      </c>
      <c r="N86" s="10" t="n">
        <v>87.40000000000001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86.896</v>
      </c>
      <c r="S86" s="12">
        <f>IF(COUNT(R81:R86)=6,(AVERAGE(R84:R86)/AVERAGE(R81:R83))^4-1,"")</f>
        <v/>
      </c>
      <c r="T86" s="10" t="n">
        <v>85.2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84.1849</v>
      </c>
      <c r="Y86" s="12">
        <f>IF(COUNT(X81:X86)=6,(AVERAGE(X84:X86)/AVERAGE(X81:X83))^4-1,"")</f>
        <v/>
      </c>
      <c r="Z86" s="10" t="n">
        <v>87.40000000000001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87.482</v>
      </c>
      <c r="AE86" s="12">
        <f>IF(COUNT(AD81:AD86)=6,(AVERAGE(AD84:AD86)/AVERAGE(AD81:AD83))^4-1,"")</f>
        <v/>
      </c>
      <c r="AF86" s="10" t="n">
        <v>80.5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80.7097</v>
      </c>
      <c r="AK86" s="12">
        <f>IF(COUNT(AJ81:AJ86)=6,(AVERAGE(AJ84:AJ86)/AVERAGE(AJ81:AJ83))^4-1,"")</f>
        <v/>
      </c>
      <c r="AL86" s="10" t="n">
        <v>80.8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81.312</v>
      </c>
      <c r="AQ86" s="12">
        <f>IF(COUNT(AP81:AP86)=6,(AVERAGE(AP84:AP86)/AVERAGE(AP81:AP83))^4-1,"")</f>
        <v/>
      </c>
      <c r="AR86" s="10" t="n">
        <v>89.2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89.7604</v>
      </c>
      <c r="AW86" s="12">
        <f>IF(COUNT(AV81:AV86)=6,(AVERAGE(AV84:AV86)/AVERAGE(AV81:AV83))^4-1,"")</f>
        <v/>
      </c>
    </row>
    <row r="87">
      <c r="A87" s="9" t="n">
        <v>44501</v>
      </c>
      <c r="B87" s="10" t="n">
        <v>86.40000000000001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86.1657</v>
      </c>
      <c r="G87" s="12">
        <f>IF(COUNT(F82:F87)=6,(AVERAGE(F85:F87)/AVERAGE(F82:F84))^4-1,"")</f>
        <v/>
      </c>
      <c r="H87" s="10" t="n">
        <v>89.8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89.58580000000001</v>
      </c>
      <c r="M87" s="12">
        <f>IF(COUNT(L82:L87)=6,(AVERAGE(L85:L87)/AVERAGE(L82:L84))^4-1,"")</f>
        <v/>
      </c>
      <c r="N87" s="10" t="n">
        <v>87.5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87.37179999999999</v>
      </c>
      <c r="S87" s="12">
        <f>IF(COUNT(R82:R87)=6,(AVERAGE(R85:R87)/AVERAGE(R82:R84))^4-1,"")</f>
        <v/>
      </c>
      <c r="T87" s="10" t="n">
        <v>86.2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85.2256</v>
      </c>
      <c r="Y87" s="12">
        <f>IF(COUNT(X82:X87)=6,(AVERAGE(X85:X87)/AVERAGE(X82:X84))^4-1,"")</f>
        <v/>
      </c>
      <c r="Z87" s="10" t="n">
        <v>87.3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88.0898</v>
      </c>
      <c r="AE87" s="12">
        <f>IF(COUNT(AD82:AD87)=6,(AVERAGE(AD85:AD87)/AVERAGE(AD82:AD84))^4-1,"")</f>
        <v/>
      </c>
      <c r="AF87" s="10" t="n">
        <v>81.09999999999999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81.0896</v>
      </c>
      <c r="AK87" s="12">
        <f>IF(COUNT(AJ82:AJ87)=6,(AVERAGE(AJ85:AJ87)/AVERAGE(AJ82:AJ84))^4-1,"")</f>
        <v/>
      </c>
      <c r="AL87" s="10" t="n">
        <v>84.5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84.44119999999999</v>
      </c>
      <c r="AQ87" s="12">
        <f>IF(COUNT(AP82:AP87)=6,(AVERAGE(AP85:AP87)/AVERAGE(AP82:AP84))^4-1,"")</f>
        <v/>
      </c>
      <c r="AR87" s="10" t="n">
        <v>90.2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90.878</v>
      </c>
      <c r="AW87" s="12">
        <f>IF(COUNT(AV82:AV87)=6,(AVERAGE(AV85:AV87)/AVERAGE(AV82:AV84))^4-1,"")</f>
        <v/>
      </c>
    </row>
    <row r="88">
      <c r="A88" s="9" t="n">
        <v>44531</v>
      </c>
      <c r="B88" s="10" t="n">
        <v>86.8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86.53060000000001</v>
      </c>
      <c r="G88" s="12">
        <f>IF(COUNT(F83:F88)=6,(AVERAGE(F86:F88)/AVERAGE(F83:F85))^4-1,"")</f>
        <v/>
      </c>
      <c r="H88" s="10" t="n">
        <v>90.3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89.8981</v>
      </c>
      <c r="M88" s="12">
        <f>IF(COUNT(L83:L88)=6,(AVERAGE(L86:L88)/AVERAGE(L83:L85))^4-1,"")</f>
        <v/>
      </c>
      <c r="N88" s="10" t="n">
        <v>88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87.7924</v>
      </c>
      <c r="S88" s="12">
        <f>IF(COUNT(R83:R88)=6,(AVERAGE(R86:R88)/AVERAGE(R83:R85))^4-1,"")</f>
        <v/>
      </c>
      <c r="T88" s="10" t="n">
        <v>86.5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85.5823</v>
      </c>
      <c r="Y88" s="12">
        <f>IF(COUNT(X83:X88)=6,(AVERAGE(X86:X88)/AVERAGE(X83:X85))^4-1,"")</f>
        <v/>
      </c>
      <c r="Z88" s="10" t="n">
        <v>87.8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88.4278</v>
      </c>
      <c r="AE88" s="12">
        <f>IF(COUNT(AD83:AD88)=6,(AVERAGE(AD86:AD88)/AVERAGE(AD83:AD85))^4-1,"")</f>
        <v/>
      </c>
      <c r="AF88" s="10" t="n">
        <v>81.5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81.78100000000001</v>
      </c>
      <c r="AK88" s="12">
        <f>IF(COUNT(AJ83:AJ88)=6,(AVERAGE(AJ86:AJ88)/AVERAGE(AJ83:AJ85))^4-1,"")</f>
        <v/>
      </c>
      <c r="AL88" s="10" t="n">
        <v>84.5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84.7216</v>
      </c>
      <c r="AQ88" s="12">
        <f>IF(COUNT(AP83:AP88)=6,(AVERAGE(AP86:AP88)/AVERAGE(AP83:AP85))^4-1,"")</f>
        <v/>
      </c>
      <c r="AR88" s="10" t="n">
        <v>90.8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91.3201</v>
      </c>
      <c r="AW88" s="12">
        <f>IF(COUNT(AV83:AV88)=6,(AVERAGE(AV86:AV88)/AVERAGE(AV83:AV85))^4-1,"")</f>
        <v/>
      </c>
    </row>
    <row r="89">
      <c r="A89" s="9" t="n">
        <v>44562</v>
      </c>
      <c r="B89" s="10" t="n">
        <v>86.7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87.651</v>
      </c>
      <c r="G89" s="12">
        <f>IF(COUNT(F84:F89)=6,(AVERAGE(F87:F89)/AVERAGE(F84:F86))^4-1,"")</f>
        <v/>
      </c>
      <c r="H89" s="10" t="n">
        <v>88.3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90.1236</v>
      </c>
      <c r="M89" s="12">
        <f>IF(COUNT(L84:L89)=6,(AVERAGE(L87:L89)/AVERAGE(L84:L86))^4-1,"")</f>
        <v/>
      </c>
      <c r="N89" s="10" t="n">
        <v>86.90000000000001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88.1495</v>
      </c>
      <c r="S89" s="12">
        <f>IF(COUNT(R84:R89)=6,(AVERAGE(R87:R89)/AVERAGE(R84:R86))^4-1,"")</f>
        <v/>
      </c>
      <c r="T89" s="10" t="n">
        <v>86.3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87.29770000000001</v>
      </c>
      <c r="Y89" s="12">
        <f>IF(COUNT(X84:X89)=6,(AVERAGE(X87:X89)/AVERAGE(X84:X86))^4-1,"")</f>
        <v/>
      </c>
      <c r="Z89" s="10" t="n">
        <v>88.09999999999999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88.9019</v>
      </c>
      <c r="AE89" s="12">
        <f>IF(COUNT(AD84:AD89)=6,(AVERAGE(AD87:AD89)/AVERAGE(AD84:AD86))^4-1,"")</f>
        <v/>
      </c>
      <c r="AF89" s="10" t="n">
        <v>82.7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82.4746</v>
      </c>
      <c r="AK89" s="12">
        <f>IF(COUNT(AJ84:AJ89)=6,(AVERAGE(AJ87:AJ89)/AVERAGE(AJ84:AJ86))^4-1,"")</f>
        <v/>
      </c>
      <c r="AL89" s="10" t="n">
        <v>93.7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91.5009</v>
      </c>
      <c r="AQ89" s="12">
        <f>IF(COUNT(AP84:AP89)=6,(AVERAGE(AP87:AP89)/AVERAGE(AP84:AP86))^4-1,"")</f>
        <v/>
      </c>
      <c r="AR89" s="10" t="n">
        <v>90.5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91.4136</v>
      </c>
      <c r="AW89" s="12">
        <f>IF(COUNT(AV84:AV89)=6,(AVERAGE(AV87:AV89)/AVERAGE(AV84:AV86))^4-1,"")</f>
        <v/>
      </c>
    </row>
    <row r="90">
      <c r="A90" s="9" t="n">
        <v>44593</v>
      </c>
      <c r="B90" s="10" t="n">
        <v>87.5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88.6808</v>
      </c>
      <c r="G90" s="12">
        <f>IF(COUNT(F85:F90)=6,(AVERAGE(F88:F90)/AVERAGE(F85:F87))^4-1,"")</f>
        <v/>
      </c>
      <c r="H90" s="10" t="n">
        <v>88.40000000000001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90.215</v>
      </c>
      <c r="M90" s="12">
        <f>IF(COUNT(L85:L90)=6,(AVERAGE(L88:L90)/AVERAGE(L85:L87))^4-1,"")</f>
        <v/>
      </c>
      <c r="N90" s="10" t="n">
        <v>87.09999999999999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88.4543</v>
      </c>
      <c r="S90" s="12">
        <f>IF(COUNT(R85:R90)=6,(AVERAGE(R88:R90)/AVERAGE(R85:R87))^4-1,"")</f>
        <v/>
      </c>
      <c r="T90" s="10" t="n">
        <v>87.5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88.9213</v>
      </c>
      <c r="Y90" s="12">
        <f>IF(COUNT(X85:X90)=6,(AVERAGE(X88:X90)/AVERAGE(X85:X87))^4-1,"")</f>
        <v/>
      </c>
      <c r="Z90" s="10" t="n">
        <v>88.2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89.0087</v>
      </c>
      <c r="AE90" s="12">
        <f>IF(COUNT(AD85:AD90)=6,(AVERAGE(AD88:AD90)/AVERAGE(AD85:AD87))^4-1,"")</f>
        <v/>
      </c>
      <c r="AF90" s="10" t="n">
        <v>83.40000000000001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83.2901</v>
      </c>
      <c r="AK90" s="12">
        <f>IF(COUNT(AJ85:AJ90)=6,(AVERAGE(AJ88:AJ90)/AVERAGE(AJ85:AJ87))^4-1,"")</f>
        <v/>
      </c>
      <c r="AL90" s="10" t="n">
        <v>99.7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97.7942</v>
      </c>
      <c r="AQ90" s="12">
        <f>IF(COUNT(AP85:AP90)=6,(AVERAGE(AP88:AP90)/AVERAGE(AP85:AP87))^4-1,"")</f>
        <v/>
      </c>
      <c r="AR90" s="10" t="n">
        <v>92.2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92.3856</v>
      </c>
      <c r="AW90" s="12">
        <f>IF(COUNT(AV85:AV90)=6,(AVERAGE(AV88:AV90)/AVERAGE(AV85:AV87))^4-1,"")</f>
        <v/>
      </c>
    </row>
    <row r="91">
      <c r="A91" s="9" t="n">
        <v>44621</v>
      </c>
      <c r="B91" s="10" t="n">
        <v>89.59999999999999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89.28660000000001</v>
      </c>
      <c r="G91" s="12">
        <f>IF(COUNT(F86:F91)=6,(AVERAGE(F89:F91)/AVERAGE(F86:F88))^4-1,"")</f>
        <v/>
      </c>
      <c r="H91" s="10" t="n">
        <v>90.5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90.4901</v>
      </c>
      <c r="M91" s="12">
        <f>IF(COUNT(L86:L91)=6,(AVERAGE(L89:L91)/AVERAGE(L86:L88))^4-1,"")</f>
        <v/>
      </c>
      <c r="N91" s="10" t="n">
        <v>88.8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88.75320000000001</v>
      </c>
      <c r="S91" s="12">
        <f>IF(COUNT(R86:R91)=6,(AVERAGE(R89:R91)/AVERAGE(R86:R88))^4-1,"")</f>
        <v/>
      </c>
      <c r="T91" s="10" t="n">
        <v>90.7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90.1609</v>
      </c>
      <c r="Y91" s="12">
        <f>IF(COUNT(X86:X91)=6,(AVERAGE(X89:X91)/AVERAGE(X86:X88))^4-1,"")</f>
        <v/>
      </c>
      <c r="Z91" s="10" t="n">
        <v>88.40000000000001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88.9619</v>
      </c>
      <c r="AE91" s="12">
        <f>IF(COUNT(AD86:AD91)=6,(AVERAGE(AD89:AD91)/AVERAGE(AD86:AD88))^4-1,"")</f>
        <v/>
      </c>
      <c r="AF91" s="10" t="n">
        <v>84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83.87309999999999</v>
      </c>
      <c r="AK91" s="12">
        <f>IF(COUNT(AJ86:AJ91)=6,(AVERAGE(AJ89:AJ91)/AVERAGE(AJ86:AJ88))^4-1,"")</f>
        <v/>
      </c>
      <c r="AL91" s="10" t="n">
        <v>105.1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105.4333</v>
      </c>
      <c r="AQ91" s="12">
        <f>IF(COUNT(AP86:AP91)=6,(AVERAGE(AP89:AP91)/AVERAGE(AP86:AP88))^4-1,"")</f>
        <v/>
      </c>
      <c r="AR91" s="10" t="n">
        <v>95.7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95.7933</v>
      </c>
      <c r="AW91" s="12">
        <f>IF(COUNT(AV86:AV91)=6,(AVERAGE(AV89:AV91)/AVERAGE(AV86:AV88))^4-1,"")</f>
        <v/>
      </c>
    </row>
    <row r="92">
      <c r="A92" s="9" t="n">
        <v>44652</v>
      </c>
      <c r="B92" s="10" t="n">
        <v>89.90000000000001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89.20999999999999</v>
      </c>
      <c r="G92" s="12">
        <f>IF(COUNT(F87:F92)=6,(AVERAGE(F90:F92)/AVERAGE(F87:F89))^4-1,"")</f>
        <v/>
      </c>
      <c r="H92" s="10" t="n">
        <v>91.59999999999999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90.66119999999999</v>
      </c>
      <c r="M92" s="12">
        <f>IF(COUNT(L87:L92)=6,(AVERAGE(L90:L92)/AVERAGE(L87:L89))^4-1,"")</f>
        <v/>
      </c>
      <c r="N92" s="10" t="n">
        <v>89.90000000000001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89.1422</v>
      </c>
      <c r="S92" s="12">
        <f>IF(COUNT(R87:R92)=6,(AVERAGE(R90:R92)/AVERAGE(R87:R89))^4-1,"")</f>
        <v/>
      </c>
      <c r="T92" s="10" t="n">
        <v>90.90000000000001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89.8965</v>
      </c>
      <c r="Y92" s="12">
        <f>IF(COUNT(X87:X92)=6,(AVERAGE(X90:X92)/AVERAGE(X87:X89))^4-1,"")</f>
        <v/>
      </c>
      <c r="Z92" s="10" t="n">
        <v>89.09999999999999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88.836</v>
      </c>
      <c r="AE92" s="12">
        <f>IF(COUNT(AD87:AD92)=6,(AVERAGE(AD90:AD92)/AVERAGE(AD87:AD89))^4-1,"")</f>
        <v/>
      </c>
      <c r="AF92" s="10" t="n">
        <v>84.90000000000001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84.6203</v>
      </c>
      <c r="AK92" s="12">
        <f>IF(COUNT(AJ87:AJ92)=6,(AVERAGE(AJ90:AJ92)/AVERAGE(AJ87:AJ89))^4-1,"")</f>
        <v/>
      </c>
      <c r="AL92" s="10" t="n">
        <v>99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99.273</v>
      </c>
      <c r="AQ92" s="12">
        <f>IF(COUNT(AP87:AP92)=6,(AVERAGE(AP90:AP92)/AVERAGE(AP87:AP89))^4-1,"")</f>
        <v/>
      </c>
      <c r="AR92" s="10" t="n">
        <v>94.40000000000001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93.9909</v>
      </c>
      <c r="AW92" s="12">
        <f>IF(COUNT(AV87:AV92)=6,(AVERAGE(AV90:AV92)/AVERAGE(AV87:AV89))^4-1,"")</f>
        <v/>
      </c>
    </row>
    <row r="93">
      <c r="A93" s="9" t="n">
        <v>44682</v>
      </c>
      <c r="B93" s="10" t="n">
        <v>90.7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90.1837</v>
      </c>
      <c r="G93" s="12">
        <f>IF(COUNT(F88:F93)=6,(AVERAGE(F91:F93)/AVERAGE(F88:F90))^4-1,"")</f>
        <v/>
      </c>
      <c r="H93" s="10" t="n">
        <v>92.09999999999999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91.0976</v>
      </c>
      <c r="M93" s="12">
        <f>IF(COUNT(L88:L93)=6,(AVERAGE(L91:L93)/AVERAGE(L88:L90))^4-1,"")</f>
        <v/>
      </c>
      <c r="N93" s="10" t="n">
        <v>90.5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89.63420000000001</v>
      </c>
      <c r="S93" s="12">
        <f>IF(COUNT(R88:R93)=6,(AVERAGE(R91:R93)/AVERAGE(R88:R90))^4-1,"")</f>
        <v/>
      </c>
      <c r="T93" s="10" t="n">
        <v>91.8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90.9619</v>
      </c>
      <c r="Y93" s="12">
        <f>IF(COUNT(X88:X93)=6,(AVERAGE(X91:X93)/AVERAGE(X88:X90))^4-1,"")</f>
        <v/>
      </c>
      <c r="Z93" s="10" t="n">
        <v>89.7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89.3931</v>
      </c>
      <c r="AE93" s="12">
        <f>IF(COUNT(AD88:AD93)=6,(AVERAGE(AD91:AD93)/AVERAGE(AD88:AD90))^4-1,"")</f>
        <v/>
      </c>
      <c r="AF93" s="10" t="n">
        <v>85.90000000000001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85.4079</v>
      </c>
      <c r="AK93" s="12">
        <f>IF(COUNT(AJ88:AJ93)=6,(AVERAGE(AJ91:AJ93)/AVERAGE(AJ88:AJ90))^4-1,"")</f>
        <v/>
      </c>
      <c r="AL93" s="10" t="n">
        <v>101.8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102.4012</v>
      </c>
      <c r="AQ93" s="12">
        <f>IF(COUNT(AP88:AP93)=6,(AVERAGE(AP91:AP93)/AVERAGE(AP88:AP90))^4-1,"")</f>
        <v/>
      </c>
      <c r="AR93" s="10" t="n">
        <v>95.5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95.30589999999999</v>
      </c>
      <c r="AW93" s="12">
        <f>IF(COUNT(AV88:AV93)=6,(AVERAGE(AV91:AV93)/AVERAGE(AV88:AV90))^4-1,"")</f>
        <v/>
      </c>
    </row>
    <row r="94">
      <c r="A94" s="9" t="n">
        <v>44713</v>
      </c>
      <c r="B94" s="10" t="n">
        <v>91.8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91.1142</v>
      </c>
      <c r="G94" s="12">
        <f>IF(COUNT(F89:F94)=6,(AVERAGE(F92:F94)/AVERAGE(F89:F91))^4-1,"")</f>
        <v/>
      </c>
      <c r="H94" s="10" t="n">
        <v>92.7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91.53830000000001</v>
      </c>
      <c r="M94" s="12">
        <f>IF(COUNT(L89:L94)=6,(AVERAGE(L92:L94)/AVERAGE(L89:L91))^4-1,"")</f>
        <v/>
      </c>
      <c r="N94" s="10" t="n">
        <v>91.2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90.24379999999999</v>
      </c>
      <c r="S94" s="12">
        <f>IF(COUNT(R89:R94)=6,(AVERAGE(R92:R94)/AVERAGE(R89:R91))^4-1,"")</f>
        <v/>
      </c>
      <c r="T94" s="10" t="n">
        <v>93.09999999999999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92.2908</v>
      </c>
      <c r="Y94" s="12">
        <f>IF(COUNT(X89:X94)=6,(AVERAGE(X92:X94)/AVERAGE(X89:X91))^4-1,"")</f>
        <v/>
      </c>
      <c r="Z94" s="10" t="n">
        <v>90.5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89.90349999999999</v>
      </c>
      <c r="AE94" s="12">
        <f>IF(COUNT(AD89:AD94)=6,(AVERAGE(AD92:AD94)/AVERAGE(AD89:AD91))^4-1,"")</f>
        <v/>
      </c>
      <c r="AF94" s="10" t="n">
        <v>86.8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86.60420000000001</v>
      </c>
      <c r="AK94" s="12">
        <f>IF(COUNT(AJ89:AJ94)=6,(AVERAGE(AJ92:AJ94)/AVERAGE(AJ89:AJ91))^4-1,"")</f>
        <v/>
      </c>
      <c r="AL94" s="10" t="n">
        <v>106.8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108.8066</v>
      </c>
      <c r="AQ94" s="12">
        <f>IF(COUNT(AP89:AP94)=6,(AVERAGE(AP92:AP94)/AVERAGE(AP89:AP91))^4-1,"")</f>
        <v/>
      </c>
      <c r="AR94" s="10" t="n">
        <v>98.7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98.4843</v>
      </c>
      <c r="AW94" s="12">
        <f>IF(COUNT(AV89:AV94)=6,(AVERAGE(AV92:AV94)/AVERAGE(AV89:AV91))^4-1,"")</f>
        <v/>
      </c>
    </row>
    <row r="95">
      <c r="A95" s="9" t="n">
        <v>44743</v>
      </c>
      <c r="B95" s="10" t="n">
        <v>90.8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91.4766</v>
      </c>
      <c r="G95" s="12">
        <f>IF(COUNT(F90:F95)=6,(AVERAGE(F93:F95)/AVERAGE(F90:F92))^4-1,"")</f>
        <v/>
      </c>
      <c r="H95" s="10" t="n">
        <v>91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91.733</v>
      </c>
      <c r="M95" s="12">
        <f>IF(COUNT(L90:L95)=6,(AVERAGE(L93:L95)/AVERAGE(L90:L92))^4-1,"")</f>
        <v/>
      </c>
      <c r="N95" s="10" t="n">
        <v>90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90.621</v>
      </c>
      <c r="S95" s="12">
        <f>IF(COUNT(R90:R95)=6,(AVERAGE(R93:R95)/AVERAGE(R90:R92))^4-1,"")</f>
        <v/>
      </c>
      <c r="T95" s="10" t="n">
        <v>90.90000000000001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92.68210000000001</v>
      </c>
      <c r="Y95" s="12">
        <f>IF(COUNT(X90:X95)=6,(AVERAGE(X93:X95)/AVERAGE(X90:X92))^4-1,"")</f>
        <v/>
      </c>
      <c r="Z95" s="10" t="n">
        <v>91.2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90.303</v>
      </c>
      <c r="AE95" s="12">
        <f>IF(COUNT(AD90:AD95)=6,(AVERAGE(AD93:AD95)/AVERAGE(AD90:AD92))^4-1,"")</f>
        <v/>
      </c>
      <c r="AF95" s="10" t="n">
        <v>86.90000000000001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87.20610000000001</v>
      </c>
      <c r="AK95" s="12">
        <f>IF(COUNT(AJ90:AJ95)=6,(AVERAGE(AJ93:AJ95)/AVERAGE(AJ90:AJ92))^4-1,"")</f>
        <v/>
      </c>
      <c r="AL95" s="10" t="n">
        <v>106.8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107.6712</v>
      </c>
      <c r="AQ95" s="12">
        <f>IF(COUNT(AP90:AP95)=6,(AVERAGE(AP93:AP95)/AVERAGE(AP90:AP92))^4-1,"")</f>
        <v/>
      </c>
      <c r="AR95" s="10" t="n">
        <v>100.3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99.69</v>
      </c>
      <c r="AW95" s="12">
        <f>IF(COUNT(AV90:AV95)=6,(AVERAGE(AV93:AV95)/AVERAGE(AV90:AV92))^4-1,"")</f>
        <v/>
      </c>
    </row>
    <row r="96">
      <c r="A96" s="9" t="n">
        <v>44774</v>
      </c>
      <c r="B96" s="10" t="n">
        <v>91.5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92.27979999999999</v>
      </c>
      <c r="G96" s="12">
        <f>IF(COUNT(F91:F96)=6,(AVERAGE(F94:F96)/AVERAGE(F91:F93))^4-1,"")</f>
        <v/>
      </c>
      <c r="H96" s="10" t="n">
        <v>91.5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92.4554</v>
      </c>
      <c r="M96" s="12">
        <f>IF(COUNT(L91:L96)=6,(AVERAGE(L94:L96)/AVERAGE(L91:L93))^4-1,"")</f>
        <v/>
      </c>
      <c r="N96" s="10" t="n">
        <v>90.59999999999999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91.4008</v>
      </c>
      <c r="S96" s="12">
        <f>IF(COUNT(R91:R96)=6,(AVERAGE(R94:R96)/AVERAGE(R91:R93))^4-1,"")</f>
        <v/>
      </c>
      <c r="T96" s="10" t="n">
        <v>91.8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93.9479</v>
      </c>
      <c r="Y96" s="12">
        <f>IF(COUNT(X91:X96)=6,(AVERAGE(X94:X96)/AVERAGE(X91:X93))^4-1,"")</f>
        <v/>
      </c>
      <c r="Z96" s="10" t="n">
        <v>91.8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90.7124</v>
      </c>
      <c r="AE96" s="12">
        <f>IF(COUNT(AD91:AD96)=6,(AVERAGE(AD94:AD96)/AVERAGE(AD91:AD93))^4-1,"")</f>
        <v/>
      </c>
      <c r="AF96" s="10" t="n">
        <v>87.7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88.06570000000001</v>
      </c>
      <c r="AK96" s="12">
        <f>IF(COUNT(AJ91:AJ96)=6,(AVERAGE(AJ94:AJ96)/AVERAGE(AJ91:AJ93))^4-1,"")</f>
        <v/>
      </c>
      <c r="AL96" s="10" t="n">
        <v>109.4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109.7596</v>
      </c>
      <c r="AQ96" s="12">
        <f>IF(COUNT(AP91:AP96)=6,(AVERAGE(AP94:AP96)/AVERAGE(AP91:AP93))^4-1,"")</f>
        <v/>
      </c>
      <c r="AR96" s="10" t="n">
        <v>98.59999999999999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96.6044</v>
      </c>
      <c r="AW96" s="12">
        <f>IF(COUNT(AV91:AV96)=6,(AVERAGE(AV94:AV96)/AVERAGE(AV91:AV93))^4-1,"")</f>
        <v/>
      </c>
    </row>
    <row r="97">
      <c r="A97" s="9" t="n">
        <v>44805</v>
      </c>
      <c r="B97" s="10" t="n">
        <v>93.09999999999999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92.7812</v>
      </c>
      <c r="G97" s="12">
        <f>IF(COUNT(F92:F97)=6,(AVERAGE(F95:F97)/AVERAGE(F92:F94))^4-1,"")</f>
        <v/>
      </c>
      <c r="H97" s="10" t="n">
        <v>93.5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92.6361</v>
      </c>
      <c r="M97" s="12">
        <f>IF(COUNT(L92:L97)=6,(AVERAGE(L95:L97)/AVERAGE(L92:L94))^4-1,"")</f>
        <v/>
      </c>
      <c r="N97" s="10" t="n">
        <v>92.3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91.71169999999999</v>
      </c>
      <c r="S97" s="12">
        <f>IF(COUNT(R92:R97)=6,(AVERAGE(R95:R97)/AVERAGE(R92:R94))^4-1,"")</f>
        <v/>
      </c>
      <c r="T97" s="10" t="n">
        <v>94.5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94.37439999999999</v>
      </c>
      <c r="Y97" s="12">
        <f>IF(COUNT(X92:X97)=6,(AVERAGE(X95:X97)/AVERAGE(X92:X94))^4-1,"")</f>
        <v/>
      </c>
      <c r="Z97" s="10" t="n">
        <v>91.40000000000001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90.87050000000001</v>
      </c>
      <c r="AE97" s="12">
        <f>IF(COUNT(AD92:AD97)=6,(AVERAGE(AD95:AD97)/AVERAGE(AD92:AD94))^4-1,"")</f>
        <v/>
      </c>
      <c r="AF97" s="10" t="n">
        <v>88.5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88.82810000000001</v>
      </c>
      <c r="AK97" s="12">
        <f>IF(COUNT(AJ92:AJ97)=6,(AVERAGE(AJ95:AJ97)/AVERAGE(AJ92:AJ94))^4-1,"")</f>
        <v/>
      </c>
      <c r="AL97" s="10" t="n">
        <v>109.2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108.2344</v>
      </c>
      <c r="AQ97" s="12">
        <f>IF(COUNT(AP92:AP97)=6,(AVERAGE(AP95:AP97)/AVERAGE(AP92:AP94))^4-1,"")</f>
        <v/>
      </c>
      <c r="AR97" s="10" t="n">
        <v>96.7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97.1037</v>
      </c>
      <c r="AW97" s="12">
        <f>IF(COUNT(AV92:AV97)=6,(AVERAGE(AV95:AV97)/AVERAGE(AV92:AV94))^4-1,"")</f>
        <v/>
      </c>
    </row>
    <row r="98">
      <c r="A98" s="9" t="n">
        <v>44835</v>
      </c>
      <c r="B98" s="10" t="n">
        <v>96.59999999999999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96.0146</v>
      </c>
      <c r="G98" s="12">
        <f>IF(COUNT(F93:F98)=6,(AVERAGE(F96:F98)/AVERAGE(F93:F95))^4-1,"")</f>
        <v/>
      </c>
      <c r="H98" s="10" t="n">
        <v>93.90000000000001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93.11190000000001</v>
      </c>
      <c r="M98" s="12">
        <f>IF(COUNT(L93:L98)=6,(AVERAGE(L96:L98)/AVERAGE(L93:L95))^4-1,"")</f>
        <v/>
      </c>
      <c r="N98" s="10" t="n">
        <v>92.90000000000001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92.37090000000001</v>
      </c>
      <c r="S98" s="12">
        <f>IF(COUNT(R93:R98)=6,(AVERAGE(R96:R98)/AVERAGE(R93:R95))^4-1,"")</f>
        <v/>
      </c>
      <c r="T98" s="10" t="n">
        <v>100.5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99.35420000000001</v>
      </c>
      <c r="Y98" s="12">
        <f>IF(COUNT(X93:X98)=6,(AVERAGE(X96:X98)/AVERAGE(X93:X95))^4-1,"")</f>
        <v/>
      </c>
      <c r="Z98" s="10" t="n">
        <v>91.09999999999999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91.17610000000001</v>
      </c>
      <c r="AE98" s="12">
        <f>IF(COUNT(AD93:AD98)=6,(AVERAGE(AD96:AD98)/AVERAGE(AD93:AD95))^4-1,"")</f>
        <v/>
      </c>
      <c r="AF98" s="10" t="n">
        <v>90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90.1814</v>
      </c>
      <c r="AK98" s="12">
        <f>IF(COUNT(AJ93:AJ98)=6,(AVERAGE(AJ96:AJ98)/AVERAGE(AJ93:AJ95))^4-1,"")</f>
        <v/>
      </c>
      <c r="AL98" s="10" t="n">
        <v>138.7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139.6444</v>
      </c>
      <c r="AQ98" s="12">
        <f>IF(COUNT(AP93:AP98)=6,(AVERAGE(AP96:AP98)/AVERAGE(AP93:AP95))^4-1,"")</f>
        <v/>
      </c>
      <c r="AR98" s="10" t="n">
        <v>96.3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97.01909999999999</v>
      </c>
      <c r="AW98" s="12">
        <f>IF(COUNT(AV93:AV98)=6,(AVERAGE(AV96:AV98)/AVERAGE(AV93:AV95))^4-1,"")</f>
        <v/>
      </c>
    </row>
    <row r="99">
      <c r="A99" s="9" t="n">
        <v>44866</v>
      </c>
      <c r="B99" s="10" t="n">
        <v>97.2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96.9723</v>
      </c>
      <c r="G99" s="12">
        <f>IF(COUNT(F94:F99)=6,(AVERAGE(F97:F99)/AVERAGE(F94:F96))^4-1,"")</f>
        <v/>
      </c>
      <c r="H99" s="10" t="n">
        <v>94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93.8129</v>
      </c>
      <c r="M99" s="12">
        <f>IF(COUNT(L94:L99)=6,(AVERAGE(L97:L99)/AVERAGE(L94:L96))^4-1,"")</f>
        <v/>
      </c>
      <c r="N99" s="10" t="n">
        <v>93.2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93.09399999999999</v>
      </c>
      <c r="S99" s="12">
        <f>IF(COUNT(R94:R99)=6,(AVERAGE(R97:R99)/AVERAGE(R94:R96))^4-1,"")</f>
        <v/>
      </c>
      <c r="T99" s="10" t="n">
        <v>101.5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100.4317</v>
      </c>
      <c r="Y99" s="12">
        <f>IF(COUNT(X94:X99)=6,(AVERAGE(X97:X99)/AVERAGE(X94:X96))^4-1,"")</f>
        <v/>
      </c>
      <c r="Z99" s="10" t="n">
        <v>91.09999999999999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91.9269</v>
      </c>
      <c r="AE99" s="12">
        <f>IF(COUNT(AD94:AD99)=6,(AVERAGE(AD97:AD99)/AVERAGE(AD94:AD96))^4-1,"")</f>
        <v/>
      </c>
      <c r="AF99" s="10" t="n">
        <v>90.8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90.7744</v>
      </c>
      <c r="AK99" s="12">
        <f>IF(COUNT(AJ94:AJ99)=6,(AVERAGE(AJ97:AJ99)/AVERAGE(AJ94:AJ96))^4-1,"")</f>
        <v/>
      </c>
      <c r="AL99" s="10" t="n">
        <v>142.1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142.0923</v>
      </c>
      <c r="AQ99" s="12">
        <f>IF(COUNT(AP94:AP99)=6,(AVERAGE(AP97:AP99)/AVERAGE(AP94:AP96))^4-1,"")</f>
        <v/>
      </c>
      <c r="AR99" s="10" t="n">
        <v>96.40000000000001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97.15779999999999</v>
      </c>
      <c r="AW99" s="12">
        <f>IF(COUNT(AV94:AV99)=6,(AVERAGE(AV97:AV99)/AVERAGE(AV94:AV96))^4-1,"")</f>
        <v/>
      </c>
    </row>
    <row r="100">
      <c r="A100" s="9" t="n">
        <v>44896</v>
      </c>
      <c r="B100" s="10" t="n">
        <v>97.40000000000001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97.1431</v>
      </c>
      <c r="G100" s="12">
        <f>IF(COUNT(F95:F100)=6,(AVERAGE(F98:F100)/AVERAGE(F95:F97))^4-1,"")</f>
        <v/>
      </c>
      <c r="H100" s="10" t="n">
        <v>94.7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94.33159999999999</v>
      </c>
      <c r="M100" s="12">
        <f>IF(COUNT(L95:L100)=6,(AVERAGE(L98:L100)/AVERAGE(L95:L97))^4-1,"")</f>
        <v/>
      </c>
      <c r="N100" s="10" t="n">
        <v>93.8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93.62990000000001</v>
      </c>
      <c r="S100" s="12">
        <f>IF(COUNT(R95:R100)=6,(AVERAGE(R98:R100)/AVERAGE(R95:R97))^4-1,"")</f>
        <v/>
      </c>
      <c r="T100" s="10" t="n">
        <v>101.5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100.4879</v>
      </c>
      <c r="Y100" s="12">
        <f>IF(COUNT(X95:X100)=6,(AVERAGE(X98:X100)/AVERAGE(X95:X97))^4-1,"")</f>
        <v/>
      </c>
      <c r="Z100" s="10" t="n">
        <v>91.8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92.479</v>
      </c>
      <c r="AE100" s="12">
        <f>IF(COUNT(AD95:AD100)=6,(AVERAGE(AD98:AD100)/AVERAGE(AD95:AD97))^4-1,"")</f>
        <v/>
      </c>
      <c r="AF100" s="10" t="n">
        <v>91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91.32989999999999</v>
      </c>
      <c r="AK100" s="12">
        <f>IF(COUNT(AJ95:AJ100)=6,(AVERAGE(AJ98:AJ100)/AVERAGE(AJ95:AJ97))^4-1,"")</f>
        <v/>
      </c>
      <c r="AL100" s="10" t="n">
        <v>139.6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140.1236</v>
      </c>
      <c r="AQ100" s="12">
        <f>IF(COUNT(AP95:AP100)=6,(AVERAGE(AP98:AP100)/AVERAGE(AP95:AP97))^4-1,"")</f>
        <v/>
      </c>
      <c r="AR100" s="10" t="n">
        <v>96.5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97.0882</v>
      </c>
      <c r="AW100" s="12">
        <f>IF(COUNT(AV95:AV100)=6,(AVERAGE(AV98:AV100)/AVERAGE(AV95:AV97))^4-1,"")</f>
        <v/>
      </c>
    </row>
    <row r="101">
      <c r="A101" s="9" t="n">
        <v>44927</v>
      </c>
      <c r="B101" s="10" t="n">
        <v>96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96.986</v>
      </c>
      <c r="G101" s="12">
        <f>IF(COUNT(F96:F101)=6,(AVERAGE(F99:F101)/AVERAGE(F96:F98))^4-1,"")</f>
        <v/>
      </c>
      <c r="H101" s="10" t="n">
        <v>93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94.8724</v>
      </c>
      <c r="M101" s="12">
        <f>IF(COUNT(L96:L101)=6,(AVERAGE(L99:L101)/AVERAGE(L96:L98))^4-1,"")</f>
        <v/>
      </c>
      <c r="N101" s="10" t="n">
        <v>92.7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94.0184</v>
      </c>
      <c r="S101" s="12">
        <f>IF(COUNT(R96:R101)=6,(AVERAGE(R99:R101)/AVERAGE(R96:R98))^4-1,"")</f>
        <v/>
      </c>
      <c r="T101" s="10" t="n">
        <v>98.8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99.7878</v>
      </c>
      <c r="Y101" s="12">
        <f>IF(COUNT(X96:X101)=6,(AVERAGE(X99:X101)/AVERAGE(X96:X98))^4-1,"")</f>
        <v/>
      </c>
      <c r="Z101" s="10" t="n">
        <v>92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92.86799999999999</v>
      </c>
      <c r="AE101" s="12">
        <f>IF(COUNT(AD96:AD101)=6,(AVERAGE(AD99:AD101)/AVERAGE(AD96:AD98))^4-1,"")</f>
        <v/>
      </c>
      <c r="AF101" s="10" t="n">
        <v>91.8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91.60169999999999</v>
      </c>
      <c r="AK101" s="12">
        <f>IF(COUNT(AJ96:AJ101)=6,(AVERAGE(AJ99:AJ101)/AVERAGE(AJ96:AJ98))^4-1,"")</f>
        <v/>
      </c>
      <c r="AL101" s="10" t="n">
        <v>133.7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130.1785</v>
      </c>
      <c r="AQ101" s="12">
        <f>IF(COUNT(AP96:AP101)=6,(AVERAGE(AP99:AP101)/AVERAGE(AP96:AP98))^4-1,"")</f>
        <v/>
      </c>
      <c r="AR101" s="10" t="n">
        <v>97.3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98.2115</v>
      </c>
      <c r="AW101" s="12">
        <f>IF(COUNT(AV96:AV101)=6,(AVERAGE(AV99:AV101)/AVERAGE(AV96:AV98))^4-1,"")</f>
        <v/>
      </c>
    </row>
    <row r="102">
      <c r="A102" s="9" t="n">
        <v>44958</v>
      </c>
      <c r="B102" s="10" t="n">
        <v>96.09999999999999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97.2788</v>
      </c>
      <c r="G102" s="12">
        <f>IF(COUNT(F97:F102)=6,(AVERAGE(F100:F102)/AVERAGE(F97:F99))^4-1,"")</f>
        <v/>
      </c>
      <c r="H102" s="10" t="n">
        <v>93.3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95.10590000000001</v>
      </c>
      <c r="M102" s="12">
        <f>IF(COUNT(L97:L102)=6,(AVERAGE(L100:L102)/AVERAGE(L97:L99))^4-1,"")</f>
        <v/>
      </c>
      <c r="N102" s="10" t="n">
        <v>93.3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94.6396</v>
      </c>
      <c r="S102" s="12">
        <f>IF(COUNT(R97:R102)=6,(AVERAGE(R100:R102)/AVERAGE(R97:R99))^4-1,"")</f>
        <v/>
      </c>
      <c r="T102" s="10" t="n">
        <v>98.7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100.0408</v>
      </c>
      <c r="Y102" s="12">
        <f>IF(COUNT(X97:X102)=6,(AVERAGE(X100:X102)/AVERAGE(X97:X99))^4-1,"")</f>
        <v/>
      </c>
      <c r="Z102" s="10" t="n">
        <v>92.40000000000001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93.2868</v>
      </c>
      <c r="AE102" s="12">
        <f>IF(COUNT(AD97:AD102)=6,(AVERAGE(AD100:AD102)/AVERAGE(AD97:AD99))^4-1,"")</f>
        <v/>
      </c>
      <c r="AF102" s="10" t="n">
        <v>93.3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93.15860000000001</v>
      </c>
      <c r="AK102" s="12">
        <f>IF(COUNT(AJ97:AJ102)=6,(AVERAGE(AJ100:AJ102)/AVERAGE(AJ97:AJ99))^4-1,"")</f>
        <v/>
      </c>
      <c r="AL102" s="10" t="n">
        <v>127.8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124.9454</v>
      </c>
      <c r="AQ102" s="12">
        <f>IF(COUNT(AP97:AP102)=6,(AVERAGE(AP100:AP102)/AVERAGE(AP97:AP99))^4-1,"")</f>
        <v/>
      </c>
      <c r="AR102" s="10" t="n">
        <v>98.3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98.4323</v>
      </c>
      <c r="AW102" s="12">
        <f>IF(COUNT(AV97:AV102)=6,(AVERAGE(AV100:AV102)/AVERAGE(AV97:AV99))^4-1,"")</f>
        <v/>
      </c>
    </row>
    <row r="103">
      <c r="A103" s="9" t="n">
        <v>44986</v>
      </c>
      <c r="B103" s="10" t="n">
        <v>96.8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96.4635</v>
      </c>
      <c r="G103" s="12">
        <f>IF(COUNT(F98:F103)=6,(AVERAGE(F101:F103)/AVERAGE(F98:F100))^4-1,"")</f>
        <v/>
      </c>
      <c r="H103" s="10" t="n">
        <v>95.3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95.3539</v>
      </c>
      <c r="M103" s="12">
        <f>IF(COUNT(L98:L103)=6,(AVERAGE(L101:L103)/AVERAGE(L98:L100))^4-1,"")</f>
        <v/>
      </c>
      <c r="N103" s="10" t="n">
        <v>95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95.0067</v>
      </c>
      <c r="S103" s="12">
        <f>IF(COUNT(R98:R103)=6,(AVERAGE(R101:R103)/AVERAGE(R98:R100))^4-1,"")</f>
        <v/>
      </c>
      <c r="T103" s="10" t="n">
        <v>99.8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99.37439999999999</v>
      </c>
      <c r="Y103" s="12">
        <f>IF(COUNT(X98:X103)=6,(AVERAGE(X101:X103)/AVERAGE(X98:X100))^4-1,"")</f>
        <v/>
      </c>
      <c r="Z103" s="10" t="n">
        <v>92.8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93.39700000000001</v>
      </c>
      <c r="AE103" s="12">
        <f>IF(COUNT(AD98:AD103)=6,(AVERAGE(AD101:AD103)/AVERAGE(AD98:AD100))^4-1,"")</f>
        <v/>
      </c>
      <c r="AF103" s="10" t="n">
        <v>94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93.8665</v>
      </c>
      <c r="AK103" s="12">
        <f>IF(COUNT(AJ98:AJ103)=6,(AVERAGE(AJ101:AJ103)/AVERAGE(AJ98:AJ100))^4-1,"")</f>
        <v/>
      </c>
      <c r="AL103" s="10" t="n">
        <v>116.4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117.4626</v>
      </c>
      <c r="AQ103" s="12">
        <f>IF(COUNT(AP98:AP103)=6,(AVERAGE(AP101:AP103)/AVERAGE(AP98:AP100))^4-1,"")</f>
        <v/>
      </c>
      <c r="AR103" s="10" t="n">
        <v>98.40000000000001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98.4606</v>
      </c>
      <c r="AW103" s="12">
        <f>IF(COUNT(AV98:AV103)=6,(AVERAGE(AV101:AV103)/AVERAGE(AV98:AV100))^4-1,"")</f>
        <v/>
      </c>
    </row>
    <row r="104">
      <c r="A104" s="9" t="n">
        <v>45017</v>
      </c>
      <c r="B104" s="10" t="n">
        <v>97.59999999999999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96.86320000000001</v>
      </c>
      <c r="G104" s="12">
        <f>IF(COUNT(F99:F104)=6,(AVERAGE(F102:F104)/AVERAGE(F99:F101))^4-1,"")</f>
        <v/>
      </c>
      <c r="H104" s="10" t="n">
        <v>96.5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95.5467</v>
      </c>
      <c r="M104" s="12">
        <f>IF(COUNT(L99:L104)=6,(AVERAGE(L102:L104)/AVERAGE(L99:L101))^4-1,"")</f>
        <v/>
      </c>
      <c r="N104" s="10" t="n">
        <v>96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95.2058</v>
      </c>
      <c r="S104" s="12">
        <f>IF(COUNT(R99:R104)=6,(AVERAGE(R102:R104)/AVERAGE(R99:R101))^4-1,"")</f>
        <v/>
      </c>
      <c r="T104" s="10" t="n">
        <v>100.4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99.3058</v>
      </c>
      <c r="Y104" s="12">
        <f>IF(COUNT(X99:X104)=6,(AVERAGE(X102:X104)/AVERAGE(X99:X101))^4-1,"")</f>
        <v/>
      </c>
      <c r="Z104" s="10" t="n">
        <v>93.7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93.4409</v>
      </c>
      <c r="AE104" s="12">
        <f>IF(COUNT(AD99:AD104)=6,(AVERAGE(AD102:AD104)/AVERAGE(AD99:AD101))^4-1,"")</f>
        <v/>
      </c>
      <c r="AF104" s="10" t="n">
        <v>94.3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93.9335</v>
      </c>
      <c r="AK104" s="12">
        <f>IF(COUNT(AJ99:AJ104)=6,(AVERAGE(AJ102:AJ104)/AVERAGE(AJ99:AJ101))^4-1,"")</f>
        <v/>
      </c>
      <c r="AL104" s="10" t="n">
        <v>115.2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115.4924</v>
      </c>
      <c r="AQ104" s="12">
        <f>IF(COUNT(AP99:AP104)=6,(AVERAGE(AP102:AP104)/AVERAGE(AP99:AP101))^4-1,"")</f>
        <v/>
      </c>
      <c r="AR104" s="10" t="n">
        <v>99.3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98.6782</v>
      </c>
      <c r="AW104" s="12">
        <f>IF(COUNT(AV99:AV104)=6,(AVERAGE(AV102:AV104)/AVERAGE(AV99:AV101))^4-1,"")</f>
        <v/>
      </c>
    </row>
    <row r="105">
      <c r="A105" s="9" t="n">
        <v>45047</v>
      </c>
      <c r="B105" s="10" t="n">
        <v>98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97.4644</v>
      </c>
      <c r="G105" s="12">
        <f>IF(COUNT(F100:F105)=6,(AVERAGE(F103:F105)/AVERAGE(F100:F102))^4-1,"")</f>
        <v/>
      </c>
      <c r="H105" s="10" t="n">
        <v>96.90000000000001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95.85809999999999</v>
      </c>
      <c r="M105" s="12">
        <f>IF(COUNT(L100:L105)=6,(AVERAGE(L103:L105)/AVERAGE(L100:L102))^4-1,"")</f>
        <v/>
      </c>
      <c r="N105" s="10" t="n">
        <v>96.5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95.58920000000001</v>
      </c>
      <c r="S105" s="12">
        <f>IF(COUNT(R100:R105)=6,(AVERAGE(R103:R105)/AVERAGE(R100:R102))^4-1,"")</f>
        <v/>
      </c>
      <c r="T105" s="10" t="n">
        <v>100.6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99.7487</v>
      </c>
      <c r="Y105" s="12">
        <f>IF(COUNT(X100:X105)=6,(AVERAGE(X103:X105)/AVERAGE(X100:X102))^4-1,"")</f>
        <v/>
      </c>
      <c r="Z105" s="10" t="n">
        <v>94.3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93.9342</v>
      </c>
      <c r="AE105" s="12">
        <f>IF(COUNT(AD100:AD105)=6,(AVERAGE(AD103:AD105)/AVERAGE(AD100:AD102))^4-1,"")</f>
        <v/>
      </c>
      <c r="AF105" s="10" t="n">
        <v>95.2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94.6506</v>
      </c>
      <c r="AK105" s="12">
        <f>IF(COUNT(AJ100:AJ105)=6,(AVERAGE(AJ103:AJ105)/AVERAGE(AJ100:AJ102))^4-1,"")</f>
        <v/>
      </c>
      <c r="AL105" s="10" t="n">
        <v>113.5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114.3075</v>
      </c>
      <c r="AQ105" s="12">
        <f>IF(COUNT(AP100:AP105)=6,(AVERAGE(AP103:AP105)/AVERAGE(AP100:AP102))^4-1,"")</f>
        <v/>
      </c>
      <c r="AR105" s="10" t="n">
        <v>98.5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98.2217</v>
      </c>
      <c r="AW105" s="12">
        <f>IF(COUNT(AV100:AV105)=6,(AVERAGE(AV103:AV105)/AVERAGE(AV100:AV102))^4-1,"")</f>
        <v/>
      </c>
    </row>
    <row r="106">
      <c r="A106" s="9" t="n">
        <v>45078</v>
      </c>
      <c r="B106" s="10" t="n">
        <v>98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97.30889999999999</v>
      </c>
      <c r="G106" s="12">
        <f>IF(COUNT(F101:F106)=6,(AVERAGE(F104:F106)/AVERAGE(F101:F103))^4-1,"")</f>
        <v/>
      </c>
      <c r="H106" s="10" t="n">
        <v>97.3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96.08750000000001</v>
      </c>
      <c r="M106" s="12">
        <f>IF(COUNT(L101:L106)=6,(AVERAGE(L104:L106)/AVERAGE(L101:L103))^4-1,"")</f>
        <v/>
      </c>
      <c r="N106" s="10" t="n">
        <v>96.8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95.8015</v>
      </c>
      <c r="S106" s="12">
        <f>IF(COUNT(R101:R106)=6,(AVERAGE(R104:R106)/AVERAGE(R101:R103))^4-1,"")</f>
        <v/>
      </c>
      <c r="T106" s="10" t="n">
        <v>100.2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99.4042</v>
      </c>
      <c r="Y106" s="12">
        <f>IF(COUNT(X101:X106)=6,(AVERAGE(X104:X106)/AVERAGE(X101:X103))^4-1,"")</f>
        <v/>
      </c>
      <c r="Z106" s="10" t="n">
        <v>94.90000000000001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94.2411</v>
      </c>
      <c r="AE106" s="12">
        <f>IF(COUNT(AD101:AD106)=6,(AVERAGE(AD104:AD106)/AVERAGE(AD101:AD103))^4-1,"")</f>
        <v/>
      </c>
      <c r="AF106" s="10" t="n">
        <v>95.5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95.2993</v>
      </c>
      <c r="AK106" s="12">
        <f>IF(COUNT(AJ101:AJ106)=6,(AVERAGE(AJ104:AJ106)/AVERAGE(AJ101:AJ103))^4-1,"")</f>
        <v/>
      </c>
      <c r="AL106" s="10" t="n">
        <v>108.9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111.1775</v>
      </c>
      <c r="AQ106" s="12">
        <f>IF(COUNT(AP101:AP106)=6,(AVERAGE(AP104:AP106)/AVERAGE(AP101:AP103))^4-1,"")</f>
        <v/>
      </c>
      <c r="AR106" s="10" t="n">
        <v>99.09999999999999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98.90130000000001</v>
      </c>
      <c r="AW106" s="12">
        <f>IF(COUNT(AV101:AV106)=6,(AVERAGE(AV104:AV106)/AVERAGE(AV101:AV103))^4-1,"")</f>
        <v/>
      </c>
    </row>
    <row r="107">
      <c r="A107" s="9" t="n">
        <v>45108</v>
      </c>
      <c r="B107" s="10" t="n">
        <v>96.5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97.1735</v>
      </c>
      <c r="G107" s="12">
        <f>IF(COUNT(F102:F107)=6,(AVERAGE(F105:F107)/AVERAGE(F102:F104))^4-1,"")</f>
        <v/>
      </c>
      <c r="H107" s="10" t="n">
        <v>95.3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96.0027</v>
      </c>
      <c r="M107" s="12">
        <f>IF(COUNT(L102:L107)=6,(AVERAGE(L105:L107)/AVERAGE(L102:L104))^4-1,"")</f>
        <v/>
      </c>
      <c r="N107" s="10" t="n">
        <v>95.40000000000001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96.0034</v>
      </c>
      <c r="S107" s="12">
        <f>IF(COUNT(R102:R107)=6,(AVERAGE(R105:R107)/AVERAGE(R102:R104))^4-1,"")</f>
        <v/>
      </c>
      <c r="T107" s="10" t="n">
        <v>97.40000000000001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99.2209</v>
      </c>
      <c r="Y107" s="12">
        <f>IF(COUNT(X102:X107)=6,(AVERAGE(X105:X107)/AVERAGE(X102:X104))^4-1,"")</f>
        <v/>
      </c>
      <c r="Z107" s="10" t="n">
        <v>95.3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94.3492</v>
      </c>
      <c r="AE107" s="12">
        <f>IF(COUNT(AD102:AD107)=6,(AVERAGE(AD105:AD107)/AVERAGE(AD102:AD104))^4-1,"")</f>
        <v/>
      </c>
      <c r="AF107" s="10" t="n">
        <v>95.5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95.8857</v>
      </c>
      <c r="AK107" s="12">
        <f>IF(COUNT(AJ102:AJ107)=6,(AVERAGE(AJ105:AJ107)/AVERAGE(AJ102:AJ104))^4-1,"")</f>
        <v/>
      </c>
      <c r="AL107" s="10" t="n">
        <v>107.4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108.352</v>
      </c>
      <c r="AQ107" s="12">
        <f>IF(COUNT(AP102:AP107)=6,(AVERAGE(AP105:AP107)/AVERAGE(AP102:AP104))^4-1,"")</f>
        <v/>
      </c>
      <c r="AR107" s="10" t="n">
        <v>99.59999999999999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99.0095</v>
      </c>
      <c r="AW107" s="12">
        <f>IF(COUNT(AV102:AV107)=6,(AVERAGE(AV105:AV107)/AVERAGE(AV102:AV104))^4-1,"")</f>
        <v/>
      </c>
    </row>
    <row r="108">
      <c r="A108" s="9" t="n">
        <v>45139</v>
      </c>
      <c r="B108" s="10" t="n">
        <v>96.59999999999999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97.4033</v>
      </c>
      <c r="G108" s="12">
        <f>IF(COUNT(F103:F108)=6,(AVERAGE(F106:F108)/AVERAGE(F103:F105))^4-1,"")</f>
        <v/>
      </c>
      <c r="H108" s="10" t="n">
        <v>95.2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96.1597</v>
      </c>
      <c r="M108" s="12">
        <f>IF(COUNT(L103:L108)=6,(AVERAGE(L106:L108)/AVERAGE(L103:L105))^4-1,"")</f>
        <v/>
      </c>
      <c r="N108" s="10" t="n">
        <v>95.3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96.1191</v>
      </c>
      <c r="S108" s="12">
        <f>IF(COUNT(R103:R108)=6,(AVERAGE(R106:R108)/AVERAGE(R103:R105))^4-1,"")</f>
        <v/>
      </c>
      <c r="T108" s="10" t="n">
        <v>97.40000000000001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99.52249999999999</v>
      </c>
      <c r="Y108" s="12">
        <f>IF(COUNT(X103:X108)=6,(AVERAGE(X106:X108)/AVERAGE(X103:X105))^4-1,"")</f>
        <v/>
      </c>
      <c r="Z108" s="10" t="n">
        <v>95.5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94.37309999999999</v>
      </c>
      <c r="AE108" s="12">
        <f>IF(COUNT(AD103:AD108)=6,(AVERAGE(AD106:AD108)/AVERAGE(AD103:AD105))^4-1,"")</f>
        <v/>
      </c>
      <c r="AF108" s="10" t="n">
        <v>95.7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96.1527</v>
      </c>
      <c r="AK108" s="12">
        <f>IF(COUNT(AJ103:AJ108)=6,(AVERAGE(AJ106:AJ108)/AVERAGE(AJ103:AJ105))^4-1,"")</f>
        <v/>
      </c>
      <c r="AL108" s="10" t="n">
        <v>109.2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109.4296</v>
      </c>
      <c r="AQ108" s="12">
        <f>IF(COUNT(AP103:AP108)=6,(AVERAGE(AP106:AP108)/AVERAGE(AP103:AP105))^4-1,"")</f>
        <v/>
      </c>
      <c r="AR108" s="10" t="n">
        <v>101.6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99.65049999999999</v>
      </c>
      <c r="AW108" s="12">
        <f>IF(COUNT(AV103:AV108)=6,(AVERAGE(AV106:AV108)/AVERAGE(AV103:AV105))^4-1,"")</f>
        <v/>
      </c>
    </row>
    <row r="109">
      <c r="A109" s="9" t="n">
        <v>45170</v>
      </c>
      <c r="B109" s="10" t="n">
        <v>98.3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98.035</v>
      </c>
      <c r="G109" s="12">
        <f>IF(COUNT(F104:F109)=6,(AVERAGE(F107:F109)/AVERAGE(F104:F106))^4-1,"")</f>
        <v/>
      </c>
      <c r="H109" s="10" t="n">
        <v>97.40000000000001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96.5265</v>
      </c>
      <c r="M109" s="12">
        <f>IF(COUNT(L104:L109)=6,(AVERAGE(L107:L109)/AVERAGE(L104:L106))^4-1,"")</f>
        <v/>
      </c>
      <c r="N109" s="10" t="n">
        <v>97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96.3999</v>
      </c>
      <c r="S109" s="12">
        <f>IF(COUNT(R104:R109)=6,(AVERAGE(R107:R109)/AVERAGE(R104:R106))^4-1,"")</f>
        <v/>
      </c>
      <c r="T109" s="10" t="n">
        <v>100.3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100.3067</v>
      </c>
      <c r="Y109" s="12">
        <f>IF(COUNT(X104:X109)=6,(AVERAGE(X107:X109)/AVERAGE(X104:X106))^4-1,"")</f>
        <v/>
      </c>
      <c r="Z109" s="10" t="n">
        <v>95.5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94.9217</v>
      </c>
      <c r="AE109" s="12">
        <f>IF(COUNT(AD104:AD109)=6,(AVERAGE(AD107:AD109)/AVERAGE(AD104:AD106))^4-1,"")</f>
        <v/>
      </c>
      <c r="AF109" s="10" t="n">
        <v>95.7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96.01439999999999</v>
      </c>
      <c r="AK109" s="12">
        <f>IF(COUNT(AJ104:AJ109)=6,(AVERAGE(AJ107:AJ109)/AVERAGE(AJ104:AJ106))^4-1,"")</f>
        <v/>
      </c>
      <c r="AL109" s="10" t="n">
        <v>111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109.515</v>
      </c>
      <c r="AQ109" s="12">
        <f>IF(COUNT(AP104:AP109)=6,(AVERAGE(AP107:AP109)/AVERAGE(AP104:AP106))^4-1,"")</f>
        <v/>
      </c>
      <c r="AR109" s="10" t="n">
        <v>101.6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102.137</v>
      </c>
      <c r="AW109" s="12">
        <f>IF(COUNT(AV104:AV109)=6,(AVERAGE(AV107:AV109)/AVERAGE(AV104:AV106))^4-1,"")</f>
        <v/>
      </c>
    </row>
    <row r="110">
      <c r="A110" s="9" t="n">
        <v>45200</v>
      </c>
      <c r="B110" s="10" t="n">
        <v>98.3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97.7251</v>
      </c>
      <c r="G110" s="12">
        <f>IF(COUNT(F105:F110)=6,(AVERAGE(F108:F110)/AVERAGE(F105:F107))^4-1,"")</f>
        <v/>
      </c>
      <c r="H110" s="10" t="n">
        <v>97.59999999999999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96.8044</v>
      </c>
      <c r="M110" s="12">
        <f>IF(COUNT(L105:L110)=6,(AVERAGE(L108:L110)/AVERAGE(L105:L107))^4-1,"")</f>
        <v/>
      </c>
      <c r="N110" s="10" t="n">
        <v>97.09999999999999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96.5521</v>
      </c>
      <c r="S110" s="12">
        <f>IF(COUNT(R105:R110)=6,(AVERAGE(R108:R110)/AVERAGE(R105:R107))^4-1,"")</f>
        <v/>
      </c>
      <c r="T110" s="10" t="n">
        <v>100.6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99.50449999999999</v>
      </c>
      <c r="Y110" s="12">
        <f>IF(COUNT(X105:X110)=6,(AVERAGE(X108:X110)/AVERAGE(X105:X107))^4-1,"")</f>
        <v/>
      </c>
      <c r="Z110" s="10" t="n">
        <v>95.09999999999999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95.17019999999999</v>
      </c>
      <c r="AE110" s="12">
        <f>IF(COUNT(AD105:AD110)=6,(AVERAGE(AD108:AD110)/AVERAGE(AD105:AD107))^4-1,"")</f>
        <v/>
      </c>
      <c r="AF110" s="10" t="n">
        <v>95.59999999999999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95.7332</v>
      </c>
      <c r="AK110" s="12">
        <f>IF(COUNT(AJ105:AJ110)=6,(AVERAGE(AJ108:AJ110)/AVERAGE(AJ105:AJ107))^4-1,"")</f>
        <v/>
      </c>
      <c r="AL110" s="10" t="n">
        <v>111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111.7965</v>
      </c>
      <c r="AQ110" s="12">
        <f>IF(COUNT(AP105:AP110)=6,(AVERAGE(AP108:AP110)/AVERAGE(AP105:AP107))^4-1,"")</f>
        <v/>
      </c>
      <c r="AR110" s="10" t="n">
        <v>101.3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102.1818</v>
      </c>
      <c r="AW110" s="12">
        <f>IF(COUNT(AV105:AV110)=6,(AVERAGE(AV108:AV110)/AVERAGE(AV105:AV107))^4-1,"")</f>
        <v/>
      </c>
    </row>
    <row r="111">
      <c r="A111" s="9" t="n">
        <v>45231</v>
      </c>
      <c r="B111" s="10" t="n">
        <v>97.8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97.6082</v>
      </c>
      <c r="G111" s="12">
        <f>IF(COUNT(F106:F111)=6,(AVERAGE(F109:F111)/AVERAGE(F106:F108))^4-1,"")</f>
        <v/>
      </c>
      <c r="H111" s="10" t="n">
        <v>97.09999999999999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96.9436</v>
      </c>
      <c r="M111" s="12">
        <f>IF(COUNT(L106:L111)=6,(AVERAGE(L109:L111)/AVERAGE(L106:L108))^4-1,"")</f>
        <v/>
      </c>
      <c r="N111" s="10" t="n">
        <v>96.8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96.7204</v>
      </c>
      <c r="S111" s="12">
        <f>IF(COUNT(R106:R111)=6,(AVERAGE(R109:R111)/AVERAGE(R106:R108))^4-1,"")</f>
        <v/>
      </c>
      <c r="T111" s="10" t="n">
        <v>100.1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99.12779999999999</v>
      </c>
      <c r="Y111" s="12">
        <f>IF(COUNT(X106:X111)=6,(AVERAGE(X109:X111)/AVERAGE(X106:X108))^4-1,"")</f>
        <v/>
      </c>
      <c r="Z111" s="10" t="n">
        <v>94.59999999999999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95.4588</v>
      </c>
      <c r="AE111" s="12">
        <f>IF(COUNT(AD106:AD111)=6,(AVERAGE(AD109:AD111)/AVERAGE(AD106:AD108))^4-1,"")</f>
        <v/>
      </c>
      <c r="AF111" s="10" t="n">
        <v>95.90000000000001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95.8567</v>
      </c>
      <c r="AK111" s="12">
        <f>IF(COUNT(AJ106:AJ111)=6,(AVERAGE(AJ109:AJ111)/AVERAGE(AJ106:AJ108))^4-1,"")</f>
        <v/>
      </c>
      <c r="AL111" s="10" t="n">
        <v>107.2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107.2627</v>
      </c>
      <c r="AQ111" s="12">
        <f>IF(COUNT(AP106:AP111)=6,(AVERAGE(AP109:AP111)/AVERAGE(AP106:AP108))^4-1,"")</f>
        <v/>
      </c>
      <c r="AR111" s="10" t="n">
        <v>99.7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100.5227</v>
      </c>
      <c r="AW111" s="12">
        <f>IF(COUNT(AV106:AV111)=6,(AVERAGE(AV109:AV111)/AVERAGE(AV106:AV108))^4-1,"")</f>
        <v/>
      </c>
    </row>
    <row r="112">
      <c r="A112" s="9" t="n">
        <v>45261</v>
      </c>
      <c r="B112" s="10" t="n">
        <v>98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97.7869</v>
      </c>
      <c r="G112" s="12">
        <f>IF(COUNT(F107:F112)=6,(AVERAGE(F110:F112)/AVERAGE(F107:F109))^4-1,"")</f>
        <v/>
      </c>
      <c r="H112" s="10" t="n">
        <v>97.5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97.1747</v>
      </c>
      <c r="M112" s="12">
        <f>IF(COUNT(L107:L112)=6,(AVERAGE(L110:L112)/AVERAGE(L107:L109))^4-1,"")</f>
        <v/>
      </c>
      <c r="N112" s="10" t="n">
        <v>97.2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97.075</v>
      </c>
      <c r="S112" s="12">
        <f>IF(COUNT(R107:R112)=6,(AVERAGE(R110:R112)/AVERAGE(R107:R109))^4-1,"")</f>
        <v/>
      </c>
      <c r="T112" s="10" t="n">
        <v>100.1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99.1679</v>
      </c>
      <c r="Y112" s="12">
        <f>IF(COUNT(X107:X112)=6,(AVERAGE(X110:X112)/AVERAGE(X107:X109))^4-1,"")</f>
        <v/>
      </c>
      <c r="Z112" s="10" t="n">
        <v>95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95.72490000000001</v>
      </c>
      <c r="AE112" s="12">
        <f>IF(COUNT(AD107:AD112)=6,(AVERAGE(AD110:AD112)/AVERAGE(AD107:AD109))^4-1,"")</f>
        <v/>
      </c>
      <c r="AF112" s="10" t="n">
        <v>96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96.3608</v>
      </c>
      <c r="AK112" s="12">
        <f>IF(COUNT(AJ107:AJ112)=6,(AVERAGE(AJ110:AJ112)/AVERAGE(AJ107:AJ109))^4-1,"")</f>
        <v/>
      </c>
      <c r="AL112" s="10" t="n">
        <v>104.8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105.3245</v>
      </c>
      <c r="AQ112" s="12">
        <f>IF(COUNT(AP107:AP112)=6,(AVERAGE(AP110:AP112)/AVERAGE(AP107:AP109))^4-1,"")</f>
        <v/>
      </c>
      <c r="AR112" s="10" t="n">
        <v>99.3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99.9435</v>
      </c>
      <c r="AW112" s="12">
        <f>IF(COUNT(AV107:AV112)=6,(AVERAGE(AV110:AV112)/AVERAGE(AV107:AV109))^4-1,"")</f>
        <v/>
      </c>
    </row>
    <row r="113">
      <c r="A113" s="9" t="n">
        <v>45292</v>
      </c>
      <c r="B113" s="10" t="n">
        <v>96.90000000000001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97.82640000000001</v>
      </c>
      <c r="G113" s="12">
        <f>IF(COUNT(F108:F113)=6,(AVERAGE(F111:F113)/AVERAGE(F108:F110))^4-1,"")</f>
        <v/>
      </c>
      <c r="H113" s="10" t="n">
        <v>95.59999999999999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97.47320000000001</v>
      </c>
      <c r="M113" s="12">
        <f>IF(COUNT(L108:L113)=6,(AVERAGE(L111:L113)/AVERAGE(L108:L110))^4-1,"")</f>
        <v/>
      </c>
      <c r="N113" s="10" t="n">
        <v>95.8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97.14709999999999</v>
      </c>
      <c r="S113" s="12">
        <f>IF(COUNT(R108:R113)=6,(AVERAGE(R111:R113)/AVERAGE(R108:R110))^4-1,"")</f>
        <v/>
      </c>
      <c r="T113" s="10" t="n">
        <v>98.3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99.1262</v>
      </c>
      <c r="Y113" s="12">
        <f>IF(COUNT(X108:X113)=6,(AVERAGE(X111:X113)/AVERAGE(X108:X110))^4-1,"")</f>
        <v/>
      </c>
      <c r="Z113" s="10" t="n">
        <v>95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95.9289</v>
      </c>
      <c r="AE113" s="12">
        <f>IF(COUNT(AD108:AD113)=6,(AVERAGE(AD111:AD113)/AVERAGE(AD108:AD110))^4-1,"")</f>
        <v/>
      </c>
      <c r="AF113" s="10" t="n">
        <v>96.8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96.6444</v>
      </c>
      <c r="AK113" s="12">
        <f>IF(COUNT(AJ108:AJ113)=6,(AVERAGE(AJ111:AJ113)/AVERAGE(AJ108:AJ110))^4-1,"")</f>
        <v/>
      </c>
      <c r="AL113" s="10" t="n">
        <v>106.2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103.1035</v>
      </c>
      <c r="AQ113" s="12">
        <f>IF(COUNT(AP108:AP113)=6,(AVERAGE(AP111:AP113)/AVERAGE(AP108:AP110))^4-1,"")</f>
        <v/>
      </c>
      <c r="AR113" s="10" t="n">
        <v>98.59999999999999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99.4473</v>
      </c>
      <c r="AW113" s="12">
        <f>IF(COUNT(AV108:AV113)=6,(AVERAGE(AV111:AV113)/AVERAGE(AV108:AV110))^4-1,"")</f>
        <v/>
      </c>
    </row>
    <row r="114">
      <c r="A114" s="9" t="n">
        <v>45323</v>
      </c>
      <c r="B114" s="10" t="n">
        <v>96.90000000000001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97.9674</v>
      </c>
      <c r="G114" s="12">
        <f>IF(COUNT(F109:F114)=6,(AVERAGE(F112:F114)/AVERAGE(F109:F111))^4-1,"")</f>
        <v/>
      </c>
      <c r="H114" s="10" t="n">
        <v>95.59999999999999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97.3378</v>
      </c>
      <c r="M114" s="12">
        <f>IF(COUNT(L109:L114)=6,(AVERAGE(L112:L114)/AVERAGE(L109:L111))^4-1,"")</f>
        <v/>
      </c>
      <c r="N114" s="10" t="n">
        <v>95.90000000000001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97.16160000000001</v>
      </c>
      <c r="S114" s="12">
        <f>IF(COUNT(R109:R114)=6,(AVERAGE(R112:R114)/AVERAGE(R109:R111))^4-1,"")</f>
        <v/>
      </c>
      <c r="T114" s="10" t="n">
        <v>98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99.06740000000001</v>
      </c>
      <c r="Y114" s="12">
        <f>IF(COUNT(X109:X114)=6,(AVERAGE(X112:X114)/AVERAGE(X109:X111))^4-1,"")</f>
        <v/>
      </c>
      <c r="Z114" s="10" t="n">
        <v>95.3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96.2556</v>
      </c>
      <c r="AE114" s="12">
        <f>IF(COUNT(AD109:AD114)=6,(AVERAGE(AD112:AD114)/AVERAGE(AD109:AD111))^4-1,"")</f>
        <v/>
      </c>
      <c r="AF114" s="10" t="n">
        <v>96.7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96.5341</v>
      </c>
      <c r="AK114" s="12">
        <f>IF(COUNT(AJ109:AJ114)=6,(AVERAGE(AJ112:AJ114)/AVERAGE(AJ109:AJ111))^4-1,"")</f>
        <v/>
      </c>
      <c r="AL114" s="10" t="n">
        <v>105.5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102.81</v>
      </c>
      <c r="AQ114" s="12">
        <f>IF(COUNT(AP109:AP114)=6,(AVERAGE(AP112:AP114)/AVERAGE(AP109:AP111))^4-1,"")</f>
        <v/>
      </c>
      <c r="AR114" s="10" t="n">
        <v>99.90000000000001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99.9674</v>
      </c>
      <c r="AW114" s="12">
        <f>IF(COUNT(AV109:AV114)=6,(AVERAGE(AV112:AV114)/AVERAGE(AV109:AV111))^4-1,"")</f>
        <v/>
      </c>
    </row>
    <row r="115">
      <c r="A115" s="9" t="n">
        <v>45352</v>
      </c>
      <c r="B115" s="10" t="n">
        <v>98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97.66160000000001</v>
      </c>
      <c r="G115" s="12">
        <f>IF(COUNT(F110:F115)=6,(AVERAGE(F113:F115)/AVERAGE(F110:F112))^4-1,"")</f>
        <v/>
      </c>
      <c r="H115" s="10" t="n">
        <v>97.5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97.62090000000001</v>
      </c>
      <c r="M115" s="12">
        <f>IF(COUNT(L110:L115)=6,(AVERAGE(L113:L115)/AVERAGE(L110:L112))^4-1,"")</f>
        <v/>
      </c>
      <c r="N115" s="10" t="n">
        <v>97.3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97.36499999999999</v>
      </c>
      <c r="S115" s="12">
        <f>IF(COUNT(R110:R115)=6,(AVERAGE(R113:R115)/AVERAGE(R110:R112))^4-1,"")</f>
        <v/>
      </c>
      <c r="T115" s="10" t="n">
        <v>99.5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99.24420000000001</v>
      </c>
      <c r="Y115" s="12">
        <f>IF(COUNT(X110:X115)=6,(AVERAGE(X113:X115)/AVERAGE(X110:X112))^4-1,"")</f>
        <v/>
      </c>
      <c r="Z115" s="10" t="n">
        <v>95.8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96.4226</v>
      </c>
      <c r="AE115" s="12">
        <f>IF(COUNT(AD110:AD115)=6,(AVERAGE(AD113:AD115)/AVERAGE(AD110:AD112))^4-1,"")</f>
        <v/>
      </c>
      <c r="AF115" s="10" t="n">
        <v>96.59999999999999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96.4716</v>
      </c>
      <c r="AK115" s="12">
        <f>IF(COUNT(AJ110:AJ115)=6,(AVERAGE(AJ113:AJ115)/AVERAGE(AJ110:AJ112))^4-1,"")</f>
        <v/>
      </c>
      <c r="AL115" s="10" t="n">
        <v>103.8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105.3597</v>
      </c>
      <c r="AQ115" s="12">
        <f>IF(COUNT(AP110:AP115)=6,(AVERAGE(AP113:AP115)/AVERAGE(AP110:AP112))^4-1,"")</f>
        <v/>
      </c>
      <c r="AR115" s="10" t="n">
        <v>100.7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100.7305</v>
      </c>
      <c r="AW115" s="12">
        <f>IF(COUNT(AV110:AV115)=6,(AVERAGE(AV113:AV115)/AVERAGE(AV110:AV112))^4-1,"")</f>
        <v/>
      </c>
    </row>
    <row r="116">
      <c r="A116" s="9" t="n">
        <v>45383</v>
      </c>
      <c r="B116" s="10" t="n">
        <v>98.5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97.77079999999999</v>
      </c>
      <c r="G116" s="12">
        <f>IF(COUNT(F111:F116)=6,(AVERAGE(F114:F116)/AVERAGE(F111:F113))^4-1,"")</f>
        <v/>
      </c>
      <c r="H116" s="10" t="n">
        <v>98.59999999999999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97.6635</v>
      </c>
      <c r="M116" s="12">
        <f>IF(COUNT(L111:L116)=6,(AVERAGE(L114:L116)/AVERAGE(L111:L113))^4-1,"")</f>
        <v/>
      </c>
      <c r="N116" s="10" t="n">
        <v>98.2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97.4024</v>
      </c>
      <c r="S116" s="12">
        <f>IF(COUNT(R111:R116)=6,(AVERAGE(R114:R116)/AVERAGE(R111:R113))^4-1,"")</f>
        <v/>
      </c>
      <c r="T116" s="10" t="n">
        <v>99.90000000000001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98.82810000000001</v>
      </c>
      <c r="Y116" s="12">
        <f>IF(COUNT(X111:X116)=6,(AVERAGE(X114:X116)/AVERAGE(X111:X113))^4-1,"")</f>
        <v/>
      </c>
      <c r="Z116" s="10" t="n">
        <v>96.59999999999999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96.35380000000001</v>
      </c>
      <c r="AE116" s="12">
        <f>IF(COUNT(AD111:AD116)=6,(AVERAGE(AD114:AD116)/AVERAGE(AD111:AD113))^4-1,"")</f>
        <v/>
      </c>
      <c r="AF116" s="10" t="n">
        <v>96.8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96.36790000000001</v>
      </c>
      <c r="AK116" s="12">
        <f>IF(COUNT(AJ111:AJ116)=6,(AVERAGE(AJ114:AJ116)/AVERAGE(AJ111:AJ113))^4-1,"")</f>
        <v/>
      </c>
      <c r="AL116" s="10" t="n">
        <v>101.1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101.35</v>
      </c>
      <c r="AQ116" s="12">
        <f>IF(COUNT(AP111:AP116)=6,(AVERAGE(AP114:AP116)/AVERAGE(AP111:AP113))^4-1,"")</f>
        <v/>
      </c>
      <c r="AR116" s="10" t="n">
        <v>101.4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100.5702</v>
      </c>
      <c r="AW116" s="12">
        <f>IF(COUNT(AV111:AV116)=6,(AVERAGE(AV114:AV116)/AVERAGE(AV111:AV113))^4-1,"")</f>
        <v/>
      </c>
    </row>
    <row r="117">
      <c r="A117" s="9" t="n">
        <v>45413</v>
      </c>
      <c r="B117" s="10" t="n">
        <v>98.7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98.181</v>
      </c>
      <c r="G117" s="12">
        <f>IF(COUNT(F112:F117)=6,(AVERAGE(F115:F117)/AVERAGE(F112:F114))^4-1,"")</f>
        <v/>
      </c>
      <c r="H117" s="10" t="n">
        <v>99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97.94880000000001</v>
      </c>
      <c r="M117" s="12">
        <f>IF(COUNT(L112:L117)=6,(AVERAGE(L115:L117)/AVERAGE(L112:L114))^4-1,"")</f>
        <v/>
      </c>
      <c r="N117" s="10" t="n">
        <v>98.5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97.5847</v>
      </c>
      <c r="S117" s="12">
        <f>IF(COUNT(R112:R117)=6,(AVERAGE(R115:R117)/AVERAGE(R112:R114))^4-1,"")</f>
        <v/>
      </c>
      <c r="T117" s="10" t="n">
        <v>99.8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99.0219</v>
      </c>
      <c r="Y117" s="12">
        <f>IF(COUNT(X112:X117)=6,(AVERAGE(X115:X117)/AVERAGE(X112:X114))^4-1,"")</f>
        <v/>
      </c>
      <c r="Z117" s="10" t="n">
        <v>97.3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96.8772</v>
      </c>
      <c r="AE117" s="12">
        <f>IF(COUNT(AD112:AD117)=6,(AVERAGE(AD115:AD117)/AVERAGE(AD112:AD114))^4-1,"")</f>
        <v/>
      </c>
      <c r="AF117" s="10" t="n">
        <v>97.2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96.6369</v>
      </c>
      <c r="AK117" s="12">
        <f>IF(COUNT(AJ112:AJ117)=6,(AVERAGE(AJ115:AJ117)/AVERAGE(AJ112:AJ114))^4-1,"")</f>
        <v/>
      </c>
      <c r="AL117" s="10" t="n">
        <v>100.2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101.0407</v>
      </c>
      <c r="AQ117" s="12">
        <f>IF(COUNT(AP112:AP117)=6,(AVERAGE(AP115:AP117)/AVERAGE(AP112:AP114))^4-1,"")</f>
        <v/>
      </c>
      <c r="AR117" s="10" t="n">
        <v>100.9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100.5347</v>
      </c>
      <c r="AW117" s="12">
        <f>IF(COUNT(AV112:AV117)=6,(AVERAGE(AV115:AV117)/AVERAGE(AV112:AV114))^4-1,"")</f>
        <v/>
      </c>
    </row>
    <row r="118">
      <c r="A118" s="9" t="n">
        <v>45444</v>
      </c>
      <c r="B118" s="10" t="n">
        <v>98.90000000000001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98.2441</v>
      </c>
      <c r="G118" s="12">
        <f>IF(COUNT(F113:F118)=6,(AVERAGE(F116:F118)/AVERAGE(F113:F115))^4-1,"")</f>
        <v/>
      </c>
      <c r="H118" s="10" t="n">
        <v>99.3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98.0698</v>
      </c>
      <c r="M118" s="12">
        <f>IF(COUNT(L113:L118)=6,(AVERAGE(L116:L118)/AVERAGE(L113:L115))^4-1,"")</f>
        <v/>
      </c>
      <c r="N118" s="10" t="n">
        <v>98.8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97.79859999999999</v>
      </c>
      <c r="S118" s="12">
        <f>IF(COUNT(R113:R118)=6,(AVERAGE(R116:R118)/AVERAGE(R113:R115))^4-1,"")</f>
        <v/>
      </c>
      <c r="T118" s="10" t="n">
        <v>99.59999999999999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98.8841</v>
      </c>
      <c r="Y118" s="12">
        <f>IF(COUNT(X113:X118)=6,(AVERAGE(X116:X118)/AVERAGE(X113:X115))^4-1,"")</f>
        <v/>
      </c>
      <c r="Z118" s="10" t="n">
        <v>97.90000000000001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97.18519999999999</v>
      </c>
      <c r="AE118" s="12">
        <f>IF(COUNT(AD113:AD118)=6,(AVERAGE(AD116:AD118)/AVERAGE(AD113:AD115))^4-1,"")</f>
        <v/>
      </c>
      <c r="AF118" s="10" t="n">
        <v>97.09999999999999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96.91030000000001</v>
      </c>
      <c r="AK118" s="12">
        <f>IF(COUNT(AJ113:AJ118)=6,(AVERAGE(AJ116:AJ118)/AVERAGE(AJ113:AJ115))^4-1,"")</f>
        <v/>
      </c>
      <c r="AL118" s="10" t="n">
        <v>99.59999999999999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101.8941</v>
      </c>
      <c r="AQ118" s="12">
        <f>IF(COUNT(AP113:AP118)=6,(AVERAGE(AP116:AP118)/AVERAGE(AP113:AP115))^4-1,"")</f>
        <v/>
      </c>
      <c r="AR118" s="10" t="n">
        <v>100.7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100.5113</v>
      </c>
      <c r="AW118" s="12">
        <f>IF(COUNT(AV113:AV118)=6,(AVERAGE(AV116:AV118)/AVERAGE(AV113:AV115))^4-1,"")</f>
        <v/>
      </c>
    </row>
    <row r="119">
      <c r="A119" s="9" t="n">
        <v>45474</v>
      </c>
      <c r="B119" s="10" t="n">
        <v>98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98.6388</v>
      </c>
      <c r="G119" s="12">
        <f>IF(COUNT(F114:F119)=6,(AVERAGE(F117:F119)/AVERAGE(F114:F116))^4-1,"")</f>
        <v/>
      </c>
      <c r="H119" s="10" t="n">
        <v>97.59999999999999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98.2529</v>
      </c>
      <c r="M119" s="12">
        <f>IF(COUNT(L114:L119)=6,(AVERAGE(L117:L119)/AVERAGE(L114:L116))^4-1,"")</f>
        <v/>
      </c>
      <c r="N119" s="10" t="n">
        <v>97.40000000000001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97.9607</v>
      </c>
      <c r="S119" s="12">
        <f>IF(COUNT(R114:R119)=6,(AVERAGE(R117:R119)/AVERAGE(R114:R116))^4-1,"")</f>
        <v/>
      </c>
      <c r="T119" s="10" t="n">
        <v>97.8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99.5377</v>
      </c>
      <c r="Y119" s="12">
        <f>IF(COUNT(X114:X119)=6,(AVERAGE(X117:X119)/AVERAGE(X114:X116))^4-1,"")</f>
        <v/>
      </c>
      <c r="Z119" s="10" t="n">
        <v>98.40000000000001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97.4053</v>
      </c>
      <c r="AE119" s="12">
        <f>IF(COUNT(AD114:AD119)=6,(AVERAGE(AD117:AD119)/AVERAGE(AD114:AD116))^4-1,"")</f>
        <v/>
      </c>
      <c r="AF119" s="10" t="n">
        <v>96.59999999999999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97.0441</v>
      </c>
      <c r="AK119" s="12">
        <f>IF(COUNT(AJ114:AJ119)=6,(AVERAGE(AJ117:AJ119)/AVERAGE(AJ114:AJ116))^4-1,"")</f>
        <v/>
      </c>
      <c r="AL119" s="10" t="n">
        <v>103.1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104.0886</v>
      </c>
      <c r="AQ119" s="12">
        <f>IF(COUNT(AP114:AP119)=6,(AVERAGE(AP117:AP119)/AVERAGE(AP114:AP116))^4-1,"")</f>
        <v/>
      </c>
      <c r="AR119" s="10" t="n">
        <v>101.1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100.5116</v>
      </c>
      <c r="AW119" s="12">
        <f>IF(COUNT(AV114:AV119)=6,(AVERAGE(AV117:AV119)/AVERAGE(AV114:AV116))^4-1,"")</f>
        <v/>
      </c>
    </row>
    <row r="120">
      <c r="A120" s="9" t="n">
        <v>45505</v>
      </c>
      <c r="B120" s="10" t="n">
        <v>97.90000000000001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98.6956</v>
      </c>
      <c r="G120" s="12">
        <f>IF(COUNT(F115:F120)=6,(AVERAGE(F118:F120)/AVERAGE(F115:F117))^4-1,"")</f>
        <v/>
      </c>
      <c r="H120" s="10" t="n">
        <v>97.5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98.4485</v>
      </c>
      <c r="M120" s="12">
        <f>IF(COUNT(L115:L120)=6,(AVERAGE(L118:L120)/AVERAGE(L115:L117))^4-1,"")</f>
        <v/>
      </c>
      <c r="N120" s="10" t="n">
        <v>97.3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98.1135</v>
      </c>
      <c r="S120" s="12">
        <f>IF(COUNT(R115:R120)=6,(AVERAGE(R118:R120)/AVERAGE(R115:R117))^4-1,"")</f>
        <v/>
      </c>
      <c r="T120" s="10" t="n">
        <v>97.2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99.1623</v>
      </c>
      <c r="Y120" s="12">
        <f>IF(COUNT(X115:X120)=6,(AVERAGE(X118:X120)/AVERAGE(X115:X117))^4-1,"")</f>
        <v/>
      </c>
      <c r="Z120" s="10" t="n">
        <v>98.8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97.63809999999999</v>
      </c>
      <c r="AE120" s="12">
        <f>IF(COUNT(AD115:AD120)=6,(AVERAGE(AD118:AD120)/AVERAGE(AD115:AD117))^4-1,"")</f>
        <v/>
      </c>
      <c r="AF120" s="10" t="n">
        <v>96.8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97.3152</v>
      </c>
      <c r="AK120" s="12">
        <f>IF(COUNT(AJ115:AJ120)=6,(AVERAGE(AJ118:AJ120)/AVERAGE(AJ115:AJ117))^4-1,"")</f>
        <v/>
      </c>
      <c r="AL120" s="10" t="n">
        <v>102.5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102.5894</v>
      </c>
      <c r="AQ120" s="12">
        <f>IF(COUNT(AP115:AP120)=6,(AVERAGE(AP118:AP120)/AVERAGE(AP115:AP117))^4-1,"")</f>
        <v/>
      </c>
      <c r="AR120" s="10" t="n">
        <v>101.5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99.65770000000001</v>
      </c>
      <c r="AW120" s="12">
        <f>IF(COUNT(AV115:AV120)=6,(AVERAGE(AV118:AV120)/AVERAGE(AV115:AV117))^4-1,"")</f>
        <v/>
      </c>
    </row>
    <row r="121">
      <c r="A121" s="9" t="n">
        <v>45536</v>
      </c>
      <c r="B121" s="10" t="n">
        <v>99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98.8061</v>
      </c>
      <c r="G121" s="12">
        <f>IF(COUNT(F116:F121)=6,(AVERAGE(F119:F121)/AVERAGE(F116:F118))^4-1,"")</f>
        <v/>
      </c>
      <c r="H121" s="10" t="n">
        <v>99.2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98.3379</v>
      </c>
      <c r="M121" s="12">
        <f>IF(COUNT(L116:L121)=6,(AVERAGE(L119:L121)/AVERAGE(L116:L118))^4-1,"")</f>
        <v/>
      </c>
      <c r="N121" s="10" t="n">
        <v>98.7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98.1084</v>
      </c>
      <c r="S121" s="12">
        <f>IF(COUNT(R116:R121)=6,(AVERAGE(R119:R121)/AVERAGE(R116:R118))^4-1,"")</f>
        <v/>
      </c>
      <c r="T121" s="10" t="n">
        <v>99.40000000000001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99.5467</v>
      </c>
      <c r="Y121" s="12">
        <f>IF(COUNT(X116:X121)=6,(AVERAGE(X119:X121)/AVERAGE(X116:X118))^4-1,"")</f>
        <v/>
      </c>
      <c r="Z121" s="10" t="n">
        <v>98.40000000000001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97.7788</v>
      </c>
      <c r="AE121" s="12">
        <f>IF(COUNT(AD116:AD121)=6,(AVERAGE(AD119:AD121)/AVERAGE(AD116:AD118))^4-1,"")</f>
        <v/>
      </c>
      <c r="AF121" s="10" t="n">
        <v>97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97.2774</v>
      </c>
      <c r="AK121" s="12">
        <f>IF(COUNT(AJ116:AJ121)=6,(AVERAGE(AJ119:AJ121)/AVERAGE(AJ116:AJ118))^4-1,"")</f>
        <v/>
      </c>
      <c r="AL121" s="10" t="n">
        <v>101.4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99.5847</v>
      </c>
      <c r="AQ121" s="12">
        <f>IF(COUNT(AP116:AP121)=6,(AVERAGE(AP119:AP121)/AVERAGE(AP116:AP118))^4-1,"")</f>
        <v/>
      </c>
      <c r="AR121" s="10" t="n">
        <v>99.40000000000001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100.0351</v>
      </c>
      <c r="AW121" s="12">
        <f>IF(COUNT(AV116:AV121)=6,(AVERAGE(AV119:AV121)/AVERAGE(AV116:AV118))^4-1,"")</f>
        <v/>
      </c>
    </row>
    <row r="122">
      <c r="A122" s="9" t="n">
        <v>45566</v>
      </c>
      <c r="B122" s="10" t="n">
        <v>99.3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98.7403</v>
      </c>
      <c r="G122" s="12">
        <f>IF(COUNT(F117:F122)=6,(AVERAGE(F120:F122)/AVERAGE(F117:F119))^4-1,"")</f>
        <v/>
      </c>
      <c r="H122" s="10" t="n">
        <v>99.40000000000001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98.6144</v>
      </c>
      <c r="M122" s="12">
        <f>IF(COUNT(L117:L122)=6,(AVERAGE(L120:L122)/AVERAGE(L117:L119))^4-1,"")</f>
        <v/>
      </c>
      <c r="N122" s="10" t="n">
        <v>99.09999999999999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98.5457</v>
      </c>
      <c r="S122" s="12">
        <f>IF(COUNT(R117:R122)=6,(AVERAGE(R120:R122)/AVERAGE(R117:R119))^4-1,"")</f>
        <v/>
      </c>
      <c r="T122" s="10" t="n">
        <v>100.2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99.1606</v>
      </c>
      <c r="Y122" s="12">
        <f>IF(COUNT(X117:X122)=6,(AVERAGE(X120:X122)/AVERAGE(X117:X119))^4-1,"")</f>
        <v/>
      </c>
      <c r="Z122" s="10" t="n">
        <v>98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98.06270000000001</v>
      </c>
      <c r="AE122" s="12">
        <f>IF(COUNT(AD117:AD122)=6,(AVERAGE(AD120:AD122)/AVERAGE(AD117:AD119))^4-1,"")</f>
        <v/>
      </c>
      <c r="AF122" s="10" t="n">
        <v>98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98.0745</v>
      </c>
      <c r="AK122" s="12">
        <f>IF(COUNT(AJ117:AJ122)=6,(AVERAGE(AJ120:AJ122)/AVERAGE(AJ117:AJ119))^4-1,"")</f>
        <v/>
      </c>
      <c r="AL122" s="10" t="n">
        <v>101.1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101.8383</v>
      </c>
      <c r="AQ122" s="12">
        <f>IF(COUNT(AP117:AP122)=6,(AVERAGE(AP120:AP122)/AVERAGE(AP117:AP119))^4-1,"")</f>
        <v/>
      </c>
      <c r="AR122" s="10" t="n">
        <v>99.09999999999999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100.0923</v>
      </c>
      <c r="AW122" s="12">
        <f>IF(COUNT(AV117:AV122)=6,(AVERAGE(AV120:AV122)/AVERAGE(AV117:AV119))^4-1,"")</f>
        <v/>
      </c>
    </row>
    <row r="123">
      <c r="A123" s="9" t="n">
        <v>45597</v>
      </c>
      <c r="B123" s="10" t="n">
        <v>99.2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99.0445</v>
      </c>
      <c r="G123" s="12">
        <f>IF(COUNT(F118:F123)=6,(AVERAGE(F121:F123)/AVERAGE(F118:F120))^4-1,"")</f>
        <v/>
      </c>
      <c r="H123" s="10" t="n">
        <v>99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98.877</v>
      </c>
      <c r="M123" s="12">
        <f>IF(COUNT(L118:L123)=6,(AVERAGE(L121:L123)/AVERAGE(L118:L120))^4-1,"")</f>
        <v/>
      </c>
      <c r="N123" s="10" t="n">
        <v>98.90000000000001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98.849</v>
      </c>
      <c r="S123" s="12">
        <f>IF(COUNT(R118:R123)=6,(AVERAGE(R121:R123)/AVERAGE(R118:R120))^4-1,"")</f>
        <v/>
      </c>
      <c r="T123" s="10" t="n">
        <v>100.4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99.50920000000001</v>
      </c>
      <c r="Y123" s="12">
        <f>IF(COUNT(X118:X123)=6,(AVERAGE(X121:X123)/AVERAGE(X118:X120))^4-1,"")</f>
        <v/>
      </c>
      <c r="Z123" s="10" t="n">
        <v>97.5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98.3831</v>
      </c>
      <c r="AE123" s="12">
        <f>IF(COUNT(AD118:AD123)=6,(AVERAGE(AD121:AD123)/AVERAGE(AD118:AD120))^4-1,"")</f>
        <v/>
      </c>
      <c r="AF123" s="10" t="n">
        <v>98.59999999999999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98.5393</v>
      </c>
      <c r="AK123" s="12">
        <f>IF(COUNT(AJ118:AJ123)=6,(AVERAGE(AJ121:AJ123)/AVERAGE(AJ118:AJ120))^4-1,"")</f>
        <v/>
      </c>
      <c r="AL123" s="10" t="n">
        <v>101.4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101.5185</v>
      </c>
      <c r="AQ123" s="12">
        <f>IF(COUNT(AP118:AP123)=6,(AVERAGE(AP121:AP123)/AVERAGE(AP118:AP120))^4-1,"")</f>
        <v/>
      </c>
      <c r="AR123" s="10" t="n">
        <v>99.09999999999999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99.96339999999999</v>
      </c>
      <c r="AW123" s="12">
        <f>IF(COUNT(AV118:AV123)=6,(AVERAGE(AV121:AV123)/AVERAGE(AV118:AV120))^4-1,"")</f>
        <v/>
      </c>
    </row>
    <row r="124">
      <c r="A124" s="9" t="n">
        <v>45627</v>
      </c>
      <c r="B124" s="10" t="n">
        <v>99.3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99.1301</v>
      </c>
      <c r="G124" s="12">
        <f>IF(COUNT(F119:F124)=6,(AVERAGE(F122:F124)/AVERAGE(F119:F121))^4-1,"")</f>
        <v/>
      </c>
      <c r="H124" s="10" t="n">
        <v>99.2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98.9242</v>
      </c>
      <c r="M124" s="12">
        <f>IF(COUNT(L119:L124)=6,(AVERAGE(L122:L124)/AVERAGE(L119:L121))^4-1,"")</f>
        <v/>
      </c>
      <c r="N124" s="10" t="n">
        <v>99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98.9233</v>
      </c>
      <c r="S124" s="12">
        <f>IF(COUNT(R119:R124)=6,(AVERAGE(R122:R124)/AVERAGE(R119:R121))^4-1,"")</f>
        <v/>
      </c>
      <c r="T124" s="10" t="n">
        <v>100.4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99.5333</v>
      </c>
      <c r="Y124" s="12">
        <f>IF(COUNT(X119:X124)=6,(AVERAGE(X122:X124)/AVERAGE(X119:X121))^4-1,"")</f>
        <v/>
      </c>
      <c r="Z124" s="10" t="n">
        <v>97.7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98.4678</v>
      </c>
      <c r="AE124" s="12">
        <f>IF(COUNT(AD119:AD124)=6,(AVERAGE(AD122:AD124)/AVERAGE(AD119:AD121))^4-1,"")</f>
        <v/>
      </c>
      <c r="AF124" s="10" t="n">
        <v>98.09999999999999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98.4785</v>
      </c>
      <c r="AK124" s="12">
        <f>IF(COUNT(AJ119:AJ124)=6,(AVERAGE(AJ122:AJ124)/AVERAGE(AJ119:AJ121))^4-1,"")</f>
        <v/>
      </c>
      <c r="AL124" s="10" t="n">
        <v>101.9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102.5354</v>
      </c>
      <c r="AQ124" s="12">
        <f>IF(COUNT(AP119:AP124)=6,(AVERAGE(AP122:AP124)/AVERAGE(AP119:AP121))^4-1,"")</f>
        <v/>
      </c>
      <c r="AR124" s="10" t="n">
        <v>99.90000000000001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100.5836</v>
      </c>
      <c r="AW124" s="12">
        <f>IF(COUNT(AV119:AV124)=6,(AVERAGE(AV122:AV124)/AVERAGE(AV119:AV121))^4-1,"")</f>
        <v/>
      </c>
    </row>
    <row r="125">
      <c r="A125" s="9" t="n">
        <v>45658</v>
      </c>
      <c r="B125" s="10" t="n">
        <v>98.5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99.37009999999999</v>
      </c>
      <c r="G125" s="12">
        <f>IF(COUNT(F120:F125)=6,(AVERAGE(F123:F125)/AVERAGE(F120:F122))^4-1,"")</f>
        <v/>
      </c>
      <c r="H125" s="10" t="n">
        <v>97.3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99.1534</v>
      </c>
      <c r="M125" s="12">
        <f>IF(COUNT(L120:L125)=6,(AVERAGE(L123:L125)/AVERAGE(L120:L122))^4-1,"")</f>
        <v/>
      </c>
      <c r="N125" s="10" t="n">
        <v>97.7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99.05929999999999</v>
      </c>
      <c r="S125" s="12">
        <f>IF(COUNT(R120:R125)=6,(AVERAGE(R123:R125)/AVERAGE(R120:R122))^4-1,"")</f>
        <v/>
      </c>
      <c r="T125" s="10" t="n">
        <v>99.09999999999999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99.7711</v>
      </c>
      <c r="Y125" s="12">
        <f>IF(COUNT(X120:X125)=6,(AVERAGE(X123:X125)/AVERAGE(X120:X122))^4-1,"")</f>
        <v/>
      </c>
      <c r="Z125" s="10" t="n">
        <v>97.7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98.69119999999999</v>
      </c>
      <c r="AE125" s="12">
        <f>IF(COUNT(AD120:AD125)=6,(AVERAGE(AD123:AD125)/AVERAGE(AD120:AD122))^4-1,"")</f>
        <v/>
      </c>
      <c r="AF125" s="10" t="n">
        <v>98.90000000000001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98.79259999999999</v>
      </c>
      <c r="AK125" s="12">
        <f>IF(COUNT(AJ120:AJ125)=6,(AVERAGE(AJ123:AJ125)/AVERAGE(AJ120:AJ122))^4-1,"")</f>
        <v/>
      </c>
      <c r="AL125" s="10" t="n">
        <v>105.4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102.0393</v>
      </c>
      <c r="AQ125" s="12">
        <f>IF(COUNT(AP120:AP125)=6,(AVERAGE(AP123:AP125)/AVERAGE(AP120:AP122))^4-1,"")</f>
        <v/>
      </c>
      <c r="AR125" s="10" t="n">
        <v>99.59999999999999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100.3731</v>
      </c>
      <c r="AW125" s="12">
        <f>IF(COUNT(AV120:AV125)=6,(AVERAGE(AV123:AV125)/AVERAGE(AV120:AV122))^4-1,"")</f>
        <v/>
      </c>
    </row>
    <row r="126">
      <c r="A126" s="9" t="n">
        <v>45689</v>
      </c>
      <c r="B126" s="10" t="n">
        <v>98.5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99.4599</v>
      </c>
      <c r="G126" s="12">
        <f>IF(COUNT(F121:F126)=6,(AVERAGE(F124:F126)/AVERAGE(F121:F123))^4-1,"")</f>
        <v/>
      </c>
      <c r="H126" s="10" t="n">
        <v>97.09999999999999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98.75</v>
      </c>
      <c r="M126" s="12">
        <f>IF(COUNT(L121:L126)=6,(AVERAGE(L124:L126)/AVERAGE(L121:L123))^4-1,"")</f>
        <v/>
      </c>
      <c r="N126" s="10" t="n">
        <v>97.59999999999999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98.76609999999999</v>
      </c>
      <c r="S126" s="12">
        <f>IF(COUNT(R121:R126)=6,(AVERAGE(R124:R126)/AVERAGE(R121:R123))^4-1,"")</f>
        <v/>
      </c>
      <c r="T126" s="10" t="n">
        <v>99.09999999999999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99.9085</v>
      </c>
      <c r="Y126" s="12">
        <f>IF(COUNT(X121:X126)=6,(AVERAGE(X124:X126)/AVERAGE(X121:X123))^4-1,"")</f>
        <v/>
      </c>
      <c r="Z126" s="10" t="n">
        <v>97.8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98.8244</v>
      </c>
      <c r="AE126" s="12">
        <f>IF(COUNT(AD121:AD126)=6,(AVERAGE(AD124:AD126)/AVERAGE(AD121:AD123))^4-1,"")</f>
        <v/>
      </c>
      <c r="AF126" s="10" t="n">
        <v>99.09999999999999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98.90860000000001</v>
      </c>
      <c r="AK126" s="12">
        <f>IF(COUNT(AJ121:AJ126)=6,(AVERAGE(AJ124:AJ126)/AVERAGE(AJ121:AJ123))^4-1,"")</f>
        <v/>
      </c>
      <c r="AL126" s="10" t="n">
        <v>106.2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103.1475</v>
      </c>
      <c r="AQ126" s="12">
        <f>IF(COUNT(AP121:AP126)=6,(AVERAGE(AP124:AP126)/AVERAGE(AP121:AP123))^4-1,"")</f>
        <v/>
      </c>
      <c r="AR126" s="10" t="n">
        <v>99.90000000000001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99.9004</v>
      </c>
      <c r="AW126" s="12">
        <f>IF(COUNT(AV121:AV126)=6,(AVERAGE(AV124:AV126)/AVERAGE(AV121:AV123))^4-1,"")</f>
        <v/>
      </c>
    </row>
    <row r="127">
      <c r="A127" s="9" t="n">
        <v>45717</v>
      </c>
      <c r="B127" s="10" t="n">
        <v>100.1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99.756</v>
      </c>
      <c r="G127" s="12">
        <f>IF(COUNT(F122:F127)=6,(AVERAGE(F125:F127)/AVERAGE(F122:F124))^4-1,"")</f>
        <v/>
      </c>
      <c r="H127" s="10" t="n">
        <v>99.3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99.4898</v>
      </c>
      <c r="M127" s="12">
        <f>IF(COUNT(L122:L127)=6,(AVERAGE(L125:L127)/AVERAGE(L122:L124))^4-1,"")</f>
        <v/>
      </c>
      <c r="N127" s="10" t="n">
        <v>99.3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99.4251</v>
      </c>
      <c r="S127" s="12">
        <f>IF(COUNT(R122:R127)=6,(AVERAGE(R125:R127)/AVERAGE(R122:R124))^4-1,"")</f>
        <v/>
      </c>
      <c r="T127" s="10" t="n">
        <v>101.3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101.2151</v>
      </c>
      <c r="Y127" s="12">
        <f>IF(COUNT(X122:X127)=6,(AVERAGE(X125:X127)/AVERAGE(X122:X124))^4-1,"")</f>
        <v/>
      </c>
      <c r="Z127" s="10" t="n">
        <v>98.40000000000001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99.04519999999999</v>
      </c>
      <c r="AE127" s="12">
        <f>IF(COUNT(AD122:AD127)=6,(AVERAGE(AD125:AD127)/AVERAGE(AD122:AD124))^4-1,"")</f>
        <v/>
      </c>
      <c r="AF127" s="10" t="n">
        <v>99.2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99.0761</v>
      </c>
      <c r="AK127" s="12">
        <f>IF(COUNT(AJ122:AJ127)=6,(AVERAGE(AJ125:AJ127)/AVERAGE(AJ122:AJ124))^4-1,"")</f>
        <v/>
      </c>
      <c r="AL127" s="10" t="n">
        <v>106.6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108.8382</v>
      </c>
      <c r="AQ127" s="12">
        <f>IF(COUNT(AP122:AP127)=6,(AVERAGE(AP125:AP127)/AVERAGE(AP122:AP124))^4-1,"")</f>
        <v/>
      </c>
      <c r="AR127" s="10" t="n">
        <v>99.90000000000001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99.9057</v>
      </c>
      <c r="AW127" s="12">
        <f>IF(COUNT(AV122:AV127)=6,(AVERAGE(AV125:AV127)/AVERAGE(AV122:AV124))^4-1,"")</f>
        <v/>
      </c>
    </row>
    <row r="128">
      <c r="A128" s="9" t="n">
        <v>45748</v>
      </c>
      <c r="B128" s="10" t="n">
        <v>100.5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99.7719</v>
      </c>
      <c r="G128" s="12">
        <f>IF(COUNT(F123:F128)=6,(AVERAGE(F126:F128)/AVERAGE(F123:F125))^4-1,"")</f>
        <v/>
      </c>
      <c r="H128" s="10" t="n">
        <v>100.7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99.7818</v>
      </c>
      <c r="M128" s="12">
        <f>IF(COUNT(L123:L128)=6,(AVERAGE(L126:L128)/AVERAGE(L123:L125))^4-1,"")</f>
        <v/>
      </c>
      <c r="N128" s="10" t="n">
        <v>100.5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99.6966</v>
      </c>
      <c r="S128" s="12">
        <f>IF(COUNT(R123:R128)=6,(AVERAGE(R126:R128)/AVERAGE(R123:R125))^4-1,"")</f>
        <v/>
      </c>
      <c r="T128" s="10" t="n">
        <v>100.9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99.83499999999999</v>
      </c>
      <c r="Y128" s="12">
        <f>IF(COUNT(X123:X128)=6,(AVERAGE(X126:X128)/AVERAGE(X123:X125))^4-1,"")</f>
        <v/>
      </c>
      <c r="Z128" s="10" t="n">
        <v>99.90000000000001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99.6687</v>
      </c>
      <c r="AE128" s="12">
        <f>IF(COUNT(AD123:AD128)=6,(AVERAGE(AD126:AD128)/AVERAGE(AD123:AD125))^4-1,"")</f>
        <v/>
      </c>
      <c r="AF128" s="10" t="n">
        <v>99.8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99.2974</v>
      </c>
      <c r="AK128" s="12">
        <f>IF(COUNT(AJ123:AJ128)=6,(AVERAGE(AJ126:AJ128)/AVERAGE(AJ123:AJ125))^4-1,"")</f>
        <v/>
      </c>
      <c r="AL128" s="10" t="n">
        <v>100.3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100.5657</v>
      </c>
      <c r="AQ128" s="12">
        <f>IF(COUNT(AP123:AP128)=6,(AVERAGE(AP126:AP128)/AVERAGE(AP123:AP125))^4-1,"")</f>
        <v/>
      </c>
      <c r="AR128" s="10" t="n">
        <v>100.6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99.5851</v>
      </c>
      <c r="AW128" s="12">
        <f>IF(COUNT(AV123:AV128)=6,(AVERAGE(AV126:AV128)/AVERAGE(AV123:AV125))^4-1,"")</f>
        <v/>
      </c>
    </row>
    <row r="129">
      <c r="A129" s="9" t="n">
        <v>45778</v>
      </c>
      <c r="B129" s="10" t="n">
        <v>100.4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99.8892</v>
      </c>
      <c r="G129" s="12">
        <f>IF(COUNT(F124:F129)=6,(AVERAGE(F127:F129)/AVERAGE(F124:F126))^4-1,"")</f>
        <v/>
      </c>
      <c r="H129" s="10" t="n">
        <v>100.8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99.74290000000001</v>
      </c>
      <c r="M129" s="12">
        <f>IF(COUNT(L124:L129)=6,(AVERAGE(L127:L129)/AVERAGE(L124:L126))^4-1,"")</f>
        <v/>
      </c>
      <c r="N129" s="10" t="n">
        <v>100.7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99.7794</v>
      </c>
      <c r="S129" s="12">
        <f>IF(COUNT(R124:R129)=6,(AVERAGE(R127:R129)/AVERAGE(R124:R126))^4-1,"")</f>
        <v/>
      </c>
      <c r="T129" s="10" t="n">
        <v>100.7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99.9791</v>
      </c>
      <c r="Y129" s="12">
        <f>IF(COUNT(X124:X129)=6,(AVERAGE(X127:X129)/AVERAGE(X124:X126))^4-1,"")</f>
        <v/>
      </c>
      <c r="Z129" s="10" t="n">
        <v>100.1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99.6181</v>
      </c>
      <c r="AE129" s="12">
        <f>IF(COUNT(AD124:AD129)=6,(AVERAGE(AD127:AD129)/AVERAGE(AD124:AD126))^4-1,"")</f>
        <v/>
      </c>
      <c r="AF129" s="10" t="n">
        <v>100.2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99.6177</v>
      </c>
      <c r="AK129" s="12">
        <f>IF(COUNT(AJ124:AJ129)=6,(AVERAGE(AJ127:AJ129)/AVERAGE(AJ124:AJ126))^4-1,"")</f>
        <v/>
      </c>
      <c r="AL129" s="10" t="n">
        <v>98.3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99.2722</v>
      </c>
      <c r="AQ129" s="12">
        <f>IF(COUNT(AP124:AP129)=6,(AVERAGE(AP127:AP129)/AVERAGE(AP124:AP126))^4-1,"")</f>
        <v/>
      </c>
      <c r="AR129" s="10" t="n">
        <v>99.09999999999999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98.661</v>
      </c>
      <c r="AW129" s="12">
        <f>IF(COUNT(AV124:AV129)=6,(AVERAGE(AV127:AV129)/AVERAGE(AV124:AV126))^4-1,"")</f>
        <v/>
      </c>
    </row>
    <row r="130">
      <c r="A130" s="9" t="n">
        <v>45809</v>
      </c>
      <c r="B130" s="10" t="n">
        <v>100.6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99.97709999999999</v>
      </c>
      <c r="G130" s="12">
        <f>IF(COUNT(F125:F130)=6,(AVERAGE(F128:F130)/AVERAGE(F125:F127))^4-1,"")</f>
        <v/>
      </c>
      <c r="H130" s="10" t="n">
        <v>101.3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100.0525</v>
      </c>
      <c r="M130" s="12">
        <f>IF(COUNT(L125:L130)=6,(AVERAGE(L128:L130)/AVERAGE(L125:L127))^4-1,"")</f>
        <v/>
      </c>
      <c r="N130" s="10" t="n">
        <v>101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99.996</v>
      </c>
      <c r="S130" s="12">
        <f>IF(COUNT(R125:R130)=6,(AVERAGE(R128:R130)/AVERAGE(R125:R127))^4-1,"")</f>
        <v/>
      </c>
      <c r="T130" s="10" t="n">
        <v>100.6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99.9547</v>
      </c>
      <c r="Y130" s="12">
        <f>IF(COUNT(X125:X130)=6,(AVERAGE(X128:X130)/AVERAGE(X125:X127))^4-1,"")</f>
        <v/>
      </c>
      <c r="Z130" s="10" t="n">
        <v>100.7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99.92789999999999</v>
      </c>
      <c r="AE130" s="12">
        <f>IF(COUNT(AD125:AD130)=6,(AVERAGE(AD128:AD130)/AVERAGE(AD125:AD127))^4-1,"")</f>
        <v/>
      </c>
      <c r="AF130" s="10" t="n">
        <v>100.3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100.1185</v>
      </c>
      <c r="AK130" s="12">
        <f>IF(COUNT(AJ125:AJ130)=6,(AVERAGE(AJ128:AJ130)/AVERAGE(AJ125:AJ127))^4-1,"")</f>
        <v/>
      </c>
      <c r="AL130" s="10" t="n">
        <v>97.5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99.94540000000001</v>
      </c>
      <c r="AQ130" s="12">
        <f>IF(COUNT(AP125:AP130)=6,(AVERAGE(AP128:AP130)/AVERAGE(AP125:AP127))^4-1,"")</f>
        <v/>
      </c>
      <c r="AR130" s="10" t="n">
        <v>99.90000000000001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99.71899999999999</v>
      </c>
      <c r="AW130" s="12">
        <f>IF(COUNT(AV125:AV130)=6,(AVERAGE(AV128:AV130)/AVERAGE(AV125:AV127))^4-1,"")</f>
        <v/>
      </c>
    </row>
    <row r="131">
      <c r="A131" s="9" t="n">
        <v>45839</v>
      </c>
      <c r="B131" s="10" t="n">
        <v>99.7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100.3033</v>
      </c>
      <c r="G131" s="12">
        <f>IF(COUNT(F126:F131)=6,(AVERAGE(F129:F131)/AVERAGE(F126:F128))^4-1,"")</f>
        <v/>
      </c>
      <c r="H131" s="10" t="n">
        <v>99.59999999999999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100.1971</v>
      </c>
      <c r="M131" s="12">
        <f>IF(COUNT(L126:L131)=6,(AVERAGE(L129:L131)/AVERAGE(L126:L128))^4-1,"")</f>
        <v/>
      </c>
      <c r="N131" s="10" t="n">
        <v>99.8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100.3177</v>
      </c>
      <c r="S131" s="12">
        <f>IF(COUNT(R126:R131)=6,(AVERAGE(R129:R131)/AVERAGE(R126:R128))^4-1,"")</f>
        <v/>
      </c>
      <c r="T131" s="10" t="n">
        <v>98.7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100.3588</v>
      </c>
      <c r="Y131" s="12">
        <f>IF(COUNT(X126:X131)=6,(AVERAGE(X129:X131)/AVERAGE(X126:X128))^4-1,"")</f>
        <v/>
      </c>
      <c r="Z131" s="10" t="n">
        <v>101.2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100.1637</v>
      </c>
      <c r="AE131" s="12">
        <f>IF(COUNT(AD126:AD131)=6,(AVERAGE(AD129:AD131)/AVERAGE(AD126:AD128))^4-1,"")</f>
        <v/>
      </c>
      <c r="AF131" s="10" t="n">
        <v>100.3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100.8203</v>
      </c>
      <c r="AK131" s="12">
        <f>IF(COUNT(AJ126:AJ131)=6,(AVERAGE(AJ129:AJ131)/AVERAGE(AJ126:AJ128))^4-1,"")</f>
        <v/>
      </c>
      <c r="AL131" s="10" t="n">
        <v>99.5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100.5271</v>
      </c>
      <c r="AQ131" s="12">
        <f>IF(COUNT(AP126:AP131)=6,(AVERAGE(AP129:AP131)/AVERAGE(AP126:AP128))^4-1,"")</f>
        <v/>
      </c>
      <c r="AR131" s="10" t="n">
        <v>100.8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100.2175</v>
      </c>
      <c r="AW131" s="12">
        <f>IF(COUNT(AV126:AV131)=6,(AVERAGE(AV129:AV131)/AVERAGE(AV126:AV128))^4-1,"")</f>
        <v/>
      </c>
    </row>
    <row r="132">
      <c r="A132" s="9" t="n">
        <v>45870</v>
      </c>
      <c r="B132" s="10" t="n">
        <v>99.5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100.2922</v>
      </c>
      <c r="G132" s="12">
        <f>IF(COUNT(F127:F132)=6,(AVERAGE(F130:F132)/AVERAGE(F127:F129))^4-1,"")</f>
        <v/>
      </c>
      <c r="H132" s="10" t="n">
        <v>99.40000000000001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100.3329</v>
      </c>
      <c r="M132" s="12">
        <f>IF(COUNT(L127:L132)=6,(AVERAGE(L130:L132)/AVERAGE(L127:L129))^4-1,"")</f>
        <v/>
      </c>
      <c r="N132" s="10" t="n">
        <v>99.7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100.5109</v>
      </c>
      <c r="S132" s="12">
        <f>IF(COUNT(R127:R132)=6,(AVERAGE(R130:R132)/AVERAGE(R127:R129))^4-1,"")</f>
        <v/>
      </c>
      <c r="T132" s="10" t="n">
        <v>97.8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99.6217</v>
      </c>
      <c r="Y132" s="12">
        <f>IF(COUNT(X127:X132)=6,(AVERAGE(X130:X132)/AVERAGE(X127:X129))^4-1,"")</f>
        <v/>
      </c>
      <c r="Z132" s="10" t="n">
        <v>101.8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100.6048</v>
      </c>
      <c r="AE132" s="12">
        <f>IF(COUNT(AD127:AD132)=6,(AVERAGE(AD130:AD132)/AVERAGE(AD127:AD129))^4-1,"")</f>
        <v/>
      </c>
      <c r="AF132" s="10" t="n">
        <v>100.5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101.0973</v>
      </c>
      <c r="AK132" s="12">
        <f>IF(COUNT(AJ127:AJ132)=6,(AVERAGE(AJ130:AJ132)/AVERAGE(AJ127:AJ129))^4-1,"")</f>
        <v/>
      </c>
      <c r="AL132" s="10" t="n">
        <v>97.59999999999999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97.56619999999999</v>
      </c>
      <c r="AQ132" s="12">
        <f>IF(COUNT(AP127:AP132)=6,(AVERAGE(AP130:AP132)/AVERAGE(AP127:AP129))^4-1,"")</f>
        <v/>
      </c>
      <c r="AR132" s="10" t="n">
        <v>101.3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99.5673</v>
      </c>
      <c r="AW132" s="12">
        <f>IF(COUNT(AV127:AV132)=6,(AVERAGE(AV130:AV132)/AVERAGE(AV127:AV129))^4-1,"")</f>
        <v/>
      </c>
    </row>
    <row r="133">
      <c r="A133" s="9" t="n">
        <v>45901</v>
      </c>
      <c r="B133" s="10" t="n">
        <v>100.7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100.5787</v>
      </c>
      <c r="G133" s="12">
        <f>IF(COUNT(F128:F133)=6,(AVERAGE(F131:F133)/AVERAGE(F128:F130))^4-1,"")</f>
        <v/>
      </c>
      <c r="H133" s="10" t="n">
        <v>101.3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100.4483</v>
      </c>
      <c r="M133" s="12">
        <f>IF(COUNT(L128:L133)=6,(AVERAGE(L131:L133)/AVERAGE(L128:L130))^4-1,"")</f>
        <v/>
      </c>
      <c r="N133" s="10" t="n">
        <v>101.1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100.5136</v>
      </c>
      <c r="S133" s="12">
        <f>IF(COUNT(R128:R133)=6,(AVERAGE(R131:R133)/AVERAGE(R128:R130))^4-1,"")</f>
        <v/>
      </c>
      <c r="T133" s="10" t="n">
        <v>100.3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100.591</v>
      </c>
      <c r="Y133" s="12">
        <f>IF(COUNT(X128:X133)=6,(AVERAGE(X131:X133)/AVERAGE(X128:X130))^4-1,"")</f>
        <v/>
      </c>
      <c r="Z133" s="10" t="n">
        <v>101.3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100.6338</v>
      </c>
      <c r="AE133" s="12">
        <f>IF(COUNT(AD128:AD133)=6,(AVERAGE(AD131:AD133)/AVERAGE(AD128:AD130))^4-1,"")</f>
        <v/>
      </c>
      <c r="AF133" s="10" t="n">
        <v>100.4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100.6455</v>
      </c>
      <c r="AK133" s="12">
        <f>IF(COUNT(AJ128:AJ133)=6,(AVERAGE(AJ131:AJ133)/AVERAGE(AJ128:AJ130))^4-1,"")</f>
        <v/>
      </c>
      <c r="AL133" s="10" t="n">
        <v>97.59999999999999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95.4105</v>
      </c>
      <c r="AQ133" s="12">
        <f>IF(COUNT(AP128:AP133)=6,(AVERAGE(AP131:AP133)/AVERAGE(AP128:AP130))^4-1,"")</f>
        <v/>
      </c>
      <c r="AR133" s="10" t="n">
        <v>99.7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100.4474</v>
      </c>
      <c r="AW133" s="12">
        <f>IF(COUNT(AV128:AV133)=6,(AVERAGE(AV131:AV133)/AVERAGE(AV128:AV130))^4-1,"")</f>
        <v/>
      </c>
    </row>
    <row r="134">
      <c r="A134" s="9" t="n">
        <v>45931</v>
      </c>
      <c r="B134" s="10" t="n">
        <v>100.6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100.0559</v>
      </c>
      <c r="G134" s="12">
        <f>IF(COUNT(F129:F134)=6,(AVERAGE(F132:F134)/AVERAGE(F129:F131))^4-1,"")</f>
        <v/>
      </c>
      <c r="H134" s="10" t="n">
        <v>101.3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100.5265</v>
      </c>
      <c r="M134" s="12">
        <f>IF(COUNT(L129:L134)=6,(AVERAGE(L132:L134)/AVERAGE(L129:L131))^4-1,"")</f>
        <v/>
      </c>
      <c r="N134" s="10" t="n">
        <v>101.1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100.5403</v>
      </c>
      <c r="S134" s="12">
        <f>IF(COUNT(R129:R134)=6,(AVERAGE(R132:R134)/AVERAGE(R129:R131))^4-1,"")</f>
        <v/>
      </c>
      <c r="T134" s="10" t="n">
        <v>100.4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99.4131</v>
      </c>
      <c r="Y134" s="12">
        <f>IF(COUNT(X129:X134)=6,(AVERAGE(X132:X134)/AVERAGE(X129:X131))^4-1,"")</f>
        <v/>
      </c>
      <c r="Z134" s="10" t="n">
        <v>100.8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100.8536</v>
      </c>
      <c r="AE134" s="12">
        <f>IF(COUNT(AD129:AD134)=6,(AVERAGE(AD132:AD134)/AVERAGE(AD129:AD131))^4-1,"")</f>
        <v/>
      </c>
      <c r="AF134" s="10" t="n">
        <v>100.4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100.4133</v>
      </c>
      <c r="AK134" s="12">
        <f>IF(COUNT(AJ129:AJ134)=6,(AVERAGE(AJ132:AJ134)/AVERAGE(AJ129:AJ131))^4-1,"")</f>
        <v/>
      </c>
      <c r="AL134" s="10" t="n">
        <v>96.5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97.1978</v>
      </c>
      <c r="AQ134" s="12">
        <f>IF(COUNT(AP129:AP134)=6,(AVERAGE(AP132:AP134)/AVERAGE(AP129:AP131))^4-1,"")</f>
        <v/>
      </c>
      <c r="AR134" s="10" t="n">
        <v>99.40000000000001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100.5319</v>
      </c>
      <c r="AW134" s="12">
        <f>IF(COUNT(AV129:AV134)=6,(AVERAGE(AV132:AV134)/AVERAGE(AV129:AV131))^4-1,"")</f>
        <v/>
      </c>
    </row>
    <row r="135">
      <c r="A135" s="9" t="n">
        <v>45962</v>
      </c>
      <c r="B135" s="10" t="n">
        <v>100.3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100.1829</v>
      </c>
      <c r="G135" s="12">
        <f>IF(COUNT(F130:F135)=6,(AVERAGE(F133:F135)/AVERAGE(F130:F132))^4-1,"")</f>
        <v/>
      </c>
      <c r="H135" s="10" t="n">
        <v>100.8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100.7113</v>
      </c>
      <c r="M135" s="12">
        <f>IF(COUNT(L130:L135)=6,(AVERAGE(L133:L135)/AVERAGE(L130:L132))^4-1,"")</f>
        <v/>
      </c>
      <c r="N135" s="10" t="n">
        <v>100.7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100.6787</v>
      </c>
      <c r="S135" s="12">
        <f>IF(COUNT(R130:R135)=6,(AVERAGE(R133:R135)/AVERAGE(R130:R132))^4-1,"")</f>
        <v/>
      </c>
      <c r="T135" s="10" t="n">
        <v>100.5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99.6942</v>
      </c>
      <c r="Y135" s="12">
        <f>IF(COUNT(X130:X135)=6,(AVERAGE(X133:X135)/AVERAGE(X130:X132))^4-1,"")</f>
        <v/>
      </c>
      <c r="Z135" s="10" t="n">
        <v>100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100.9023</v>
      </c>
      <c r="AE135" s="12">
        <f>IF(COUNT(AD130:AD135)=6,(AVERAGE(AD133:AD135)/AVERAGE(AD130:AD132))^4-1,"")</f>
        <v/>
      </c>
      <c r="AF135" s="10" t="n">
        <v>100.4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100.3239</v>
      </c>
      <c r="AK135" s="12">
        <f>IF(COUNT(AJ130:AJ135)=6,(AVERAGE(AJ133:AJ135)/AVERAGE(AJ130:AJ132))^4-1,"")</f>
        <v/>
      </c>
      <c r="AL135" s="10" t="n">
        <v>97.2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97.36709999999999</v>
      </c>
      <c r="AQ135" s="12">
        <f>IF(COUNT(AP130:AP135)=6,(AVERAGE(AP133:AP135)/AVERAGE(AP130:AP132))^4-1,"")</f>
        <v/>
      </c>
      <c r="AR135" s="10" t="n">
        <v>99.2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100.1207</v>
      </c>
      <c r="AW135" s="12">
        <f>IF(COUNT(AV130:AV135)=6,(AVERAGE(AV133:AV135)/AVERAGE(AV130:AV132))^4-1,"")</f>
        <v/>
      </c>
    </row>
    <row r="136">
      <c r="A136" s="9" t="n">
        <v>45992</v>
      </c>
      <c r="B136" s="10" t="n">
        <v>100.5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100.3752</v>
      </c>
      <c r="G136" s="12">
        <f>IF(COUNT(F131:F136)=6,(AVERAGE(F134:F136)/AVERAGE(F131:F133))^4-1,"")</f>
        <v/>
      </c>
      <c r="H136" s="10" t="n">
        <v>101.1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100.8762</v>
      </c>
      <c r="M136" s="12">
        <f>IF(COUNT(L131:L136)=6,(AVERAGE(L134:L136)/AVERAGE(L131:L133))^4-1,"")</f>
        <v/>
      </c>
      <c r="N136" s="10" t="n">
        <v>100.9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100.8728</v>
      </c>
      <c r="S136" s="12">
        <f>IF(COUNT(R131:R136)=6,(AVERAGE(R134:R136)/AVERAGE(R131:R133))^4-1,"")</f>
        <v/>
      </c>
      <c r="T136" s="10" t="n">
        <v>100.6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99.8015</v>
      </c>
      <c r="Y136" s="12">
        <f>IF(COUNT(X131:X136)=6,(AVERAGE(X134:X136)/AVERAGE(X131:X133))^4-1,"")</f>
        <v/>
      </c>
      <c r="Z136" s="10" t="n">
        <v>100.4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101.2119</v>
      </c>
      <c r="AE136" s="12">
        <f>IF(COUNT(AD131:AD136)=6,(AVERAGE(AD134:AD136)/AVERAGE(AD131:AD133))^4-1,"")</f>
        <v/>
      </c>
      <c r="AF136" s="10" t="n">
        <v>100.4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100.7964</v>
      </c>
      <c r="AK136" s="12">
        <f>IF(COUNT(AJ131:AJ136)=6,(AVERAGE(AJ134:AJ136)/AVERAGE(AJ131:AJ133))^4-1,"")</f>
        <v/>
      </c>
      <c r="AL136" s="10" t="n">
        <v>97.3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98.0138</v>
      </c>
      <c r="AQ136" s="12">
        <f>IF(COUNT(AP131:AP136)=6,(AVERAGE(AP134:AP136)/AVERAGE(AP131:AP133))^4-1,"")</f>
        <v/>
      </c>
      <c r="AR136" s="10" t="n">
        <v>100.5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101.2202</v>
      </c>
      <c r="AW136" s="12">
        <f>IF(COUNT(AV131:AV136)=6,(AVERAGE(AV134:AV136)/AVERAGE(AV131:AV133))^4-1,"")</f>
        <v/>
      </c>
    </row>
    <row r="137">
      <c r="A137" s="9" t="n">
        <v>46023</v>
      </c>
      <c r="B137" s="10" t="n">
        <v>99.5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100.3049</v>
      </c>
      <c r="G137" s="12">
        <f>IF(COUNT(F132:F137)=6,(AVERAGE(F135:F137)/AVERAGE(F132:F134))^4-1,"")</f>
        <v/>
      </c>
      <c r="H137" s="10" t="n">
        <v>99.09999999999999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100.9345</v>
      </c>
      <c r="M137" s="12">
        <f>IF(COUNT(L132:L137)=6,(AVERAGE(L135:L137)/AVERAGE(L132:L134))^4-1,"")</f>
        <v/>
      </c>
      <c r="N137" s="10" t="n">
        <v>99.59999999999999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100.9734</v>
      </c>
      <c r="S137" s="12">
        <f>IF(COUNT(R132:R137)=6,(AVERAGE(R135:R137)/AVERAGE(R132:R134))^4-1,"")</f>
        <v/>
      </c>
      <c r="T137" s="10" t="n">
        <v>98.90000000000001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99.404</v>
      </c>
      <c r="Y137" s="12">
        <f>IF(COUNT(X132:X137)=6,(AVERAGE(X135:X137)/AVERAGE(X132:X134))^4-1,"")</f>
        <v/>
      </c>
      <c r="Z137" s="10" t="n">
        <v>100.3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101.3573</v>
      </c>
      <c r="AE137" s="12">
        <f>IF(COUNT(AD132:AD137)=6,(AVERAGE(AD135:AD137)/AVERAGE(AD132:AD134))^4-1,"")</f>
        <v/>
      </c>
      <c r="AF137" s="10" t="n">
        <v>101.1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101.0405</v>
      </c>
      <c r="AK137" s="12">
        <f>IF(COUNT(AJ132:AJ137)=6,(AVERAGE(AJ135:AJ137)/AVERAGE(AJ132:AJ134))^4-1,"")</f>
        <v/>
      </c>
      <c r="AL137" s="10" t="n">
        <v>98.90000000000001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95.4794</v>
      </c>
      <c r="AQ137" s="12">
        <f>IF(COUNT(AP132:AP137)=6,(AVERAGE(AP135:AP137)/AVERAGE(AP132:AP134))^4-1,"")</f>
        <v/>
      </c>
      <c r="AR137" s="10" t="n">
        <v>98.2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98.8717</v>
      </c>
      <c r="AW137" s="12">
        <f>IF(COUNT(AV132:AV137)=6,(AVERAGE(AV135:AV137)/AVERAGE(AV132:AV134))^4-1,"")</f>
        <v/>
      </c>
    </row>
    <row r="138">
      <c r="A138" s="9" t="n">
        <v>46054</v>
      </c>
      <c r="B138" s="10" t="n">
        <v>100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100.8465</v>
      </c>
      <c r="G138" s="12">
        <f>IF(COUNT(F133:F138)=6,(AVERAGE(F136:F138)/AVERAGE(F133:F135))^4-1,"")</f>
        <v/>
      </c>
      <c r="H138" s="10" t="n">
        <v>99.7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101.2746</v>
      </c>
      <c r="M138" s="12">
        <f>IF(COUNT(L133:L138)=6,(AVERAGE(L136:L138)/AVERAGE(L133:L135))^4-1,"")</f>
        <v/>
      </c>
      <c r="N138" s="10" t="n">
        <v>100.2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101.2759</v>
      </c>
      <c r="S138" s="12">
        <f>IF(COUNT(R133:R138)=6,(AVERAGE(R136:R138)/AVERAGE(R133:R135))^4-1,"")</f>
        <v/>
      </c>
      <c r="T138" s="10" t="n">
        <v>98.90000000000001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99.4323</v>
      </c>
      <c r="Y138" s="12">
        <f>IF(COUNT(X133:X138)=6,(AVERAGE(X136:X138)/AVERAGE(X133:X135))^4-1,"")</f>
        <v/>
      </c>
      <c r="Z138" s="10" t="n">
        <v>101.6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102.7126</v>
      </c>
      <c r="AE138" s="12">
        <f>IF(COUNT(AD133:AD138)=6,(AVERAGE(AD136:AD138)/AVERAGE(AD133:AD135))^4-1,"")</f>
        <v/>
      </c>
      <c r="AF138" s="10" t="n">
        <v>101.6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101.3802</v>
      </c>
      <c r="AK138" s="12">
        <f>IF(COUNT(AJ133:AJ138)=6,(AVERAGE(AJ136:AJ138)/AVERAGE(AJ133:AJ135))^4-1,"")</f>
        <v/>
      </c>
      <c r="AL138" s="10" t="n">
        <v>99.2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96.00320000000001</v>
      </c>
      <c r="AQ138" s="12">
        <f>IF(COUNT(AP133:AP138)=6,(AVERAGE(AP136:AP138)/AVERAGE(AP133:AP135))^4-1,"")</f>
        <v/>
      </c>
      <c r="AR138" s="10" t="n">
        <v>99.40000000000001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99.33369999999999</v>
      </c>
      <c r="AW138" s="12">
        <f>IF(COUNT(AV133:AV138)=6,(AVERAGE(AV136:AV138)/AVERAGE(AV133:AV135))^4-1,"")</f>
        <v/>
      </c>
    </row>
    <row r="139">
      <c r="A139" s="9" t="n">
        <v>46082</v>
      </c>
      <c r="B139" s="10" t="n">
        <v>101.7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101.3502</v>
      </c>
      <c r="G139" s="12">
        <f>IF(COUNT(F134:F139)=6,(AVERAGE(F137:F139)/AVERAGE(F134:F136))^4-1,"")</f>
        <v/>
      </c>
      <c r="H139" s="10" t="n">
        <v>101.1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101.3608</v>
      </c>
      <c r="M139" s="12">
        <f>IF(COUNT(L134:L139)=6,(AVERAGE(L137:L139)/AVERAGE(L134:L136))^4-1,"")</f>
        <v/>
      </c>
      <c r="N139" s="10" t="n">
        <v>101.3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101.4866</v>
      </c>
      <c r="S139" s="12">
        <f>IF(COUNT(R134:R139)=6,(AVERAGE(R137:R139)/AVERAGE(R134:R136))^4-1,"")</f>
        <v/>
      </c>
      <c r="T139" s="10" t="n">
        <v>102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102.0974</v>
      </c>
      <c r="Y139" s="12">
        <f>IF(COUNT(X134:X139)=6,(AVERAGE(X137:X139)/AVERAGE(X134:X136))^4-1,"")</f>
        <v/>
      </c>
      <c r="Z139" s="10" t="n">
        <v>101.3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101.9694</v>
      </c>
      <c r="AE139" s="12">
        <f>IF(COUNT(AD134:AD139)=6,(AVERAGE(AD137:AD139)/AVERAGE(AD134:AD136))^4-1,"")</f>
        <v/>
      </c>
      <c r="AF139" s="10" t="n">
        <v>101.9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101.7788</v>
      </c>
      <c r="AK139" s="12">
        <f>IF(COUNT(AJ134:AJ139)=6,(AVERAGE(AJ137:AJ139)/AVERAGE(AJ134:AJ136))^4-1,"")</f>
        <v/>
      </c>
      <c r="AL139" s="10" t="n">
        <v>104.4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107.241</v>
      </c>
      <c r="AQ139" s="12">
        <f>IF(COUNT(AP134:AP139)=6,(AVERAGE(AP137:AP139)/AVERAGE(AP134:AP136))^4-1,"")</f>
        <v/>
      </c>
      <c r="AR139" s="10" t="n">
        <v>101.9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101.8914</v>
      </c>
      <c r="AW139" s="12">
        <f>IF(COUNT(AV134:AV139)=6,(AVERAGE(AV137:AV139)/AVERAGE(AV134:AV136))^4-1,"")</f>
        <v/>
      </c>
    </row>
    <row r="140">
      <c r="A140" s="9" t="n">
        <v>46113</v>
      </c>
      <c r="B140" s="10" t="n">
        <v>103.3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102.5682</v>
      </c>
      <c r="G140" s="12">
        <f>IF(COUNT(F135:F140)=6,(AVERAGE(F138:F140)/AVERAGE(F135:F137))^4-1,"")</f>
        <v/>
      </c>
      <c r="H140" s="10" t="n">
        <v>102.4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101.5041</v>
      </c>
      <c r="M140" s="12">
        <f>IF(COUNT(L135:L140)=6,(AVERAGE(L138:L140)/AVERAGE(L135:L137))^4-1,"")</f>
        <v/>
      </c>
      <c r="N140" s="10" t="n">
        <v>102.5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101.6902</v>
      </c>
      <c r="S140" s="12">
        <f>IF(COUNT(R135:R140)=6,(AVERAGE(R138:R140)/AVERAGE(R135:R137))^4-1,"")</f>
        <v/>
      </c>
      <c r="T140" s="10" t="n">
        <v>104.1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103.0171</v>
      </c>
      <c r="Y140" s="12">
        <f>IF(COUNT(X135:X140)=6,(AVERAGE(X138:X140)/AVERAGE(X135:X137))^4-1,"")</f>
        <v/>
      </c>
      <c r="Z140" s="10" t="n">
        <v>102.2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101.9877</v>
      </c>
      <c r="AE140" s="12">
        <f>IF(COUNT(AD135:AD140)=6,(AVERAGE(AD138:AD140)/AVERAGE(AD135:AD137))^4-1,"")</f>
        <v/>
      </c>
      <c r="AF140" s="10" t="n">
        <v>102.7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102.1221</v>
      </c>
      <c r="AK140" s="12">
        <f>IF(COUNT(AJ135:AJ140)=6,(AVERAGE(AJ138:AJ140)/AVERAGE(AJ135:AJ137))^4-1,"")</f>
        <v/>
      </c>
      <c r="AL140" s="10" t="n">
        <v>109.6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109.932</v>
      </c>
      <c r="AQ140" s="12">
        <f>IF(COUNT(AP135:AP140)=6,(AVERAGE(AP138:AP140)/AVERAGE(AP135:AP137))^4-1,"")</f>
        <v/>
      </c>
      <c r="AR140" s="10" t="n">
        <v>104.4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103.1512</v>
      </c>
      <c r="AW140" s="12">
        <f>IF(COUNT(AV135:AV140)=6,(AVERAGE(AV138:AV140)/AVERAGE(AV135:AV137))^4-1,"")</f>
        <v/>
      </c>
    </row>
    <row r="141">
      <c r="A141" s="9" t="n">
        <v>46143</v>
      </c>
      <c r="B141" s="10" t="n">
        <v>103.6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103.0858</v>
      </c>
      <c r="G141" s="12">
        <f>IF(COUNT(F136:F141)=6,(AVERAGE(F139:F141)/AVERAGE(F136:F138))^4-1,"")</f>
        <v/>
      </c>
      <c r="H141" s="10" t="n">
        <v>102.8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101.7348</v>
      </c>
      <c r="M141" s="12">
        <f>IF(COUNT(L136:L141)=6,(AVERAGE(L139:L141)/AVERAGE(L136:L138))^4-1,"")</f>
        <v/>
      </c>
      <c r="N141" s="10" t="n">
        <v>102.8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101.8748</v>
      </c>
      <c r="S141" s="12">
        <f>IF(COUNT(R136:R141)=6,(AVERAGE(R139:R141)/AVERAGE(R136:R138))^4-1,"")</f>
        <v/>
      </c>
      <c r="T141" s="10" t="n">
        <v>104.2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103.5152</v>
      </c>
      <c r="Y141" s="12">
        <f>IF(COUNT(X136:X141)=6,(AVERAGE(X139:X141)/AVERAGE(X136:X138))^4-1,"")</f>
        <v/>
      </c>
      <c r="Z141" s="10" t="n">
        <v>102.8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102.2571</v>
      </c>
      <c r="AE141" s="12">
        <f>IF(COUNT(AD136:AD141)=6,(AVERAGE(AD139:AD141)/AVERAGE(AD136:AD138))^4-1,"")</f>
        <v/>
      </c>
      <c r="AF141" s="10" t="n">
        <v>102.7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102.0996</v>
      </c>
      <c r="AK141" s="12">
        <f>IF(COUNT(AJ136:AJ141)=6,(AVERAGE(AJ139:AJ141)/AVERAGE(AJ136:AJ138))^4-1,"")</f>
        <v/>
      </c>
      <c r="AL141" s="10" t="n">
        <v>110.1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111.3803</v>
      </c>
      <c r="AQ141" s="12">
        <f>IF(COUNT(AP136:AP141)=6,(AVERAGE(AP139:AP141)/AVERAGE(AP136:AP138))^4-1,"")</f>
        <v/>
      </c>
      <c r="AR141" s="10" t="n">
        <v>104.6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104.0494</v>
      </c>
      <c r="AW141" s="12">
        <f>IF(COUNT(AV136:AV141)=6,(AVERAGE(AV139:AV141)/AVERAGE(AV136:AV138))^4-1,"")</f>
        <v/>
      </c>
    </row>
    <row r="142">
      <c r="A142" s="9" t="n">
        <v>46174</v>
      </c>
      <c r="B142" s="10" t="n">
        <v>103.6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103.0063</v>
      </c>
      <c r="G142" s="12">
        <f>IF(COUNT(F137:F142)=6,(AVERAGE(F140:F142)/AVERAGE(F137:F139))^4-1,"")</f>
        <v/>
      </c>
      <c r="H142" s="10" t="n">
        <v>103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101.7391</v>
      </c>
      <c r="M142" s="12">
        <f>IF(COUNT(L137:L142)=6,(AVERAGE(L140:L142)/AVERAGE(L137:L139))^4-1,"")</f>
        <v/>
      </c>
      <c r="N142" s="10" t="n">
        <v>102.8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101.8002</v>
      </c>
      <c r="S142" s="12">
        <f>IF(COUNT(R137:R142)=6,(AVERAGE(R140:R142)/AVERAGE(R137:R139))^4-1,"")</f>
        <v/>
      </c>
      <c r="T142" s="10" t="n">
        <v>103.9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103.3152</v>
      </c>
      <c r="Y142" s="12">
        <f>IF(COUNT(X137:X142)=6,(AVERAGE(X140:X142)/AVERAGE(X137:X139))^4-1,"")</f>
        <v/>
      </c>
      <c r="Z142" s="10" t="n">
        <v>103.2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102.3709</v>
      </c>
      <c r="AE142" s="12">
        <f>IF(COUNT(AD137:AD142)=6,(AVERAGE(AD140:AD142)/AVERAGE(AD137:AD139))^4-1,"")</f>
        <v/>
      </c>
      <c r="AF142" s="10" t="n">
        <v>102.1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101.9296</v>
      </c>
      <c r="AK142" s="12">
        <f>IF(COUNT(AJ137:AJ142)=6,(AVERAGE(AJ140:AJ142)/AVERAGE(AJ137:AJ139))^4-1,"")</f>
        <v/>
      </c>
      <c r="AL142" s="10" t="n">
        <v>110.1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113.0724</v>
      </c>
      <c r="AQ142" s="12">
        <f>IF(COUNT(AP137:AP142)=6,(AVERAGE(AP140:AP142)/AVERAGE(AP137:AP139))^4-1,"")</f>
        <v/>
      </c>
      <c r="AR142" s="10" t="n">
        <v>104.6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104.4096</v>
      </c>
      <c r="AW142" s="12">
        <f>IF(COUNT(AV137:AV142)=6,(AVERAGE(AV140:AV142)/AVERAGE(AV137:AV139))^4-1,"")</f>
        <v/>
      </c>
    </row>
    <row r="143">
      <c r="A143" s="9" t="n">
        <v>46204</v>
      </c>
      <c r="B143" s="10" t="n">
        <v>102.6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103.1723</v>
      </c>
      <c r="G143" s="12">
        <f>IF(COUNT(F138:F143)=6,(AVERAGE(F141:F143)/AVERAGE(F138:F140))^4-1,"")</f>
        <v/>
      </c>
      <c r="H143" s="10" t="n">
        <v>101.4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101.9362</v>
      </c>
      <c r="M143" s="12">
        <f>IF(COUNT(L138:L143)=6,(AVERAGE(L141:L143)/AVERAGE(L138:L140))^4-1,"")</f>
        <v/>
      </c>
      <c r="N143" s="10" t="n">
        <v>101.5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101.9685</v>
      </c>
      <c r="S143" s="12">
        <f>IF(COUNT(R138:R143)=6,(AVERAGE(R141:R143)/AVERAGE(R138:R140))^4-1,"")</f>
        <v/>
      </c>
      <c r="T143" s="10" t="n">
        <v>101.7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103.3086</v>
      </c>
      <c r="Y143" s="12">
        <f>IF(COUNT(X138:X143)=6,(AVERAGE(X141:X143)/AVERAGE(X138:X140))^4-1,"")</f>
        <v/>
      </c>
      <c r="Z143" s="10" t="n">
        <v>103.7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102.6242</v>
      </c>
      <c r="AE143" s="12">
        <f>IF(COUNT(AD138:AD143)=6,(AVERAGE(AD141:AD143)/AVERAGE(AD138:AD140))^4-1,"")</f>
        <v/>
      </c>
      <c r="AF143" s="10" t="n">
        <v>101.7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102.289</v>
      </c>
      <c r="AK143" s="12">
        <f>IF(COUNT(AJ138:AJ143)=6,(AVERAGE(AJ141:AJ143)/AVERAGE(AJ138:AJ140))^4-1,"")</f>
        <v/>
      </c>
      <c r="AL143" s="10" t="n">
        <v>111.1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112.3355</v>
      </c>
      <c r="AQ143" s="12">
        <f>IF(COUNT(AP138:AP143)=6,(AVERAGE(AP141:AP143)/AVERAGE(AP138:AP140))^4-1,"")</f>
        <v/>
      </c>
      <c r="AR143" s="10" t="n">
        <v>105.1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104.4906</v>
      </c>
      <c r="AW143" s="12">
        <f>IF(COUNT(AV138:AV143)=6,(AVERAGE(AV141:AV143)/AVERAGE(AV138:AV140))^4-1,"")</f>
        <v/>
      </c>
    </row>
    <row r="144">
      <c r="A144" s="9" t="n">
        <v>46235</v>
      </c>
      <c r="B144" s="10" t="n">
        <v>102.7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103.5035</v>
      </c>
      <c r="G144" s="12">
        <f>IF(COUNT(F139:F144)=6,(AVERAGE(F142:F144)/AVERAGE(F139:F141))^4-1,"")</f>
        <v/>
      </c>
      <c r="H144" s="10" t="n">
        <v>101.1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102.0152</v>
      </c>
      <c r="M144" s="12">
        <f>IF(COUNT(L139:L144)=6,(AVERAGE(L142:L144)/AVERAGE(L139:L141))^4-1,"")</f>
        <v/>
      </c>
      <c r="N144" s="10" t="n">
        <v>101.3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102.1017</v>
      </c>
      <c r="S144" s="12">
        <f>IF(COUNT(R139:R144)=6,(AVERAGE(R142:R144)/AVERAGE(R139:R141))^4-1,"")</f>
        <v/>
      </c>
      <c r="T144" s="10" t="n">
        <v>101.8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103.543</v>
      </c>
      <c r="Y144" s="12">
        <f>IF(COUNT(X139:X144)=6,(AVERAGE(X142:X144)/AVERAGE(X139:X141))^4-1,"")</f>
        <v/>
      </c>
      <c r="Z144" s="10" t="n">
        <v>104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102.7786</v>
      </c>
      <c r="AE144" s="12">
        <f>IF(COUNT(AD139:AD144)=6,(AVERAGE(AD142:AD144)/AVERAGE(AD139:AD141))^4-1,"")</f>
        <v/>
      </c>
      <c r="AF144" s="10" t="n">
        <v>101.8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102.47</v>
      </c>
      <c r="AK144" s="12">
        <f>IF(COUNT(AJ139:AJ144)=6,(AVERAGE(AJ142:AJ144)/AVERAGE(AJ139:AJ141))^4-1,"")</f>
        <v/>
      </c>
      <c r="AL144" s="10" t="n">
        <v>114.3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114.1292</v>
      </c>
      <c r="AQ144" s="12">
        <f>IF(COUNT(AP139:AP144)=6,(AVERAGE(AP142:AP144)/AVERAGE(AP139:AP141))^4-1,"")</f>
        <v/>
      </c>
      <c r="AR144" s="10" t="n">
        <v>107.5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105.7721</v>
      </c>
      <c r="AW144" s="12">
        <f>IF(COUNT(AV139:AV144)=6,(AVERAGE(AV142:AV144)/AVERAGE(AV139:AV141))^4-1,"")</f>
        <v/>
      </c>
    </row>
    <row r="145">
      <c r="A145" s="9" t="n">
        <v>46266</v>
      </c>
      <c r="B145" s="10" t="n">
        <v>104.9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104.8555</v>
      </c>
      <c r="G145" s="12">
        <f>IF(COUNT(F140:F145)=6,(AVERAGE(F143:F145)/AVERAGE(F140:F142))^4-1,"")</f>
        <v/>
      </c>
      <c r="H145" s="10" t="n">
        <v>103.2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102.3611</v>
      </c>
      <c r="M145" s="12">
        <f>IF(COUNT(L140:L145)=6,(AVERAGE(L143:L145)/AVERAGE(L140:L142))^4-1,"")</f>
        <v/>
      </c>
      <c r="N145" s="10" t="n">
        <v>103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102.4218</v>
      </c>
      <c r="S145" s="12">
        <f>IF(COUNT(R140:R145)=6,(AVERAGE(R143:R145)/AVERAGE(R140:R142))^4-1,"")</f>
        <v/>
      </c>
      <c r="T145" s="10" t="n">
        <v>105.6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106.06</v>
      </c>
      <c r="Y145" s="12">
        <f>IF(COUNT(X140:X145)=6,(AVERAGE(X143:X145)/AVERAGE(X140:X142))^4-1,"")</f>
        <v/>
      </c>
      <c r="Z145" s="10" t="n">
        <v>103.8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103.0887</v>
      </c>
      <c r="AE145" s="12">
        <f>IF(COUNT(AD140:AD145)=6,(AVERAGE(AD143:AD145)/AVERAGE(AD140:AD142))^4-1,"")</f>
        <v/>
      </c>
      <c r="AF145" s="10" t="n">
        <v>102.3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102.509</v>
      </c>
      <c r="AK145" s="12">
        <f>IF(COUNT(AJ140:AJ145)=6,(AVERAGE(AJ143:AJ145)/AVERAGE(AJ140:AJ142))^4-1,"")</f>
        <v/>
      </c>
      <c r="AL145" s="10" t="n">
        <v>119.7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116.4612</v>
      </c>
      <c r="AQ145" s="12">
        <f>IF(COUNT(AP140:AP145)=6,(AVERAGE(AP143:AP145)/AVERAGE(AP140:AP142))^4-1,"")</f>
        <v/>
      </c>
      <c r="AR145" s="10" t="n">
        <v>108.2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109.1307</v>
      </c>
      <c r="AW145" s="12">
        <f>IF(COUNT(AV140:AV145)=6,(AVERAGE(AV143:AV145)/AVERAGE(AV140:AV142))^4-1,"")</f>
        <v/>
      </c>
    </row>
  </sheetData>
  <mergeCells count="8">
    <mergeCell ref="B3:G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Germania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</row>
    <row r="5">
      <c r="A5" s="9" t="n">
        <v>42005</v>
      </c>
      <c r="B5" s="10" t="n">
        <v>74.40000000000001</v>
      </c>
      <c r="C5" s="11">
        <f>IF(ISNUMBER(B5),B5/B$65*100,"")</f>
        <v/>
      </c>
      <c r="D5" s="12" t="n"/>
      <c r="E5" s="12" t="n"/>
      <c r="F5" s="11" t="n">
        <v>74.98139999999999</v>
      </c>
      <c r="G5" s="12" t="n"/>
      <c r="H5" s="10" t="n">
        <v>78.04000000000001</v>
      </c>
      <c r="I5" s="11">
        <f>IF(ISNUMBER(H5),H5/H$65*100,"")</f>
        <v/>
      </c>
      <c r="J5" s="12" t="n"/>
      <c r="K5" s="12" t="n"/>
      <c r="L5" s="11" t="n">
        <v>79.001</v>
      </c>
      <c r="M5" s="12" t="n"/>
      <c r="N5" s="10" t="n">
        <v>75.66</v>
      </c>
      <c r="O5" s="11">
        <f>IF(ISNUMBER(N5),N5/N$65*100,"")</f>
        <v/>
      </c>
      <c r="P5" s="12" t="n"/>
      <c r="Q5" s="12" t="n"/>
      <c r="R5" s="11" t="n">
        <v>76.41759999999999</v>
      </c>
      <c r="S5" s="12" t="n"/>
      <c r="T5" s="10" t="n">
        <v>73.17</v>
      </c>
      <c r="U5" s="11">
        <f>IF(ISNUMBER(T5),T5/T$65*100,"")</f>
        <v/>
      </c>
      <c r="V5" s="12" t="n"/>
      <c r="W5" s="12" t="n"/>
      <c r="X5" s="11" t="n">
        <v>73.3925</v>
      </c>
      <c r="Y5" s="12" t="n"/>
      <c r="Z5" s="10" t="n">
        <v>76.55</v>
      </c>
      <c r="AA5" s="11">
        <f>IF(ISNUMBER(Z5),Z5/Z$65*100,"")</f>
        <v/>
      </c>
      <c r="AB5" s="12" t="n"/>
      <c r="AC5" s="12" t="n"/>
      <c r="AD5" s="11" t="n">
        <v>77.6399</v>
      </c>
      <c r="AE5" s="12" t="n"/>
      <c r="AF5" s="10" t="n">
        <v>66.65000000000001</v>
      </c>
      <c r="AG5" s="11">
        <f>IF(ISNUMBER(AF5),AF5/AF$65*100,"")</f>
        <v/>
      </c>
      <c r="AH5" s="12" t="n"/>
      <c r="AI5" s="12" t="n"/>
      <c r="AJ5" s="11" t="n">
        <v>66.49160000000001</v>
      </c>
      <c r="AK5" s="12" t="n"/>
      <c r="AL5" s="10" t="n">
        <v>67.42</v>
      </c>
      <c r="AM5" s="11">
        <f>IF(ISNUMBER(AL5),AL5/AL$65*100,"")</f>
        <v/>
      </c>
      <c r="AN5" s="12" t="n"/>
      <c r="AO5" s="12" t="n"/>
      <c r="AP5" s="11" t="n">
        <v>67.4173</v>
      </c>
      <c r="AQ5" s="12" t="n"/>
      <c r="AR5" s="10" t="n">
        <v>73.68000000000001</v>
      </c>
      <c r="AS5" s="11">
        <f>IF(ISNUMBER(AR5),AR5/AR$65*100,"")</f>
        <v/>
      </c>
      <c r="AT5" s="12" t="n"/>
      <c r="AU5" s="12" t="n"/>
      <c r="AV5" s="11" t="n">
        <v>74.09820000000001</v>
      </c>
      <c r="AW5" s="12" t="n"/>
    </row>
    <row r="6">
      <c r="A6" s="9" t="n">
        <v>42036</v>
      </c>
      <c r="B6" s="10" t="n">
        <v>75.09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75.3168</v>
      </c>
      <c r="G6" s="12" t="n"/>
      <c r="H6" s="10" t="n">
        <v>78.67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79.1825</v>
      </c>
      <c r="M6" s="12" t="n"/>
      <c r="N6" s="10" t="n">
        <v>76.23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76.55629999999999</v>
      </c>
      <c r="S6" s="12" t="n"/>
      <c r="T6" s="10" t="n">
        <v>73.75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73.7796</v>
      </c>
      <c r="Y6" s="12" t="n"/>
      <c r="Z6" s="10" t="n">
        <v>77.36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77.9041</v>
      </c>
      <c r="AE6" s="12" t="n"/>
      <c r="AF6" s="10" t="n">
        <v>67.04000000000001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66.8015</v>
      </c>
      <c r="AK6" s="12" t="n"/>
      <c r="AL6" s="10" t="n">
        <v>68.81999999999999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68.9141</v>
      </c>
      <c r="AQ6" s="12" t="n"/>
      <c r="AR6" s="10" t="n">
        <v>74.41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74.8098</v>
      </c>
      <c r="AW6" s="12" t="n"/>
    </row>
    <row r="7">
      <c r="A7" s="9" t="n">
        <v>42064</v>
      </c>
      <c r="B7" s="10" t="n">
        <v>75.56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75.5926</v>
      </c>
      <c r="G7" s="12" t="n"/>
      <c r="H7" s="10" t="n">
        <v>79.18000000000001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79.301</v>
      </c>
      <c r="M7" s="12" t="n"/>
      <c r="N7" s="10" t="n">
        <v>76.64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76.69</v>
      </c>
      <c r="S7" s="12" t="n"/>
      <c r="T7" s="10" t="n">
        <v>74.45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74.3035</v>
      </c>
      <c r="Y7" s="12" t="n"/>
      <c r="Z7" s="10" t="n">
        <v>77.54000000000001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77.9335</v>
      </c>
      <c r="AE7" s="12" t="n"/>
      <c r="AF7" s="10" t="n">
        <v>67.05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66.7775</v>
      </c>
      <c r="AK7" s="12" t="n"/>
      <c r="AL7" s="10" t="n">
        <v>69.79000000000001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70.21639999999999</v>
      </c>
      <c r="AQ7" s="12" t="n"/>
      <c r="AR7" s="10" t="n">
        <v>75.34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75.65770000000001</v>
      </c>
      <c r="AW7" s="12" t="n"/>
    </row>
    <row r="8">
      <c r="A8" s="9" t="n">
        <v>42095</v>
      </c>
      <c r="B8" s="10" t="n">
        <v>75.98999999999999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75.9662</v>
      </c>
      <c r="G8" s="12" t="n"/>
      <c r="H8" s="10" t="n">
        <v>79.62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79.6019</v>
      </c>
      <c r="M8" s="12" t="n"/>
      <c r="N8" s="10" t="n">
        <v>77.08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77.0326</v>
      </c>
      <c r="S8" s="12" t="n"/>
      <c r="T8" s="10" t="n">
        <v>74.73999999999999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74.4139</v>
      </c>
      <c r="Y8" s="12" t="n"/>
      <c r="Z8" s="10" t="n">
        <v>78.16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78.29349999999999</v>
      </c>
      <c r="AE8" s="12" t="n"/>
      <c r="AF8" s="10" t="n">
        <v>67.48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67.1969</v>
      </c>
      <c r="AK8" s="12" t="n"/>
      <c r="AL8" s="10" t="n">
        <v>70.14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70.00369999999999</v>
      </c>
      <c r="AQ8" s="12" t="n"/>
      <c r="AR8" s="10" t="n">
        <v>75.87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75.6835</v>
      </c>
      <c r="AW8" s="12" t="n"/>
    </row>
    <row r="9">
      <c r="A9" s="9" t="n">
        <v>42125</v>
      </c>
      <c r="B9" s="10" t="n">
        <v>76.23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76.1516</v>
      </c>
      <c r="G9" s="12" t="n"/>
      <c r="H9" s="10" t="n">
        <v>79.86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79.7756</v>
      </c>
      <c r="M9" s="12" t="n"/>
      <c r="N9" s="10" t="n">
        <v>77.26000000000001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77.1735</v>
      </c>
      <c r="S9" s="12" t="n"/>
      <c r="T9" s="10" t="n">
        <v>74.79000000000001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74.51819999999999</v>
      </c>
      <c r="Y9" s="12" t="n"/>
      <c r="Z9" s="10" t="n">
        <v>78.65000000000001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78.8034</v>
      </c>
      <c r="AE9" s="12" t="n"/>
      <c r="AF9" s="10" t="n">
        <v>67.45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67.25539999999999</v>
      </c>
      <c r="AK9" s="12" t="n"/>
      <c r="AL9" s="10" t="n">
        <v>70.8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70.4939</v>
      </c>
      <c r="AQ9" s="12" t="n"/>
      <c r="AR9" s="10" t="n">
        <v>76.37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76.1156</v>
      </c>
      <c r="AW9" s="12" t="n"/>
    </row>
    <row r="10">
      <c r="A10" s="9" t="n">
        <v>42156</v>
      </c>
      <c r="B10" s="10" t="n">
        <v>76.19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76.06140000000001</v>
      </c>
      <c r="G10" s="12">
        <f>IF(COUNT(F5:F10)=6,(AVERAGE(F8:F10)/AVERAGE(F5:F7))^4-1,"")</f>
        <v/>
      </c>
      <c r="H10" s="10" t="n">
        <v>79.91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79.73050000000001</v>
      </c>
      <c r="M10" s="12">
        <f>IF(COUNT(L5:L10)=6,(AVERAGE(L8:L10)/AVERAGE(L5:L7))^4-1,"")</f>
        <v/>
      </c>
      <c r="N10" s="10" t="n">
        <v>77.26000000000001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77.0975</v>
      </c>
      <c r="S10" s="12">
        <f>IF(COUNT(R5:R10)=6,(AVERAGE(R8:R10)/AVERAGE(R5:R7))^4-1,"")</f>
        <v/>
      </c>
      <c r="T10" s="10" t="n">
        <v>74.53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74.50360000000001</v>
      </c>
      <c r="Y10" s="12">
        <f>IF(COUNT(X5:X10)=6,(AVERAGE(X8:X10)/AVERAGE(X5:X7))^4-1,"")</f>
        <v/>
      </c>
      <c r="Z10" s="10" t="n">
        <v>78.89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78.5416</v>
      </c>
      <c r="AE10" s="12">
        <f>IF(COUNT(AD5:AD10)=6,(AVERAGE(AD8:AD10)/AVERAGE(AD5:AD7))^4-1,"")</f>
        <v/>
      </c>
      <c r="AF10" s="10" t="n">
        <v>67.27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67.2213</v>
      </c>
      <c r="AK10" s="12">
        <f>IF(COUNT(AJ5:AJ10)=6,(AVERAGE(AJ8:AJ10)/AVERAGE(AJ5:AJ7))^4-1,"")</f>
        <v/>
      </c>
      <c r="AL10" s="10" t="n">
        <v>70.48999999999999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70.1738</v>
      </c>
      <c r="AQ10" s="12">
        <f>IF(COUNT(AP5:AP10)=6,(AVERAGE(AP8:AP10)/AVERAGE(AP5:AP7))^4-1,"")</f>
        <v/>
      </c>
      <c r="AR10" s="10" t="n">
        <v>76.3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76.00700000000001</v>
      </c>
      <c r="AW10" s="12">
        <f>IF(COUNT(AV5:AV10)=6,(AVERAGE(AV8:AV10)/AVERAGE(AV5:AV7))^4-1,"")</f>
        <v/>
      </c>
    </row>
    <row r="11">
      <c r="A11" s="9" t="n">
        <v>42186</v>
      </c>
      <c r="B11" s="10" t="n">
        <v>76.45999999999999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76.0438</v>
      </c>
      <c r="G11" s="12">
        <f>IF(COUNT(F6:F11)=6,(AVERAGE(F9:F11)/AVERAGE(F6:F8))^4-1,"")</f>
        <v/>
      </c>
      <c r="H11" s="10" t="n">
        <v>80.42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79.902</v>
      </c>
      <c r="M11" s="12">
        <f>IF(COUNT(L6:L11)=6,(AVERAGE(L9:L11)/AVERAGE(L6:L8))^4-1,"")</f>
        <v/>
      </c>
      <c r="N11" s="10" t="n">
        <v>77.62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77.1314</v>
      </c>
      <c r="S11" s="12">
        <f>IF(COUNT(R6:R11)=6,(AVERAGE(R9:R11)/AVERAGE(R6:R8))^4-1,"")</f>
        <v/>
      </c>
      <c r="T11" s="10" t="n">
        <v>74.12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74.444</v>
      </c>
      <c r="Y11" s="12">
        <f>IF(COUNT(X6:X11)=6,(AVERAGE(X9:X11)/AVERAGE(X6:X8))^4-1,"")</f>
        <v/>
      </c>
      <c r="Z11" s="10" t="n">
        <v>80.01000000000001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78.73990000000001</v>
      </c>
      <c r="AE11" s="12">
        <f>IF(COUNT(AD6:AD11)=6,(AVERAGE(AD9:AD11)/AVERAGE(AD6:AD8))^4-1,"")</f>
        <v/>
      </c>
      <c r="AF11" s="10" t="n">
        <v>67.06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67.1391</v>
      </c>
      <c r="AK11" s="12">
        <f>IF(COUNT(AJ6:AJ11)=6,(AVERAGE(AJ9:AJ11)/AVERAGE(AJ6:AJ8))^4-1,"")</f>
        <v/>
      </c>
      <c r="AL11" s="10" t="n">
        <v>70.17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69.92489999999999</v>
      </c>
      <c r="AQ11" s="12">
        <f>IF(COUNT(AP6:AP11)=6,(AVERAGE(AP9:AP11)/AVERAGE(AP6:AP8))^4-1,"")</f>
        <v/>
      </c>
      <c r="AR11" s="10" t="n">
        <v>76.62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76.1799</v>
      </c>
      <c r="AW11" s="12">
        <f>IF(COUNT(AV6:AV11)=6,(AVERAGE(AV9:AV11)/AVERAGE(AV6:AV8))^4-1,"")</f>
        <v/>
      </c>
    </row>
    <row r="12">
      <c r="A12" s="9" t="n">
        <v>42217</v>
      </c>
      <c r="B12" s="10" t="n">
        <v>76.43000000000001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76.0834</v>
      </c>
      <c r="G12" s="12">
        <f>IF(COUNT(F7:F12)=6,(AVERAGE(F10:F12)/AVERAGE(F7:F9))^4-1,"")</f>
        <v/>
      </c>
      <c r="H12" s="10" t="n">
        <v>80.67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80.15430000000001</v>
      </c>
      <c r="M12" s="12">
        <f>IF(COUNT(L7:L12)=6,(AVERAGE(L10:L12)/AVERAGE(L7:L9))^4-1,"")</f>
        <v/>
      </c>
      <c r="N12" s="10" t="n">
        <v>77.8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77.364</v>
      </c>
      <c r="S12" s="12">
        <f>IF(COUNT(R7:R12)=6,(AVERAGE(R10:R12)/AVERAGE(R7:R9))^4-1,"")</f>
        <v/>
      </c>
      <c r="T12" s="10" t="n">
        <v>73.95999999999999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74.3137</v>
      </c>
      <c r="Y12" s="12">
        <f>IF(COUNT(X7:X12)=6,(AVERAGE(X10:X12)/AVERAGE(X7:X9))^4-1,"")</f>
        <v/>
      </c>
      <c r="Z12" s="10" t="n">
        <v>80.15000000000001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78.96250000000001</v>
      </c>
      <c r="AE12" s="12">
        <f>IF(COUNT(AD7:AD12)=6,(AVERAGE(AD10:AD12)/AVERAGE(AD7:AD9))^4-1,"")</f>
        <v/>
      </c>
      <c r="AF12" s="10" t="n">
        <v>66.98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67.3077</v>
      </c>
      <c r="AK12" s="12">
        <f>IF(COUNT(AJ7:AJ12)=6,(AVERAGE(AJ10:AJ12)/AVERAGE(AJ7:AJ9))^4-1,"")</f>
        <v/>
      </c>
      <c r="AL12" s="10" t="n">
        <v>68.68000000000001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68.6189</v>
      </c>
      <c r="AQ12" s="12">
        <f>IF(COUNT(AP7:AP12)=6,(AVERAGE(AP10:AP12)/AVERAGE(AP7:AP9))^4-1,"")</f>
        <v/>
      </c>
      <c r="AR12" s="10" t="n">
        <v>75.81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75.5141</v>
      </c>
      <c r="AW12" s="12">
        <f>IF(COUNT(AV7:AV12)=6,(AVERAGE(AV10:AV12)/AVERAGE(AV7:AV9))^4-1,"")</f>
        <v/>
      </c>
    </row>
    <row r="13">
      <c r="A13" s="9" t="n">
        <v>42248</v>
      </c>
      <c r="B13" s="10" t="n">
        <v>76.20999999999999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75.97199999999999</v>
      </c>
      <c r="G13" s="12">
        <f>IF(COUNT(F8:F13)=6,(AVERAGE(F11:F13)/AVERAGE(F8:F10))^4-1,"")</f>
        <v/>
      </c>
      <c r="H13" s="10" t="n">
        <v>80.5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80.0889</v>
      </c>
      <c r="M13" s="12">
        <f>IF(COUNT(L8:L13)=6,(AVERAGE(L11:L13)/AVERAGE(L8:L10))^4-1,"")</f>
        <v/>
      </c>
      <c r="N13" s="10" t="n">
        <v>77.72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77.45829999999999</v>
      </c>
      <c r="S13" s="12">
        <f>IF(COUNT(R8:R13)=6,(AVERAGE(R11:R13)/AVERAGE(R8:R10))^4-1,"")</f>
        <v/>
      </c>
      <c r="T13" s="10" t="n">
        <v>74.16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74.0611</v>
      </c>
      <c r="Y13" s="12">
        <f>IF(COUNT(X8:X13)=6,(AVERAGE(X11:X13)/AVERAGE(X8:X10))^4-1,"")</f>
        <v/>
      </c>
      <c r="Z13" s="10" t="n">
        <v>79.39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78.944</v>
      </c>
      <c r="AE13" s="12">
        <f>IF(COUNT(AD8:AD13)=6,(AVERAGE(AD11:AD13)/AVERAGE(AD8:AD10))^4-1,"")</f>
        <v/>
      </c>
      <c r="AF13" s="10" t="n">
        <v>67.22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67.5022</v>
      </c>
      <c r="AK13" s="12">
        <f>IF(COUNT(AJ8:AJ13)=6,(AVERAGE(AJ11:AJ13)/AVERAGE(AJ8:AJ10))^4-1,"")</f>
        <v/>
      </c>
      <c r="AL13" s="10" t="n">
        <v>67.48999999999999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67.24460000000001</v>
      </c>
      <c r="AQ13" s="12">
        <f>IF(COUNT(AP8:AP13)=6,(AVERAGE(AP11:AP13)/AVERAGE(AP8:AP10))^4-1,"")</f>
        <v/>
      </c>
      <c r="AR13" s="10" t="n">
        <v>74.93000000000001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74.69110000000001</v>
      </c>
      <c r="AW13" s="12">
        <f>IF(COUNT(AV8:AV13)=6,(AVERAGE(AV11:AV13)/AVERAGE(AV8:AV10))^4-1,"")</f>
        <v/>
      </c>
    </row>
    <row r="14">
      <c r="A14" s="9" t="n">
        <v>42278</v>
      </c>
      <c r="B14" s="10" t="n">
        <v>76.17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76.0766</v>
      </c>
      <c r="G14" s="12">
        <f>IF(COUNT(F9:F14)=6,(AVERAGE(F12:F14)/AVERAGE(F9:F11))^4-1,"")</f>
        <v/>
      </c>
      <c r="H14" s="10" t="n">
        <v>80.48999999999999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80.1861</v>
      </c>
      <c r="M14" s="12">
        <f>IF(COUNT(L9:L14)=6,(AVERAGE(L12:L14)/AVERAGE(L9:L11))^4-1,"")</f>
        <v/>
      </c>
      <c r="N14" s="10" t="n">
        <v>77.76000000000001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77.6365</v>
      </c>
      <c r="S14" s="12">
        <f>IF(COUNT(R9:R14)=6,(AVERAGE(R12:R14)/AVERAGE(R9:R11))^4-1,"")</f>
        <v/>
      </c>
      <c r="T14" s="10" t="n">
        <v>74.26000000000001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74.1151</v>
      </c>
      <c r="Y14" s="12">
        <f>IF(COUNT(X9:X14)=6,(AVERAGE(X12:X14)/AVERAGE(X9:X11))^4-1,"")</f>
        <v/>
      </c>
      <c r="Z14" s="10" t="n">
        <v>79.17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79.0788</v>
      </c>
      <c r="AE14" s="12">
        <f>IF(COUNT(AD9:AD14)=6,(AVERAGE(AD12:AD14)/AVERAGE(AD9:AD11))^4-1,"")</f>
        <v/>
      </c>
      <c r="AF14" s="10" t="n">
        <v>67.45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67.72199999999999</v>
      </c>
      <c r="AK14" s="12">
        <f>IF(COUNT(AJ9:AJ14)=6,(AVERAGE(AJ12:AJ14)/AVERAGE(AJ9:AJ11))^4-1,"")</f>
        <v/>
      </c>
      <c r="AL14" s="10" t="n">
        <v>66.92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66.8154</v>
      </c>
      <c r="AQ14" s="12">
        <f>IF(COUNT(AP9:AP14)=6,(AVERAGE(AP12:AP14)/AVERAGE(AP9:AP11))^4-1,"")</f>
        <v/>
      </c>
      <c r="AR14" s="10" t="n">
        <v>74.64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74.6215</v>
      </c>
      <c r="AW14" s="12">
        <f>IF(COUNT(AV9:AV14)=6,(AVERAGE(AV12:AV14)/AVERAGE(AV9:AV11))^4-1,"")</f>
        <v/>
      </c>
    </row>
    <row r="15">
      <c r="A15" s="9" t="n">
        <v>42309</v>
      </c>
      <c r="B15" s="10" t="n">
        <v>75.45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75.81399999999999</v>
      </c>
      <c r="G15" s="12">
        <f>IF(COUNT(F10:F15)=6,(AVERAGE(F13:F15)/AVERAGE(F10:F12))^4-1,"")</f>
        <v/>
      </c>
      <c r="H15" s="10" t="n">
        <v>79.41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79.88509999999999</v>
      </c>
      <c r="M15" s="12">
        <f>IF(COUNT(L10:L15)=6,(AVERAGE(L13:L15)/AVERAGE(L10:L12))^4-1,"")</f>
        <v/>
      </c>
      <c r="N15" s="10" t="n">
        <v>76.92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77.3681</v>
      </c>
      <c r="S15" s="12">
        <f>IF(COUNT(R10:R15)=6,(AVERAGE(R13:R15)/AVERAGE(R10:R12))^4-1,"")</f>
        <v/>
      </c>
      <c r="T15" s="10" t="n">
        <v>74.25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74.1472</v>
      </c>
      <c r="Y15" s="12">
        <f>IF(COUNT(X10:X15)=6,(AVERAGE(X13:X15)/AVERAGE(X10:X12))^4-1,"")</f>
        <v/>
      </c>
      <c r="Z15" s="10" t="n">
        <v>77.56999999999999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78.64570000000001</v>
      </c>
      <c r="AE15" s="12">
        <f>IF(COUNT(AD10:AD15)=6,(AVERAGE(AD13:AD15)/AVERAGE(AD10:AD12))^4-1,"")</f>
        <v/>
      </c>
      <c r="AF15" s="10" t="n">
        <v>67.53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67.746</v>
      </c>
      <c r="AK15" s="12">
        <f>IF(COUNT(AJ10:AJ15)=6,(AVERAGE(AJ13:AJ15)/AVERAGE(AJ10:AJ12))^4-1,"")</f>
        <v/>
      </c>
      <c r="AL15" s="10" t="n">
        <v>67.02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67.1176</v>
      </c>
      <c r="AQ15" s="12">
        <f>IF(COUNT(AP10:AP15)=6,(AVERAGE(AP13:AP15)/AVERAGE(AP10:AP12))^4-1,"")</f>
        <v/>
      </c>
      <c r="AR15" s="10" t="n">
        <v>74.78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74.94589999999999</v>
      </c>
      <c r="AW15" s="12">
        <f>IF(COUNT(AV10:AV15)=6,(AVERAGE(AV13:AV15)/AVERAGE(AV10:AV12))^4-1,"")</f>
        <v/>
      </c>
    </row>
    <row r="16">
      <c r="A16" s="9" t="n">
        <v>42339</v>
      </c>
      <c r="B16" s="10" t="n">
        <v>75.52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75.5581</v>
      </c>
      <c r="G16" s="12">
        <f>IF(COUNT(F11:F16)=6,(AVERAGE(F14:F16)/AVERAGE(F11:F13))^4-1,"")</f>
        <v/>
      </c>
      <c r="H16" s="10" t="n">
        <v>79.90000000000001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79.7777</v>
      </c>
      <c r="M16" s="12">
        <f>IF(COUNT(L11:L16)=6,(AVERAGE(L14:L16)/AVERAGE(L11:L13))^4-1,"")</f>
        <v/>
      </c>
      <c r="N16" s="10" t="n">
        <v>77.27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77.2375</v>
      </c>
      <c r="S16" s="12">
        <f>IF(COUNT(R11:R16)=6,(AVERAGE(R14:R16)/AVERAGE(R11:R13))^4-1,"")</f>
        <v/>
      </c>
      <c r="T16" s="10" t="n">
        <v>73.54000000000001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73.66</v>
      </c>
      <c r="Y16" s="12">
        <f>IF(COUNT(X11:X16)=6,(AVERAGE(X14:X16)/AVERAGE(X11:X13))^4-1,"")</f>
        <v/>
      </c>
      <c r="Z16" s="10" t="n">
        <v>78.59999999999999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78.4499</v>
      </c>
      <c r="AE16" s="12">
        <f>IF(COUNT(AD11:AD16)=6,(AVERAGE(AD14:AD16)/AVERAGE(AD11:AD13))^4-1,"")</f>
        <v/>
      </c>
      <c r="AF16" s="10" t="n">
        <v>67.34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67.3951</v>
      </c>
      <c r="AK16" s="12">
        <f>IF(COUNT(AJ11:AJ16)=6,(AVERAGE(AJ14:AJ16)/AVERAGE(AJ11:AJ13))^4-1,"")</f>
        <v/>
      </c>
      <c r="AL16" s="10" t="n">
        <v>65.13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65.7034</v>
      </c>
      <c r="AQ16" s="12">
        <f>IF(COUNT(AP11:AP16)=6,(AVERAGE(AP14:AP16)/AVERAGE(AP11:AP13))^4-1,"")</f>
        <v/>
      </c>
      <c r="AR16" s="10" t="n">
        <v>74.09999999999999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74.3809</v>
      </c>
      <c r="AW16" s="12">
        <f>IF(COUNT(AV11:AV16)=6,(AVERAGE(AV14:AV16)/AVERAGE(AV11:AV13))^4-1,"")</f>
        <v/>
      </c>
    </row>
    <row r="17">
      <c r="A17" s="9" t="n">
        <v>42370</v>
      </c>
      <c r="B17" s="10" t="n">
        <v>74.67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75.32599999999999</v>
      </c>
      <c r="G17" s="12">
        <f>IF(COUNT(F12:F17)=6,(AVERAGE(F15:F17)/AVERAGE(F12:F14))^4-1,"")</f>
        <v/>
      </c>
      <c r="H17" s="10" t="n">
        <v>78.92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79.9866</v>
      </c>
      <c r="M17" s="12">
        <f>IF(COUNT(L12:L17)=6,(AVERAGE(L15:L17)/AVERAGE(L12:L14))^4-1,"")</f>
        <v/>
      </c>
      <c r="N17" s="10" t="n">
        <v>76.52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77.37439999999999</v>
      </c>
      <c r="S17" s="12">
        <f>IF(COUNT(R12:R17)=6,(AVERAGE(R15:R17)/AVERAGE(R12:R14))^4-1,"")</f>
        <v/>
      </c>
      <c r="T17" s="10" t="n">
        <v>72.97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73.19710000000001</v>
      </c>
      <c r="Y17" s="12">
        <f>IF(COUNT(X12:X17)=6,(AVERAGE(X15:X17)/AVERAGE(X12:X14))^4-1,"")</f>
        <v/>
      </c>
      <c r="Z17" s="10" t="n">
        <v>77.41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78.65260000000001</v>
      </c>
      <c r="AE17" s="12">
        <f>IF(COUNT(AD12:AD17)=6,(AVERAGE(AD15:AD17)/AVERAGE(AD12:AD14))^4-1,"")</f>
        <v/>
      </c>
      <c r="AF17" s="10" t="n">
        <v>67.47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67.303</v>
      </c>
      <c r="AK17" s="12">
        <f>IF(COUNT(AJ12:AJ17)=6,(AVERAGE(AJ15:AJ17)/AVERAGE(AJ12:AJ14))^4-1,"")</f>
        <v/>
      </c>
      <c r="AL17" s="10" t="n">
        <v>63.55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63.5083</v>
      </c>
      <c r="AQ17" s="12">
        <f>IF(COUNT(AP12:AP17)=6,(AVERAGE(AP15:AP17)/AVERAGE(AP12:AP14))^4-1,"")</f>
        <v/>
      </c>
      <c r="AR17" s="10" t="n">
        <v>73.58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74.0072</v>
      </c>
      <c r="AW17" s="12">
        <f>IF(COUNT(AV12:AV17)=6,(AVERAGE(AV15:AV17)/AVERAGE(AV12:AV14))^4-1,"")</f>
        <v/>
      </c>
    </row>
    <row r="18">
      <c r="A18" s="9" t="n">
        <v>42401</v>
      </c>
      <c r="B18" s="10" t="n">
        <v>74.98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75.2885</v>
      </c>
      <c r="G18" s="12">
        <f>IF(COUNT(F13:F18)=6,(AVERAGE(F16:F18)/AVERAGE(F13:F15))^4-1,"")</f>
        <v/>
      </c>
      <c r="H18" s="10" t="n">
        <v>79.39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80.0047</v>
      </c>
      <c r="M18" s="12">
        <f>IF(COUNT(L13:L18)=6,(AVERAGE(L16:L18)/AVERAGE(L13:L15))^4-1,"")</f>
        <v/>
      </c>
      <c r="N18" s="10" t="n">
        <v>76.95999999999999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77.37739999999999</v>
      </c>
      <c r="S18" s="12">
        <f>IF(COUNT(R13:R18)=6,(AVERAGE(R16:R18)/AVERAGE(R13:R15))^4-1,"")</f>
        <v/>
      </c>
      <c r="T18" s="10" t="n">
        <v>73.02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73.07299999999999</v>
      </c>
      <c r="Y18" s="12">
        <f>IF(COUNT(X13:X18)=6,(AVERAGE(X16:X18)/AVERAGE(X13:X15))^4-1,"")</f>
        <v/>
      </c>
      <c r="Z18" s="10" t="n">
        <v>78.04000000000001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78.7217</v>
      </c>
      <c r="AE18" s="12">
        <f>IF(COUNT(AD13:AD18)=6,(AVERAGE(AD16:AD18)/AVERAGE(AD13:AD15))^4-1,"")</f>
        <v/>
      </c>
      <c r="AF18" s="10" t="n">
        <v>67.77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67.5317</v>
      </c>
      <c r="AK18" s="12">
        <f>IF(COUNT(AJ13:AJ18)=6,(AVERAGE(AJ16:AJ18)/AVERAGE(AJ13:AJ15))^4-1,"")</f>
        <v/>
      </c>
      <c r="AL18" s="10" t="n">
        <v>62.97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63.0653</v>
      </c>
      <c r="AQ18" s="12">
        <f>IF(COUNT(AP13:AP18)=6,(AVERAGE(AP16:AP18)/AVERAGE(AP13:AP15))^4-1,"")</f>
        <v/>
      </c>
      <c r="AR18" s="10" t="n">
        <v>73.29000000000001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73.70480000000001</v>
      </c>
      <c r="AW18" s="12">
        <f>IF(COUNT(AV13:AV18)=6,(AVERAGE(AV16:AV18)/AVERAGE(AV13:AV15))^4-1,"")</f>
        <v/>
      </c>
    </row>
    <row r="19">
      <c r="A19" s="9" t="n">
        <v>42430</v>
      </c>
      <c r="B19" s="10" t="n">
        <v>75.67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75.80249999999999</v>
      </c>
      <c r="G19" s="12">
        <f>IF(COUNT(F14:F19)=6,(AVERAGE(F17:F19)/AVERAGE(F14:F16))^4-1,"")</f>
        <v/>
      </c>
      <c r="H19" s="10" t="n">
        <v>80.20999999999999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80.38209999999999</v>
      </c>
      <c r="M19" s="12">
        <f>IF(COUNT(L14:L19)=6,(AVERAGE(L17:L19)/AVERAGE(L14:L16))^4-1,"")</f>
        <v/>
      </c>
      <c r="N19" s="10" t="n">
        <v>77.66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77.77330000000001</v>
      </c>
      <c r="S19" s="12">
        <f>IF(COUNT(R14:R19)=6,(AVERAGE(R17:R19)/AVERAGE(R14:R16))^4-1,"")</f>
        <v/>
      </c>
      <c r="T19" s="10" t="n">
        <v>73.66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73.5825</v>
      </c>
      <c r="Y19" s="12">
        <f>IF(COUNT(X14:X19)=6,(AVERAGE(X17:X19)/AVERAGE(X14:X16))^4-1,"")</f>
        <v/>
      </c>
      <c r="Z19" s="10" t="n">
        <v>78.8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79.2625</v>
      </c>
      <c r="AE19" s="12">
        <f>IF(COUNT(AD14:AD19)=6,(AVERAGE(AD17:AD19)/AVERAGE(AD14:AD16))^4-1,"")</f>
        <v/>
      </c>
      <c r="AF19" s="10" t="n">
        <v>68.03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67.7884</v>
      </c>
      <c r="AK19" s="12">
        <f>IF(COUNT(AJ14:AJ19)=6,(AVERAGE(AJ17:AJ19)/AVERAGE(AJ14:AJ16))^4-1,"")</f>
        <v/>
      </c>
      <c r="AL19" s="10" t="n">
        <v>63.56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64.0787</v>
      </c>
      <c r="AQ19" s="12">
        <f>IF(COUNT(AP14:AP19)=6,(AVERAGE(AP17:AP19)/AVERAGE(AP14:AP16))^4-1,"")</f>
        <v/>
      </c>
      <c r="AR19" s="10" t="n">
        <v>73.59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74.001</v>
      </c>
      <c r="AW19" s="12">
        <f>IF(COUNT(AV14:AV19)=6,(AVERAGE(AV17:AV19)/AVERAGE(AV14:AV16))^4-1,"")</f>
        <v/>
      </c>
    </row>
    <row r="20">
      <c r="A20" s="9" t="n">
        <v>42461</v>
      </c>
      <c r="B20" s="10" t="n">
        <v>75.73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75.7334</v>
      </c>
      <c r="G20" s="12">
        <f>IF(COUNT(F15:F20)=6,(AVERAGE(F18:F20)/AVERAGE(F15:F17))^4-1,"")</f>
        <v/>
      </c>
      <c r="H20" s="10" t="n">
        <v>80.14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80.10599999999999</v>
      </c>
      <c r="M20" s="12">
        <f>IF(COUNT(L15:L20)=6,(AVERAGE(L18:L20)/AVERAGE(L15:L17))^4-1,"")</f>
        <v/>
      </c>
      <c r="N20" s="10" t="n">
        <v>77.65000000000001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77.60809999999999</v>
      </c>
      <c r="S20" s="12">
        <f>IF(COUNT(R15:R20)=6,(AVERAGE(R18:R20)/AVERAGE(R15:R17))^4-1,"")</f>
        <v/>
      </c>
      <c r="T20" s="10" t="n">
        <v>74.05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73.7752</v>
      </c>
      <c r="Y20" s="12">
        <f>IF(COUNT(X15:X20)=6,(AVERAGE(X18:X20)/AVERAGE(X15:X17))^4-1,"")</f>
        <v/>
      </c>
      <c r="Z20" s="10" t="n">
        <v>78.47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78.5826</v>
      </c>
      <c r="AE20" s="12">
        <f>IF(COUNT(AD15:AD20)=6,(AVERAGE(AD18:AD20)/AVERAGE(AD15:AD17))^4-1,"")</f>
        <v/>
      </c>
      <c r="AF20" s="10" t="n">
        <v>68.27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68.0038</v>
      </c>
      <c r="AK20" s="12">
        <f>IF(COUNT(AJ15:AJ20)=6,(AVERAGE(AJ18:AJ20)/AVERAGE(AJ15:AJ17))^4-1,"")</f>
        <v/>
      </c>
      <c r="AL20" s="10" t="n">
        <v>64.16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64.19370000000001</v>
      </c>
      <c r="AQ20" s="12">
        <f>IF(COUNT(AP15:AP20)=6,(AVERAGE(AP18:AP20)/AVERAGE(AP15:AP17))^4-1,"")</f>
        <v/>
      </c>
      <c r="AR20" s="10" t="n">
        <v>74.16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74.093</v>
      </c>
      <c r="AW20" s="12">
        <f>IF(COUNT(AV15:AV20)=6,(AVERAGE(AV18:AV20)/AVERAGE(AV15:AV17))^4-1,"")</f>
        <v/>
      </c>
    </row>
    <row r="21">
      <c r="A21" s="9" t="n">
        <v>42491</v>
      </c>
      <c r="B21" s="10" t="n">
        <v>76.17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76.0825</v>
      </c>
      <c r="G21" s="12">
        <f>IF(COUNT(F16:F21)=6,(AVERAGE(F19:F21)/AVERAGE(F16:F18))^4-1,"")</f>
        <v/>
      </c>
      <c r="H21" s="10" t="n">
        <v>80.65000000000001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80.5304</v>
      </c>
      <c r="M21" s="12">
        <f>IF(COUNT(L16:L21)=6,(AVERAGE(L19:L21)/AVERAGE(L16:L18))^4-1,"")</f>
        <v/>
      </c>
      <c r="N21" s="10" t="n">
        <v>78.01000000000001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77.91160000000001</v>
      </c>
      <c r="S21" s="12">
        <f>IF(COUNT(R16:R21)=6,(AVERAGE(R19:R21)/AVERAGE(R16:R18))^4-1,"")</f>
        <v/>
      </c>
      <c r="T21" s="10" t="n">
        <v>74.15000000000001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73.8871</v>
      </c>
      <c r="Y21" s="12">
        <f>IF(COUNT(X16:X21)=6,(AVERAGE(X19:X21)/AVERAGE(X16:X18))^4-1,"")</f>
        <v/>
      </c>
      <c r="Z21" s="10" t="n">
        <v>79.33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79.4494</v>
      </c>
      <c r="AE21" s="12">
        <f>IF(COUNT(AD16:AD21)=6,(AVERAGE(AD19:AD21)/AVERAGE(AD16:AD18))^4-1,"")</f>
        <v/>
      </c>
      <c r="AF21" s="10" t="n">
        <v>68.06999999999999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67.8887</v>
      </c>
      <c r="AK21" s="12">
        <f>IF(COUNT(AJ16:AJ21)=6,(AVERAGE(AJ19:AJ21)/AVERAGE(AJ16:AJ18))^4-1,"")</f>
        <v/>
      </c>
      <c r="AL21" s="10" t="n">
        <v>65.17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64.8827</v>
      </c>
      <c r="AQ21" s="12">
        <f>IF(COUNT(AP16:AP21)=6,(AVERAGE(AP19:AP21)/AVERAGE(AP16:AP18))^4-1,"")</f>
        <v/>
      </c>
      <c r="AR21" s="10" t="n">
        <v>74.77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74.5401</v>
      </c>
      <c r="AW21" s="12">
        <f>IF(COUNT(AV16:AV21)=6,(AVERAGE(AV19:AV21)/AVERAGE(AV16:AV18))^4-1,"")</f>
        <v/>
      </c>
    </row>
    <row r="22">
      <c r="A22" s="9" t="n">
        <v>42522</v>
      </c>
      <c r="B22" s="10" t="n">
        <v>76.27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76.09059999999999</v>
      </c>
      <c r="G22" s="12">
        <f>IF(COUNT(F17:F22)=6,(AVERAGE(F20:F22)/AVERAGE(F17:F19))^4-1,"")</f>
        <v/>
      </c>
      <c r="H22" s="10" t="n">
        <v>80.7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80.4355</v>
      </c>
      <c r="M22" s="12">
        <f>IF(COUNT(L17:L22)=6,(AVERAGE(L20:L22)/AVERAGE(L17:L19))^4-1,"")</f>
        <v/>
      </c>
      <c r="N22" s="10" t="n">
        <v>78.02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77.8013</v>
      </c>
      <c r="S22" s="12">
        <f>IF(COUNT(R17:R22)=6,(AVERAGE(R20:R22)/AVERAGE(R17:R19))^4-1,"")</f>
        <v/>
      </c>
      <c r="T22" s="10" t="n">
        <v>74.02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73.9905</v>
      </c>
      <c r="Y22" s="12">
        <f>IF(COUNT(X17:X22)=6,(AVERAGE(X20:X22)/AVERAGE(X17:X19))^4-1,"")</f>
        <v/>
      </c>
      <c r="Z22" s="10" t="n">
        <v>79.70999999999999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79.22839999999999</v>
      </c>
      <c r="AE22" s="12">
        <f>IF(COUNT(AD17:AD22)=6,(AVERAGE(AD20:AD22)/AVERAGE(AD17:AD19))^4-1,"")</f>
        <v/>
      </c>
      <c r="AF22" s="10" t="n">
        <v>67.91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67.8805</v>
      </c>
      <c r="AK22" s="12">
        <f>IF(COUNT(AJ17:AJ22)=6,(AVERAGE(AJ20:AJ22)/AVERAGE(AJ17:AJ19))^4-1,"")</f>
        <v/>
      </c>
      <c r="AL22" s="10" t="n">
        <v>65.95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65.6238</v>
      </c>
      <c r="AQ22" s="12">
        <f>IF(COUNT(AP17:AP22)=6,(AVERAGE(AP20:AP22)/AVERAGE(AP17:AP19))^4-1,"")</f>
        <v/>
      </c>
      <c r="AR22" s="10" t="n">
        <v>75.37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75.0667</v>
      </c>
      <c r="AW22" s="12">
        <f>IF(COUNT(AV17:AV22)=6,(AVERAGE(AV20:AV22)/AVERAGE(AV17:AV19))^4-1,"")</f>
        <v/>
      </c>
    </row>
    <row r="23">
      <c r="A23" s="9" t="n">
        <v>42552</v>
      </c>
      <c r="B23" s="10" t="n">
        <v>76.73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76.2276</v>
      </c>
      <c r="G23" s="12">
        <f>IF(COUNT(F18:F23)=6,(AVERAGE(F21:F23)/AVERAGE(F18:F20))^4-1,"")</f>
        <v/>
      </c>
      <c r="H23" s="10" t="n">
        <v>81.44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80.8929</v>
      </c>
      <c r="M23" s="12">
        <f>IF(COUNT(L18:L23)=6,(AVERAGE(L21:L23)/AVERAGE(L18:L20))^4-1,"")</f>
        <v/>
      </c>
      <c r="N23" s="10" t="n">
        <v>78.64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78.0539</v>
      </c>
      <c r="S23" s="12">
        <f>IF(COUNT(R18:R23)=6,(AVERAGE(R21:R23)/AVERAGE(R18:R20))^4-1,"")</f>
        <v/>
      </c>
      <c r="T23" s="10" t="n">
        <v>73.67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73.99339999999999</v>
      </c>
      <c r="Y23" s="12">
        <f>IF(COUNT(X18:X23)=6,(AVERAGE(X21:X23)/AVERAGE(X18:X20))^4-1,"")</f>
        <v/>
      </c>
      <c r="Z23" s="10" t="n">
        <v>81.16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79.7676</v>
      </c>
      <c r="AE23" s="12">
        <f>IF(COUNT(AD18:AD23)=6,(AVERAGE(AD21:AD23)/AVERAGE(AD18:AD20))^4-1,"")</f>
        <v/>
      </c>
      <c r="AF23" s="10" t="n">
        <v>68.06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68.1374</v>
      </c>
      <c r="AK23" s="12">
        <f>IF(COUNT(AJ18:AJ23)=6,(AVERAGE(AJ21:AJ23)/AVERAGE(AJ18:AJ20))^4-1,"")</f>
        <v/>
      </c>
      <c r="AL23" s="10" t="n">
        <v>65.20999999999999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65.0061</v>
      </c>
      <c r="AQ23" s="12">
        <f>IF(COUNT(AP18:AP23)=6,(AVERAGE(AP21:AP23)/AVERAGE(AP18:AP20))^4-1,"")</f>
        <v/>
      </c>
      <c r="AR23" s="10" t="n">
        <v>75.23999999999999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74.7933</v>
      </c>
      <c r="AW23" s="12">
        <f>IF(COUNT(AV18:AV23)=6,(AVERAGE(AV21:AV23)/AVERAGE(AV18:AV20))^4-1,"")</f>
        <v/>
      </c>
    </row>
    <row r="24">
      <c r="A24" s="9" t="n">
        <v>42583</v>
      </c>
      <c r="B24" s="10" t="n">
        <v>76.63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76.2152</v>
      </c>
      <c r="G24" s="12">
        <f>IF(COUNT(F19:F24)=6,(AVERAGE(F22:F24)/AVERAGE(F19:F21))^4-1,"")</f>
        <v/>
      </c>
      <c r="H24" s="10" t="n">
        <v>81.47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80.9414</v>
      </c>
      <c r="M24" s="12">
        <f>IF(COUNT(L19:L24)=6,(AVERAGE(L22:L24)/AVERAGE(L19:L21))^4-1,"")</f>
        <v/>
      </c>
      <c r="N24" s="10" t="n">
        <v>78.61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78.09220000000001</v>
      </c>
      <c r="S24" s="12">
        <f>IF(COUNT(R19:R24)=6,(AVERAGE(R22:R24)/AVERAGE(R19:R21))^4-1,"")</f>
        <v/>
      </c>
      <c r="T24" s="10" t="n">
        <v>73.56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73.91589999999999</v>
      </c>
      <c r="Y24" s="12">
        <f>IF(COUNT(X19:X24)=6,(AVERAGE(X22:X24)/AVERAGE(X19:X21))^4-1,"")</f>
        <v/>
      </c>
      <c r="Z24" s="10" t="n">
        <v>81.08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79.81659999999999</v>
      </c>
      <c r="AE24" s="12">
        <f>IF(COUNT(AD19:AD24)=6,(AVERAGE(AD22:AD24)/AVERAGE(AD19:AD21))^4-1,"")</f>
        <v/>
      </c>
      <c r="AF24" s="10" t="n">
        <v>67.84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68.1566</v>
      </c>
      <c r="AK24" s="12">
        <f>IF(COUNT(AJ19:AJ24)=6,(AVERAGE(AJ22:AJ24)/AVERAGE(AJ19:AJ21))^4-1,"")</f>
        <v/>
      </c>
      <c r="AL24" s="10" t="n">
        <v>64.63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64.64239999999999</v>
      </c>
      <c r="AQ24" s="12">
        <f>IF(COUNT(AP19:AP24)=6,(AVERAGE(AP22:AP24)/AVERAGE(AP19:AP21))^4-1,"")</f>
        <v/>
      </c>
      <c r="AR24" s="10" t="n">
        <v>74.83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74.5596</v>
      </c>
      <c r="AW24" s="12">
        <f>IF(COUNT(AV19:AV24)=6,(AVERAGE(AV22:AV24)/AVERAGE(AV19:AV21))^4-1,"")</f>
        <v/>
      </c>
    </row>
    <row r="25">
      <c r="A25" s="9" t="n">
        <v>42614</v>
      </c>
      <c r="B25" s="10" t="n">
        <v>76.61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76.303</v>
      </c>
      <c r="G25" s="12">
        <f>IF(COUNT(F20:F25)=6,(AVERAGE(F23:F25)/AVERAGE(F20:F22))^4-1,"")</f>
        <v/>
      </c>
      <c r="H25" s="10" t="n">
        <v>81.31999999999999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80.81359999999999</v>
      </c>
      <c r="M25" s="12">
        <f>IF(COUNT(L20:L25)=6,(AVERAGE(L23:L25)/AVERAGE(L20:L22))^4-1,"")</f>
        <v/>
      </c>
      <c r="N25" s="10" t="n">
        <v>78.53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78.18640000000001</v>
      </c>
      <c r="S25" s="12">
        <f>IF(COUNT(R20:R25)=6,(AVERAGE(R23:R25)/AVERAGE(R20:R22))^4-1,"")</f>
        <v/>
      </c>
      <c r="T25" s="10" t="n">
        <v>74.15000000000001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74.04000000000001</v>
      </c>
      <c r="Y25" s="12">
        <f>IF(COUNT(X20:X25)=6,(AVERAGE(X23:X25)/AVERAGE(X20:X22))^4-1,"")</f>
        <v/>
      </c>
      <c r="Z25" s="10" t="n">
        <v>80.3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79.7679</v>
      </c>
      <c r="AE25" s="12">
        <f>IF(COUNT(AD20:AD25)=6,(AVERAGE(AD23:AD25)/AVERAGE(AD20:AD22))^4-1,"")</f>
        <v/>
      </c>
      <c r="AF25" s="10" t="n">
        <v>68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68.2492</v>
      </c>
      <c r="AK25" s="12">
        <f>IF(COUNT(AJ20:AJ25)=6,(AVERAGE(AJ23:AJ25)/AVERAGE(AJ20:AJ22))^4-1,"")</f>
        <v/>
      </c>
      <c r="AL25" s="10" t="n">
        <v>65.04000000000001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64.9391</v>
      </c>
      <c r="AQ25" s="12">
        <f>IF(COUNT(AP20:AP25)=6,(AVERAGE(AP23:AP25)/AVERAGE(AP20:AP22))^4-1,"")</f>
        <v/>
      </c>
      <c r="AR25" s="10" t="n">
        <v>75.04000000000001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74.8566</v>
      </c>
      <c r="AW25" s="12">
        <f>IF(COUNT(AV20:AV25)=6,(AVERAGE(AV23:AV25)/AVERAGE(AV20:AV22))^4-1,"")</f>
        <v/>
      </c>
    </row>
    <row r="26">
      <c r="A26" s="9" t="n">
        <v>42644</v>
      </c>
      <c r="B26" s="10" t="n">
        <v>76.73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76.5587</v>
      </c>
      <c r="G26" s="12">
        <f>IF(COUNT(F21:F26)=6,(AVERAGE(F24:F26)/AVERAGE(F21:F23))^4-1,"")</f>
        <v/>
      </c>
      <c r="H26" s="10" t="n">
        <v>81.31999999999999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80.9195</v>
      </c>
      <c r="M26" s="12">
        <f>IF(COUNT(L21:L26)=6,(AVERAGE(L24:L26)/AVERAGE(L21:L23))^4-1,"")</f>
        <v/>
      </c>
      <c r="N26" s="10" t="n">
        <v>78.53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78.33329999999999</v>
      </c>
      <c r="S26" s="12">
        <f>IF(COUNT(R21:R26)=6,(AVERAGE(R24:R26)/AVERAGE(R21:R23))^4-1,"")</f>
        <v/>
      </c>
      <c r="T26" s="10" t="n">
        <v>74.54000000000001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74.3702</v>
      </c>
      <c r="Y26" s="12">
        <f>IF(COUNT(X21:X26)=6,(AVERAGE(X24:X26)/AVERAGE(X21:X23))^4-1,"")</f>
        <v/>
      </c>
      <c r="Z26" s="10" t="n">
        <v>80.08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79.90260000000001</v>
      </c>
      <c r="AE26" s="12">
        <f>IF(COUNT(AD21:AD26)=6,(AVERAGE(AD24:AD26)/AVERAGE(AD21:AD23))^4-1,"")</f>
        <v/>
      </c>
      <c r="AF26" s="10" t="n">
        <v>67.98999999999999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68.2415</v>
      </c>
      <c r="AK26" s="12">
        <f>IF(COUNT(AJ21:AJ26)=6,(AVERAGE(AJ24:AJ26)/AVERAGE(AJ21:AJ23))^4-1,"")</f>
        <v/>
      </c>
      <c r="AL26" s="10" t="n">
        <v>66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65.8685</v>
      </c>
      <c r="AQ26" s="12">
        <f>IF(COUNT(AP21:AP26)=6,(AVERAGE(AP24:AP26)/AVERAGE(AP21:AP23))^4-1,"")</f>
        <v/>
      </c>
      <c r="AR26" s="10" t="n">
        <v>75.51000000000001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75.46259999999999</v>
      </c>
      <c r="AW26" s="12">
        <f>IF(COUNT(AV21:AV26)=6,(AVERAGE(AV24:AV26)/AVERAGE(AV21:AV23))^4-1,"")</f>
        <v/>
      </c>
    </row>
    <row r="27">
      <c r="A27" s="9" t="n">
        <v>42675</v>
      </c>
      <c r="B27" s="10" t="n">
        <v>76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76.3948</v>
      </c>
      <c r="G27" s="12">
        <f>IF(COUNT(F22:F27)=6,(AVERAGE(F25:F27)/AVERAGE(F22:F24))^4-1,"")</f>
        <v/>
      </c>
      <c r="H27" s="10" t="n">
        <v>80.26000000000001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80.776</v>
      </c>
      <c r="M27" s="12">
        <f>IF(COUNT(L22:L27)=6,(AVERAGE(L25:L27)/AVERAGE(L22:L24))^4-1,"")</f>
        <v/>
      </c>
      <c r="N27" s="10" t="n">
        <v>77.8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78.303</v>
      </c>
      <c r="S27" s="12">
        <f>IF(COUNT(R22:R27)=6,(AVERAGE(R25:R27)/AVERAGE(R22:R24))^4-1,"")</f>
        <v/>
      </c>
      <c r="T27" s="10" t="n">
        <v>74.56999999999999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74.4217</v>
      </c>
      <c r="Y27" s="12">
        <f>IF(COUNT(X22:X27)=6,(AVERAGE(X25:X27)/AVERAGE(X22:X24))^4-1,"")</f>
        <v/>
      </c>
      <c r="Z27" s="10" t="n">
        <v>78.41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79.5641</v>
      </c>
      <c r="AE27" s="12">
        <f>IF(COUNT(AD22:AD27)=6,(AVERAGE(AD25:AD27)/AVERAGE(AD22:AD24))^4-1,"")</f>
        <v/>
      </c>
      <c r="AF27" s="10" t="n">
        <v>68.53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68.74769999999999</v>
      </c>
      <c r="AK27" s="12">
        <f>IF(COUNT(AJ22:AJ27)=6,(AVERAGE(AJ25:AJ27)/AVERAGE(AJ22:AJ24))^4-1,"")</f>
        <v/>
      </c>
      <c r="AL27" s="10" t="n">
        <v>65.27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65.23569999999999</v>
      </c>
      <c r="AQ27" s="12">
        <f>IF(COUNT(AP22:AP27)=6,(AVERAGE(AP25:AP27)/AVERAGE(AP22:AP24))^4-1,"")</f>
        <v/>
      </c>
      <c r="AR27" s="10" t="n">
        <v>75.12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75.16630000000001</v>
      </c>
      <c r="AW27" s="12">
        <f>IF(COUNT(AV22:AV27)=6,(AVERAGE(AV25:AV27)/AVERAGE(AV22:AV24))^4-1,"")</f>
        <v/>
      </c>
    </row>
    <row r="28">
      <c r="A28" s="9" t="n">
        <v>42705</v>
      </c>
      <c r="B28" s="10" t="n">
        <v>76.7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76.79130000000001</v>
      </c>
      <c r="G28" s="12">
        <f>IF(COUNT(F23:F28)=6,(AVERAGE(F26:F28)/AVERAGE(F23:F25))^4-1,"")</f>
        <v/>
      </c>
      <c r="H28" s="10" t="n">
        <v>80.90000000000001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80.86369999999999</v>
      </c>
      <c r="M28" s="12">
        <f>IF(COUNT(L23:L28)=6,(AVERAGE(L26:L28)/AVERAGE(L23:L25))^4-1,"")</f>
        <v/>
      </c>
      <c r="N28" s="10" t="n">
        <v>78.40000000000001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78.4551</v>
      </c>
      <c r="S28" s="12">
        <f>IF(COUNT(R23:R28)=6,(AVERAGE(R26:R28)/AVERAGE(R23:R25))^4-1,"")</f>
        <v/>
      </c>
      <c r="T28" s="10" t="n">
        <v>74.88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74.9511</v>
      </c>
      <c r="Y28" s="12">
        <f>IF(COUNT(X23:X28)=6,(AVERAGE(X26:X28)/AVERAGE(X23:X25))^4-1,"")</f>
        <v/>
      </c>
      <c r="Z28" s="10" t="n">
        <v>79.59999999999999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79.5992</v>
      </c>
      <c r="AE28" s="12">
        <f>IF(COUNT(AD23:AD28)=6,(AVERAGE(AD26:AD28)/AVERAGE(AD23:AD25))^4-1,"")</f>
        <v/>
      </c>
      <c r="AF28" s="10" t="n">
        <v>68.98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69.0544</v>
      </c>
      <c r="AK28" s="12">
        <f>IF(COUNT(AJ23:AJ28)=6,(AVERAGE(AJ26:AJ28)/AVERAGE(AJ23:AJ25))^4-1,"")</f>
        <v/>
      </c>
      <c r="AL28" s="10" t="n">
        <v>66.7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67.1695</v>
      </c>
      <c r="AQ28" s="12">
        <f>IF(COUNT(AP23:AP28)=6,(AVERAGE(AP26:AP28)/AVERAGE(AP23:AP25))^4-1,"")</f>
        <v/>
      </c>
      <c r="AR28" s="10" t="n">
        <v>75.94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76.1225</v>
      </c>
      <c r="AW28" s="12">
        <f>IF(COUNT(AV23:AV28)=6,(AVERAGE(AV26:AV28)/AVERAGE(AV23:AV25))^4-1,"")</f>
        <v/>
      </c>
    </row>
    <row r="29">
      <c r="A29" s="9" t="n">
        <v>42736</v>
      </c>
      <c r="B29" s="10" t="n">
        <v>76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76.73180000000001</v>
      </c>
      <c r="G29" s="12">
        <f>IF(COUNT(F24:F29)=6,(AVERAGE(F27:F29)/AVERAGE(F24:F26))^4-1,"")</f>
        <v/>
      </c>
      <c r="H29" s="10" t="n">
        <v>79.67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80.8185</v>
      </c>
      <c r="M29" s="12">
        <f>IF(COUNT(L24:L29)=6,(AVERAGE(L27:L29)/AVERAGE(L24:L26))^4-1,"")</f>
        <v/>
      </c>
      <c r="N29" s="10" t="n">
        <v>77.51000000000001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78.44929999999999</v>
      </c>
      <c r="S29" s="12">
        <f>IF(COUNT(R24:R29)=6,(AVERAGE(R27:R29)/AVERAGE(R24:R26))^4-1,"")</f>
        <v/>
      </c>
      <c r="T29" s="10" t="n">
        <v>74.81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75.04470000000001</v>
      </c>
      <c r="Y29" s="12">
        <f>IF(COUNT(X24:X29)=6,(AVERAGE(X27:X29)/AVERAGE(X24:X26))^4-1,"")</f>
        <v/>
      </c>
      <c r="Z29" s="10" t="n">
        <v>78.11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79.4906</v>
      </c>
      <c r="AE29" s="12">
        <f>IF(COUNT(AD24:AD29)=6,(AVERAGE(AD27:AD29)/AVERAGE(AD24:AD26))^4-1,"")</f>
        <v/>
      </c>
      <c r="AF29" s="10" t="n">
        <v>69.39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69.22069999999999</v>
      </c>
      <c r="AK29" s="12">
        <f>IF(COUNT(AJ24:AJ29)=6,(AVERAGE(AJ27:AJ29)/AVERAGE(AJ24:AJ26))^4-1,"")</f>
        <v/>
      </c>
      <c r="AL29" s="10" t="n">
        <v>67.34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67.203</v>
      </c>
      <c r="AQ29" s="12">
        <f>IF(COUNT(AP24:AP29)=6,(AVERAGE(AP27:AP29)/AVERAGE(AP24:AP26))^4-1,"")</f>
        <v/>
      </c>
      <c r="AR29" s="10" t="n">
        <v>76.40000000000001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76.83410000000001</v>
      </c>
      <c r="AW29" s="12">
        <f>IF(COUNT(AV24:AV29)=6,(AVERAGE(AV27:AV29)/AVERAGE(AV24:AV26))^4-1,"")</f>
        <v/>
      </c>
    </row>
    <row r="30">
      <c r="A30" s="9" t="n">
        <v>42767</v>
      </c>
      <c r="B30" s="10" t="n">
        <v>76.56999999999999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76.9631</v>
      </c>
      <c r="G30" s="12">
        <f>IF(COUNT(F25:F30)=6,(AVERAGE(F28:F30)/AVERAGE(F25:F27))^4-1,"")</f>
        <v/>
      </c>
      <c r="H30" s="10" t="n">
        <v>80.22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80.92529999999999</v>
      </c>
      <c r="M30" s="12">
        <f>IF(COUNT(L25:L30)=6,(AVERAGE(L28:L30)/AVERAGE(L25:L27))^4-1,"")</f>
        <v/>
      </c>
      <c r="N30" s="10" t="n">
        <v>78.15000000000001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78.6601</v>
      </c>
      <c r="S30" s="12">
        <f>IF(COUNT(R25:R30)=6,(AVERAGE(R28:R30)/AVERAGE(R25:R27))^4-1,"")</f>
        <v/>
      </c>
      <c r="T30" s="10" t="n">
        <v>75.25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75.32470000000001</v>
      </c>
      <c r="Y30" s="12">
        <f>IF(COUNT(X25:X30)=6,(AVERAGE(X28:X30)/AVERAGE(X25:X27))^4-1,"")</f>
        <v/>
      </c>
      <c r="Z30" s="10" t="n">
        <v>78.86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79.68000000000001</v>
      </c>
      <c r="AE30" s="12">
        <f>IF(COUNT(AD25:AD30)=6,(AVERAGE(AD28:AD30)/AVERAGE(AD25:AD27))^4-1,"")</f>
        <v/>
      </c>
      <c r="AF30" s="10" t="n">
        <v>70.33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70.0759</v>
      </c>
      <c r="AK30" s="12">
        <f>IF(COUNT(AJ25:AJ30)=6,(AVERAGE(AJ28:AJ30)/AVERAGE(AJ25:AJ27))^4-1,"")</f>
        <v/>
      </c>
      <c r="AL30" s="10" t="n">
        <v>67.5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67.5519</v>
      </c>
      <c r="AQ30" s="12">
        <f>IF(COUNT(AP25:AP30)=6,(AVERAGE(AP28:AP30)/AVERAGE(AP25:AP27))^4-1,"")</f>
        <v/>
      </c>
      <c r="AR30" s="10" t="n">
        <v>76.73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77.16200000000001</v>
      </c>
      <c r="AW30" s="12">
        <f>IF(COUNT(AV25:AV30)=6,(AVERAGE(AV28:AV30)/AVERAGE(AV25:AV27))^4-1,"")</f>
        <v/>
      </c>
    </row>
    <row r="31">
      <c r="A31" s="9" t="n">
        <v>42795</v>
      </c>
      <c r="B31" s="10" t="n">
        <v>76.78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77.0077</v>
      </c>
      <c r="G31" s="12">
        <f>IF(COUNT(F26:F31)=6,(AVERAGE(F29:F31)/AVERAGE(F26:F28))^4-1,"")</f>
        <v/>
      </c>
      <c r="H31" s="10" t="n">
        <v>80.88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81.1032</v>
      </c>
      <c r="M31" s="12">
        <f>IF(COUNT(L26:L31)=6,(AVERAGE(L29:L31)/AVERAGE(L26:L28))^4-1,"")</f>
        <v/>
      </c>
      <c r="N31" s="10" t="n">
        <v>78.48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78.66849999999999</v>
      </c>
      <c r="S31" s="12">
        <f>IF(COUNT(R26:R31)=6,(AVERAGE(R29:R31)/AVERAGE(R26:R28))^4-1,"")</f>
        <v/>
      </c>
      <c r="T31" s="10" t="n">
        <v>75.41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75.3687</v>
      </c>
      <c r="Y31" s="12">
        <f>IF(COUNT(X26:X31)=6,(AVERAGE(X29:X31)/AVERAGE(X26:X28))^4-1,"")</f>
        <v/>
      </c>
      <c r="Z31" s="10" t="n">
        <v>79.14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79.6566</v>
      </c>
      <c r="AE31" s="12">
        <f>IF(COUNT(AD26:AD31)=6,(AVERAGE(AD29:AD31)/AVERAGE(AD26:AD28))^4-1,"")</f>
        <v/>
      </c>
      <c r="AF31" s="10" t="n">
        <v>69.45999999999999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69.23820000000001</v>
      </c>
      <c r="AK31" s="12">
        <f>IF(COUNT(AJ26:AJ31)=6,(AVERAGE(AJ29:AJ31)/AVERAGE(AJ26:AJ28))^4-1,"")</f>
        <v/>
      </c>
      <c r="AL31" s="10" t="n">
        <v>66.84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67.3505</v>
      </c>
      <c r="AQ31" s="12">
        <f>IF(COUNT(AP26:AP31)=6,(AVERAGE(AP29:AP31)/AVERAGE(AP26:AP28))^4-1,"")</f>
        <v/>
      </c>
      <c r="AR31" s="10" t="n">
        <v>76.43000000000001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76.8635</v>
      </c>
      <c r="AW31" s="12">
        <f>IF(COUNT(AV26:AV31)=6,(AVERAGE(AV29:AV31)/AVERAGE(AV26:AV28))^4-1,"")</f>
        <v/>
      </c>
    </row>
    <row r="32">
      <c r="A32" s="9" t="n">
        <v>42826</v>
      </c>
      <c r="B32" s="10" t="n">
        <v>77.23999999999999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77.2593</v>
      </c>
      <c r="G32" s="12">
        <f>IF(COUNT(F27:F32)=6,(AVERAGE(F30:F32)/AVERAGE(F27:F29))^4-1,"")</f>
        <v/>
      </c>
      <c r="H32" s="10" t="n">
        <v>81.43000000000001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81.38200000000001</v>
      </c>
      <c r="M32" s="12">
        <f>IF(COUNT(L27:L32)=6,(AVERAGE(L30:L32)/AVERAGE(L27:L29))^4-1,"")</f>
        <v/>
      </c>
      <c r="N32" s="10" t="n">
        <v>78.92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78.8858</v>
      </c>
      <c r="S32" s="12">
        <f>IF(COUNT(R27:R32)=6,(AVERAGE(R30:R32)/AVERAGE(R27:R29))^4-1,"")</f>
        <v/>
      </c>
      <c r="T32" s="10" t="n">
        <v>75.59999999999999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75.3575</v>
      </c>
      <c r="Y32" s="12">
        <f>IF(COUNT(X27:X32)=6,(AVERAGE(X30:X32)/AVERAGE(X27:X29))^4-1,"")</f>
        <v/>
      </c>
      <c r="Z32" s="10" t="n">
        <v>79.92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80.01519999999999</v>
      </c>
      <c r="AE32" s="12">
        <f>IF(COUNT(AD27:AD32)=6,(AVERAGE(AD30:AD32)/AVERAGE(AD27:AD29))^4-1,"")</f>
        <v/>
      </c>
      <c r="AF32" s="10" t="n">
        <v>69.48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69.2039</v>
      </c>
      <c r="AK32" s="12">
        <f>IF(COUNT(AJ27:AJ32)=6,(AVERAGE(AJ30:AJ32)/AVERAGE(AJ27:AJ29))^4-1,"")</f>
        <v/>
      </c>
      <c r="AL32" s="10" t="n">
        <v>67.42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67.5215</v>
      </c>
      <c r="AQ32" s="12">
        <f>IF(COUNT(AP27:AP32)=6,(AVERAGE(AP30:AP32)/AVERAGE(AP27:AP29))^4-1,"")</f>
        <v/>
      </c>
      <c r="AR32" s="10" t="n">
        <v>76.93000000000001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76.9395</v>
      </c>
      <c r="AW32" s="12">
        <f>IF(COUNT(AV27:AV32)=6,(AVERAGE(AV30:AV32)/AVERAGE(AV27:AV29))^4-1,"")</f>
        <v/>
      </c>
    </row>
    <row r="33">
      <c r="A33" s="9" t="n">
        <v>42856</v>
      </c>
      <c r="B33" s="10" t="n">
        <v>77.2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77.1091</v>
      </c>
      <c r="G33" s="12">
        <f>IF(COUNT(F28:F33)=6,(AVERAGE(F31:F33)/AVERAGE(F28:F30))^4-1,"")</f>
        <v/>
      </c>
      <c r="H33" s="10" t="n">
        <v>81.51000000000001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81.36450000000001</v>
      </c>
      <c r="M33" s="12">
        <f>IF(COUNT(L28:L33)=6,(AVERAGE(L31:L33)/AVERAGE(L28:L30))^4-1,"")</f>
        <v/>
      </c>
      <c r="N33" s="10" t="n">
        <v>79.01000000000001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78.9072</v>
      </c>
      <c r="S33" s="12">
        <f>IF(COUNT(R28:R33)=6,(AVERAGE(R31:R33)/AVERAGE(R28:R30))^4-1,"")</f>
        <v/>
      </c>
      <c r="T33" s="10" t="n">
        <v>75.43000000000001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75.17140000000001</v>
      </c>
      <c r="Y33" s="12">
        <f>IF(COUNT(X28:X33)=6,(AVERAGE(X31:X33)/AVERAGE(X28:X30))^4-1,"")</f>
        <v/>
      </c>
      <c r="Z33" s="10" t="n">
        <v>80.06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80.1503</v>
      </c>
      <c r="AE33" s="12">
        <f>IF(COUNT(AD28:AD33)=6,(AVERAGE(AD31:AD33)/AVERAGE(AD28:AD30))^4-1,"")</f>
        <v/>
      </c>
      <c r="AF33" s="10" t="n">
        <v>69.59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69.413</v>
      </c>
      <c r="AK33" s="12">
        <f>IF(COUNT(AJ28:AJ33)=6,(AVERAGE(AJ31:AJ33)/AVERAGE(AJ28:AJ30))^4-1,"")</f>
        <v/>
      </c>
      <c r="AL33" s="10" t="n">
        <v>66.47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66.1605</v>
      </c>
      <c r="AQ33" s="12">
        <f>IF(COUNT(AP28:AP33)=6,(AVERAGE(AP31:AP33)/AVERAGE(AP28:AP30))^4-1,"")</f>
        <v/>
      </c>
      <c r="AR33" s="10" t="n">
        <v>76.47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76.2688</v>
      </c>
      <c r="AW33" s="12">
        <f>IF(COUNT(AV28:AV33)=6,(AVERAGE(AV31:AV33)/AVERAGE(AV28:AV30))^4-1,"")</f>
        <v/>
      </c>
    </row>
    <row r="34">
      <c r="A34" s="9" t="n">
        <v>42887</v>
      </c>
      <c r="B34" s="10" t="n">
        <v>77.54000000000001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77.30889999999999</v>
      </c>
      <c r="G34" s="12">
        <f>IF(COUNT(F29:F34)=6,(AVERAGE(F32:F34)/AVERAGE(F29:F31))^4-1,"")</f>
        <v/>
      </c>
      <c r="H34" s="10" t="n">
        <v>82.08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81.73990000000001</v>
      </c>
      <c r="M34" s="12">
        <f>IF(COUNT(L29:L34)=6,(AVERAGE(L32:L34)/AVERAGE(L29:L31))^4-1,"")</f>
        <v/>
      </c>
      <c r="N34" s="10" t="n">
        <v>79.47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79.1944</v>
      </c>
      <c r="S34" s="12">
        <f>IF(COUNT(R29:R34)=6,(AVERAGE(R32:R34)/AVERAGE(R29:R31))^4-1,"")</f>
        <v/>
      </c>
      <c r="T34" s="10" t="n">
        <v>75.05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75.0266</v>
      </c>
      <c r="Y34" s="12">
        <f>IF(COUNT(X29:X34)=6,(AVERAGE(X32:X34)/AVERAGE(X29:X31))^4-1,"")</f>
        <v/>
      </c>
      <c r="Z34" s="10" t="n">
        <v>81.27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80.66849999999999</v>
      </c>
      <c r="AE34" s="12">
        <f>IF(COUNT(AD29:AD34)=6,(AVERAGE(AD32:AD34)/AVERAGE(AD29:AD31))^4-1,"")</f>
        <v/>
      </c>
      <c r="AF34" s="10" t="n">
        <v>69.62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69.61199999999999</v>
      </c>
      <c r="AK34" s="12">
        <f>IF(COUNT(AJ29:AJ34)=6,(AVERAGE(AJ32:AJ34)/AVERAGE(AJ29:AJ31))^4-1,"")</f>
        <v/>
      </c>
      <c r="AL34" s="10" t="n">
        <v>65.92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65.5917</v>
      </c>
      <c r="AQ34" s="12">
        <f>IF(COUNT(AP29:AP34)=6,(AVERAGE(AP32:AP34)/AVERAGE(AP29:AP31))^4-1,"")</f>
        <v/>
      </c>
      <c r="AR34" s="10" t="n">
        <v>76.40000000000001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76.1263</v>
      </c>
      <c r="AW34" s="12">
        <f>IF(COUNT(AV29:AV34)=6,(AVERAGE(AV32:AV34)/AVERAGE(AV29:AV31))^4-1,"")</f>
        <v/>
      </c>
    </row>
    <row r="35">
      <c r="A35" s="9" t="n">
        <v>42917</v>
      </c>
      <c r="B35" s="10" t="n">
        <v>78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77.4174</v>
      </c>
      <c r="G35" s="12">
        <f>IF(COUNT(F30:F35)=6,(AVERAGE(F33:F35)/AVERAGE(F30:F32))^4-1,"")</f>
        <v/>
      </c>
      <c r="H35" s="10" t="n">
        <v>82.73999999999999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82.166</v>
      </c>
      <c r="M35" s="12">
        <f>IF(COUNT(L30:L35)=6,(AVERAGE(L33:L35)/AVERAGE(L30:L32))^4-1,"")</f>
        <v/>
      </c>
      <c r="N35" s="10" t="n">
        <v>80.02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79.3352</v>
      </c>
      <c r="S35" s="12">
        <f>IF(COUNT(R30:R35)=6,(AVERAGE(R33:R35)/AVERAGE(R30:R32))^4-1,"")</f>
        <v/>
      </c>
      <c r="T35" s="10" t="n">
        <v>74.83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75.17700000000001</v>
      </c>
      <c r="Y35" s="12">
        <f>IF(COUNT(X30:X35)=6,(AVERAGE(X33:X35)/AVERAGE(X30:X32))^4-1,"")</f>
        <v/>
      </c>
      <c r="Z35" s="10" t="n">
        <v>82.59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81.0599</v>
      </c>
      <c r="AE35" s="12">
        <f>IF(COUNT(AD30:AD35)=6,(AVERAGE(AD33:AD35)/AVERAGE(AD30:AD32))^4-1,"")</f>
        <v/>
      </c>
      <c r="AF35" s="10" t="n">
        <v>69.79000000000001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69.8693</v>
      </c>
      <c r="AK35" s="12">
        <f>IF(COUNT(AJ30:AJ35)=6,(AVERAGE(AJ33:AJ35)/AVERAGE(AJ30:AJ32))^4-1,"")</f>
        <v/>
      </c>
      <c r="AL35" s="10" t="n">
        <v>65.73999999999999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65.6078</v>
      </c>
      <c r="AQ35" s="12">
        <f>IF(COUNT(AP30:AP35)=6,(AVERAGE(AP33:AP35)/AVERAGE(AP30:AP32))^4-1,"")</f>
        <v/>
      </c>
      <c r="AR35" s="10" t="n">
        <v>76.53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76.0964</v>
      </c>
      <c r="AW35" s="12">
        <f>IF(COUNT(AV30:AV35)=6,(AVERAGE(AV33:AV35)/AVERAGE(AV30:AV32))^4-1,"")</f>
        <v/>
      </c>
    </row>
    <row r="36">
      <c r="A36" s="9" t="n">
        <v>42948</v>
      </c>
      <c r="B36" s="10" t="n">
        <v>78.08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77.60760000000001</v>
      </c>
      <c r="G36" s="12">
        <f>IF(COUNT(F31:F36)=6,(AVERAGE(F34:F36)/AVERAGE(F31:F33))^4-1,"")</f>
        <v/>
      </c>
      <c r="H36" s="10" t="n">
        <v>82.81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82.2753</v>
      </c>
      <c r="M36" s="12">
        <f>IF(COUNT(L31:L36)=6,(AVERAGE(L34:L36)/AVERAGE(L31:L33))^4-1,"")</f>
        <v/>
      </c>
      <c r="N36" s="10" t="n">
        <v>80.06999999999999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79.4712</v>
      </c>
      <c r="S36" s="12">
        <f>IF(COUNT(R31:R36)=6,(AVERAGE(R34:R36)/AVERAGE(R31:R33))^4-1,"")</f>
        <v/>
      </c>
      <c r="T36" s="10" t="n">
        <v>75.01000000000001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75.3806</v>
      </c>
      <c r="Y36" s="12">
        <f>IF(COUNT(X31:X36)=6,(AVERAGE(X34:X36)/AVERAGE(X31:X33))^4-1,"")</f>
        <v/>
      </c>
      <c r="Z36" s="10" t="n">
        <v>82.54000000000001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81.19070000000001</v>
      </c>
      <c r="AE36" s="12">
        <f>IF(COUNT(AD31:AD36)=6,(AVERAGE(AD34:AD36)/AVERAGE(AD31:AD33))^4-1,"")</f>
        <v/>
      </c>
      <c r="AF36" s="10" t="n">
        <v>69.73999999999999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70.0528</v>
      </c>
      <c r="AK36" s="12">
        <f>IF(COUNT(AJ31:AJ36)=6,(AVERAGE(AJ34:AJ36)/AVERAGE(AJ31:AJ33))^4-1,"")</f>
        <v/>
      </c>
      <c r="AL36" s="10" t="n">
        <v>66.05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66.2171</v>
      </c>
      <c r="AQ36" s="12">
        <f>IF(COUNT(AP31:AP36)=6,(AVERAGE(AP34:AP36)/AVERAGE(AP31:AP33))^4-1,"")</f>
        <v/>
      </c>
      <c r="AR36" s="10" t="n">
        <v>76.70999999999999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76.4843</v>
      </c>
      <c r="AW36" s="12">
        <f>IF(COUNT(AV31:AV36)=6,(AVERAGE(AV34:AV36)/AVERAGE(AV31:AV33))^4-1,"")</f>
        <v/>
      </c>
    </row>
    <row r="37">
      <c r="A37" s="9" t="n">
        <v>42979</v>
      </c>
      <c r="B37" s="10" t="n">
        <v>78.06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77.6829</v>
      </c>
      <c r="G37" s="12">
        <f>IF(COUNT(F32:F37)=6,(AVERAGE(F35:F37)/AVERAGE(F32:F34))^4-1,"")</f>
        <v/>
      </c>
      <c r="H37" s="10" t="n">
        <v>82.59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82.02760000000001</v>
      </c>
      <c r="M37" s="12">
        <f>IF(COUNT(L32:L37)=6,(AVERAGE(L35:L37)/AVERAGE(L32:L34))^4-1,"")</f>
        <v/>
      </c>
      <c r="N37" s="10" t="n">
        <v>79.94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79.529</v>
      </c>
      <c r="S37" s="12">
        <f>IF(COUNT(R32:R37)=6,(AVERAGE(R35:R37)/AVERAGE(R32:R34))^4-1,"")</f>
        <v/>
      </c>
      <c r="T37" s="10" t="n">
        <v>75.7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75.5895</v>
      </c>
      <c r="Y37" s="12">
        <f>IF(COUNT(X32:X37)=6,(AVERAGE(X35:X37)/AVERAGE(X32:X34))^4-1,"")</f>
        <v/>
      </c>
      <c r="Z37" s="10" t="n">
        <v>81.66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81.07559999999999</v>
      </c>
      <c r="AE37" s="12">
        <f>IF(COUNT(AD32:AD37)=6,(AVERAGE(AD35:AD37)/AVERAGE(AD32:AD34))^4-1,"")</f>
        <v/>
      </c>
      <c r="AF37" s="10" t="n">
        <v>69.95999999999999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70.1906</v>
      </c>
      <c r="AK37" s="12">
        <f>IF(COUNT(AJ32:AJ37)=6,(AVERAGE(AJ35:AJ37)/AVERAGE(AJ32:AJ34))^4-1,"")</f>
        <v/>
      </c>
      <c r="AL37" s="10" t="n">
        <v>66.84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66.9868</v>
      </c>
      <c r="AQ37" s="12">
        <f>IF(COUNT(AP32:AP37)=6,(AVERAGE(AP35:AP37)/AVERAGE(AP32:AP34))^4-1,"")</f>
        <v/>
      </c>
      <c r="AR37" s="10" t="n">
        <v>76.98999999999999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76.9113</v>
      </c>
      <c r="AW37" s="12">
        <f>IF(COUNT(AV32:AV37)=6,(AVERAGE(AV35:AV37)/AVERAGE(AV32:AV34))^4-1,"")</f>
        <v/>
      </c>
    </row>
    <row r="38">
      <c r="A38" s="9" t="n">
        <v>43009</v>
      </c>
      <c r="B38" s="10" t="n">
        <v>77.86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77.59910000000001</v>
      </c>
      <c r="G38" s="12">
        <f>IF(COUNT(F33:F38)=6,(AVERAGE(F36:F38)/AVERAGE(F33:F35))^4-1,"")</f>
        <v/>
      </c>
      <c r="H38" s="10" t="n">
        <v>82.19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81.72069999999999</v>
      </c>
      <c r="M38" s="12">
        <f>IF(COUNT(L33:L38)=6,(AVERAGE(L36:L38)/AVERAGE(L33:L35))^4-1,"")</f>
        <v/>
      </c>
      <c r="N38" s="10" t="n">
        <v>79.72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79.44540000000001</v>
      </c>
      <c r="S38" s="12">
        <f>IF(COUNT(R33:R38)=6,(AVERAGE(R36:R38)/AVERAGE(R33:R35))^4-1,"")</f>
        <v/>
      </c>
      <c r="T38" s="10" t="n">
        <v>75.92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75.7321</v>
      </c>
      <c r="Y38" s="12">
        <f>IF(COUNT(X33:X38)=6,(AVERAGE(X36:X38)/AVERAGE(X33:X35))^4-1,"")</f>
        <v/>
      </c>
      <c r="Z38" s="10" t="n">
        <v>80.91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80.687</v>
      </c>
      <c r="AE38" s="12">
        <f>IF(COUNT(AD33:AD38)=6,(AVERAGE(AD36:AD38)/AVERAGE(AD33:AD35))^4-1,"")</f>
        <v/>
      </c>
      <c r="AF38" s="10" t="n">
        <v>70.39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70.64279999999999</v>
      </c>
      <c r="AK38" s="12">
        <f>IF(COUNT(AJ33:AJ38)=6,(AVERAGE(AJ36:AJ38)/AVERAGE(AJ33:AJ35))^4-1,"")</f>
        <v/>
      </c>
      <c r="AL38" s="10" t="n">
        <v>66.76000000000001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66.648</v>
      </c>
      <c r="AQ38" s="12">
        <f>IF(COUNT(AP33:AP38)=6,(AVERAGE(AP36:AP38)/AVERAGE(AP33:AP35))^4-1,"")</f>
        <v/>
      </c>
      <c r="AR38" s="10" t="n">
        <v>76.83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76.7572</v>
      </c>
      <c r="AW38" s="12">
        <f>IF(COUNT(AV33:AV38)=6,(AVERAGE(AV36:AV38)/AVERAGE(AV33:AV35))^4-1,"")</f>
        <v/>
      </c>
    </row>
    <row r="39">
      <c r="A39" s="9" t="n">
        <v>43040</v>
      </c>
      <c r="B39" s="10" t="n">
        <v>77.34999999999999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77.78879999999999</v>
      </c>
      <c r="G39" s="12">
        <f>IF(COUNT(F34:F39)=6,(AVERAGE(F37:F39)/AVERAGE(F34:F36))^4-1,"")</f>
        <v/>
      </c>
      <c r="H39" s="10" t="n">
        <v>81.29000000000001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81.8224</v>
      </c>
      <c r="M39" s="12">
        <f>IF(COUNT(L34:L39)=6,(AVERAGE(L37:L39)/AVERAGE(L34:L36))^4-1,"")</f>
        <v/>
      </c>
      <c r="N39" s="10" t="n">
        <v>79.01000000000001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79.5673</v>
      </c>
      <c r="S39" s="12">
        <f>IF(COUNT(R34:R39)=6,(AVERAGE(R37:R39)/AVERAGE(R34:R36))^4-1,"")</f>
        <v/>
      </c>
      <c r="T39" s="10" t="n">
        <v>76.13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75.9348</v>
      </c>
      <c r="Y39" s="12">
        <f>IF(COUNT(X34:X39)=6,(AVERAGE(X37:X39)/AVERAGE(X34:X36))^4-1,"")</f>
        <v/>
      </c>
      <c r="Z39" s="10" t="n">
        <v>79.53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80.7208</v>
      </c>
      <c r="AE39" s="12">
        <f>IF(COUNT(AD34:AD39)=6,(AVERAGE(AD37:AD39)/AVERAGE(AD34:AD36))^4-1,"")</f>
        <v/>
      </c>
      <c r="AF39" s="10" t="n">
        <v>70.45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70.68129999999999</v>
      </c>
      <c r="AK39" s="12">
        <f>IF(COUNT(AJ34:AJ39)=6,(AVERAGE(AJ37:AJ39)/AVERAGE(AJ34:AJ36))^4-1,"")</f>
        <v/>
      </c>
      <c r="AL39" s="10" t="n">
        <v>67.68000000000001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67.5603</v>
      </c>
      <c r="AQ39" s="12">
        <f>IF(COUNT(AP34:AP39)=6,(AVERAGE(AP37:AP39)/AVERAGE(AP34:AP36))^4-1,"")</f>
        <v/>
      </c>
      <c r="AR39" s="10" t="n">
        <v>77.31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77.2328</v>
      </c>
      <c r="AW39" s="12">
        <f>IF(COUNT(AV34:AV39)=6,(AVERAGE(AV37:AV39)/AVERAGE(AV34:AV36))^4-1,"")</f>
        <v/>
      </c>
    </row>
    <row r="40">
      <c r="A40" s="9" t="n">
        <v>43070</v>
      </c>
      <c r="B40" s="10" t="n">
        <v>77.84999999999999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77.9708</v>
      </c>
      <c r="G40" s="12">
        <f>IF(COUNT(F35:F40)=6,(AVERAGE(F38:F40)/AVERAGE(F35:F37))^4-1,"")</f>
        <v/>
      </c>
      <c r="H40" s="10" t="n">
        <v>81.91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81.94029999999999</v>
      </c>
      <c r="M40" s="12">
        <f>IF(COUNT(L35:L40)=6,(AVERAGE(L38:L40)/AVERAGE(L35:L37))^4-1,"")</f>
        <v/>
      </c>
      <c r="N40" s="10" t="n">
        <v>79.59999999999999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79.73439999999999</v>
      </c>
      <c r="S40" s="12">
        <f>IF(COUNT(R35:R40)=6,(AVERAGE(R38:R40)/AVERAGE(R35:R37))^4-1,"")</f>
        <v/>
      </c>
      <c r="T40" s="10" t="n">
        <v>76.12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76.1433</v>
      </c>
      <c r="Y40" s="12">
        <f>IF(COUNT(X35:X40)=6,(AVERAGE(X38:X40)/AVERAGE(X35:X37))^4-1,"")</f>
        <v/>
      </c>
      <c r="Z40" s="10" t="n">
        <v>80.66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80.7959</v>
      </c>
      <c r="AE40" s="12">
        <f>IF(COUNT(AD35:AD40)=6,(AVERAGE(AD38:AD40)/AVERAGE(AD35:AD37))^4-1,"")</f>
        <v/>
      </c>
      <c r="AF40" s="10" t="n">
        <v>70.90000000000001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70.9983</v>
      </c>
      <c r="AK40" s="12">
        <f>IF(COUNT(AJ35:AJ40)=6,(AVERAGE(AJ38:AJ40)/AVERAGE(AJ35:AJ37))^4-1,"")</f>
        <v/>
      </c>
      <c r="AL40" s="10" t="n">
        <v>67.56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68.00320000000001</v>
      </c>
      <c r="AQ40" s="12">
        <f>IF(COUNT(AP35:AP40)=6,(AVERAGE(AP38:AP40)/AVERAGE(AP35:AP37))^4-1,"")</f>
        <v/>
      </c>
      <c r="AR40" s="10" t="n">
        <v>77.45999999999999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77.5686</v>
      </c>
      <c r="AW40" s="12">
        <f>IF(COUNT(AV35:AV40)=6,(AVERAGE(AV38:AV40)/AVERAGE(AV35:AV37))^4-1,"")</f>
        <v/>
      </c>
    </row>
    <row r="41">
      <c r="A41" s="9" t="n">
        <v>43101</v>
      </c>
      <c r="B41" s="10" t="n">
        <v>77.06999999999999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77.8815</v>
      </c>
      <c r="G41" s="12">
        <f>IF(COUNT(F36:F41)=6,(AVERAGE(F39:F41)/AVERAGE(F36:F38))^4-1,"")</f>
        <v/>
      </c>
      <c r="H41" s="10" t="n">
        <v>80.62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81.79559999999999</v>
      </c>
      <c r="M41" s="12">
        <f>IF(COUNT(L36:L41)=6,(AVERAGE(L39:L41)/AVERAGE(L36:L38))^4-1,"")</f>
        <v/>
      </c>
      <c r="N41" s="10" t="n">
        <v>78.68000000000001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79.6639</v>
      </c>
      <c r="S41" s="12">
        <f>IF(COUNT(R36:R41)=6,(AVERAGE(R39:R41)/AVERAGE(R36:R38))^4-1,"")</f>
        <v/>
      </c>
      <c r="T41" s="10" t="n">
        <v>75.94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76.1855</v>
      </c>
      <c r="Y41" s="12">
        <f>IF(COUNT(X36:X41)=6,(AVERAGE(X39:X41)/AVERAGE(X36:X38))^4-1,"")</f>
        <v/>
      </c>
      <c r="Z41" s="10" t="n">
        <v>79.13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80.5774</v>
      </c>
      <c r="AE41" s="12">
        <f>IF(COUNT(AD36:AD41)=6,(AVERAGE(AD39:AD41)/AVERAGE(AD36:AD38))^4-1,"")</f>
        <v/>
      </c>
      <c r="AF41" s="10" t="n">
        <v>71.36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71.1855</v>
      </c>
      <c r="AK41" s="12">
        <f>IF(COUNT(AJ36:AJ41)=6,(AVERAGE(AJ39:AJ41)/AVERAGE(AJ36:AJ38))^4-1,"")</f>
        <v/>
      </c>
      <c r="AL41" s="10" t="n">
        <v>67.81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67.52</v>
      </c>
      <c r="AQ41" s="12">
        <f>IF(COUNT(AP36:AP41)=6,(AVERAGE(AP39:AP41)/AVERAGE(AP36:AP38))^4-1,"")</f>
        <v/>
      </c>
      <c r="AR41" s="10" t="n">
        <v>77.48999999999999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77.8946</v>
      </c>
      <c r="AW41" s="12">
        <f>IF(COUNT(AV36:AV41)=6,(AVERAGE(AV39:AV41)/AVERAGE(AV36:AV38))^4-1,"")</f>
        <v/>
      </c>
    </row>
    <row r="42">
      <c r="A42" s="9" t="n">
        <v>43132</v>
      </c>
      <c r="B42" s="10" t="n">
        <v>77.48999999999999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77.95650000000001</v>
      </c>
      <c r="G42" s="12">
        <f>IF(COUNT(F37:F42)=6,(AVERAGE(F40:F42)/AVERAGE(F37:F39))^4-1,"")</f>
        <v/>
      </c>
      <c r="H42" s="10" t="n">
        <v>81.26000000000001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82.0067</v>
      </c>
      <c r="M42" s="12">
        <f>IF(COUNT(L37:L42)=6,(AVERAGE(L40:L42)/AVERAGE(L37:L39))^4-1,"")</f>
        <v/>
      </c>
      <c r="N42" s="10" t="n">
        <v>79.19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79.7647</v>
      </c>
      <c r="S42" s="12">
        <f>IF(COUNT(R37:R42)=6,(AVERAGE(R40:R42)/AVERAGE(R37:R39))^4-1,"")</f>
        <v/>
      </c>
      <c r="T42" s="10" t="n">
        <v>76.03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76.11969999999999</v>
      </c>
      <c r="Y42" s="12">
        <f>IF(COUNT(X37:X42)=6,(AVERAGE(X40:X42)/AVERAGE(X37:X39))^4-1,"")</f>
        <v/>
      </c>
      <c r="Z42" s="10" t="n">
        <v>79.95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80.8496</v>
      </c>
      <c r="AE42" s="12">
        <f>IF(COUNT(AD37:AD42)=6,(AVERAGE(AD40:AD42)/AVERAGE(AD37:AD39))^4-1,"")</f>
        <v/>
      </c>
      <c r="AF42" s="10" t="n">
        <v>71.36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71.08759999999999</v>
      </c>
      <c r="AK42" s="12">
        <f>IF(COUNT(AJ37:AJ42)=6,(AVERAGE(AJ40:AJ42)/AVERAGE(AJ37:AJ39))^4-1,"")</f>
        <v/>
      </c>
      <c r="AL42" s="10" t="n">
        <v>67.56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67.47150000000001</v>
      </c>
      <c r="AQ42" s="12">
        <f>IF(COUNT(AP37:AP42)=6,(AVERAGE(AP40:AP42)/AVERAGE(AP37:AP39))^4-1,"")</f>
        <v/>
      </c>
      <c r="AR42" s="10" t="n">
        <v>77.61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77.99120000000001</v>
      </c>
      <c r="AW42" s="12">
        <f>IF(COUNT(AV37:AV42)=6,(AVERAGE(AV40:AV42)/AVERAGE(AV37:AV39))^4-1,"")</f>
        <v/>
      </c>
    </row>
    <row r="43">
      <c r="A43" s="9" t="n">
        <v>43160</v>
      </c>
      <c r="B43" s="10" t="n">
        <v>78.06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78.3579</v>
      </c>
      <c r="G43" s="12">
        <f>IF(COUNT(F38:F43)=6,(AVERAGE(F41:F43)/AVERAGE(F38:F40))^4-1,"")</f>
        <v/>
      </c>
      <c r="H43" s="10" t="n">
        <v>82.12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82.3951</v>
      </c>
      <c r="M43" s="12">
        <f>IF(COUNT(L38:L43)=6,(AVERAGE(L41:L43)/AVERAGE(L38:L40))^4-1,"")</f>
        <v/>
      </c>
      <c r="N43" s="10" t="n">
        <v>79.90000000000001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80.1679</v>
      </c>
      <c r="S43" s="12">
        <f>IF(COUNT(R38:R43)=6,(AVERAGE(R41:R43)/AVERAGE(R38:R40))^4-1,"")</f>
        <v/>
      </c>
      <c r="T43" s="10" t="n">
        <v>76.39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76.3574</v>
      </c>
      <c r="Y43" s="12">
        <f>IF(COUNT(X38:X43)=6,(AVERAGE(X41:X43)/AVERAGE(X38:X40))^4-1,"")</f>
        <v/>
      </c>
      <c r="Z43" s="10" t="n">
        <v>80.79000000000001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81.3622</v>
      </c>
      <c r="AE43" s="12">
        <f>IF(COUNT(AD38:AD43)=6,(AVERAGE(AD41:AD43)/AVERAGE(AD38:AD40))^4-1,"")</f>
        <v/>
      </c>
      <c r="AF43" s="10" t="n">
        <v>71.54000000000001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71.3271</v>
      </c>
      <c r="AK43" s="12">
        <f>IF(COUNT(AJ38:AJ43)=6,(AVERAGE(AJ41:AJ43)/AVERAGE(AJ38:AJ40))^4-1,"")</f>
        <v/>
      </c>
      <c r="AL43" s="10" t="n">
        <v>67.09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67.4132</v>
      </c>
      <c r="AQ43" s="12">
        <f>IF(COUNT(AP38:AP43)=6,(AVERAGE(AP41:AP43)/AVERAGE(AP38:AP40))^4-1,"")</f>
        <v/>
      </c>
      <c r="AR43" s="10" t="n">
        <v>77.34999999999999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77.717</v>
      </c>
      <c r="AW43" s="12">
        <f>IF(COUNT(AV38:AV43)=6,(AVERAGE(AV41:AV43)/AVERAGE(AV38:AV40))^4-1,"")</f>
        <v/>
      </c>
    </row>
    <row r="44">
      <c r="A44" s="9" t="n">
        <v>43191</v>
      </c>
      <c r="B44" s="10" t="n">
        <v>78.23999999999999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78.2621</v>
      </c>
      <c r="G44" s="12">
        <f>IF(COUNT(F39:F44)=6,(AVERAGE(F42:F44)/AVERAGE(F39:F41))^4-1,"")</f>
        <v/>
      </c>
      <c r="H44" s="10" t="n">
        <v>82.12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82.0671</v>
      </c>
      <c r="M44" s="12">
        <f>IF(COUNT(L39:L44)=6,(AVERAGE(L42:L44)/AVERAGE(L39:L41))^4-1,"")</f>
        <v/>
      </c>
      <c r="N44" s="10" t="n">
        <v>79.95999999999999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79.9357</v>
      </c>
      <c r="S44" s="12">
        <f>IF(COUNT(R39:R44)=6,(AVERAGE(R42:R44)/AVERAGE(R39:R41))^4-1,"")</f>
        <v/>
      </c>
      <c r="T44" s="10" t="n">
        <v>76.79000000000001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76.5791</v>
      </c>
      <c r="Y44" s="12">
        <f>IF(COUNT(X39:X44)=6,(AVERAGE(X42:X44)/AVERAGE(X39:X41))^4-1,"")</f>
        <v/>
      </c>
      <c r="Z44" s="10" t="n">
        <v>80.70999999999999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80.80419999999999</v>
      </c>
      <c r="AE44" s="12">
        <f>IF(COUNT(AD39:AD44)=6,(AVERAGE(AD42:AD44)/AVERAGE(AD39:AD41))^4-1,"")</f>
        <v/>
      </c>
      <c r="AF44" s="10" t="n">
        <v>71.8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71.4932</v>
      </c>
      <c r="AK44" s="12">
        <f>IF(COUNT(AJ39:AJ44)=6,(AVERAGE(AJ42:AJ44)/AVERAGE(AJ39:AJ41))^4-1,"")</f>
        <v/>
      </c>
      <c r="AL44" s="10" t="n">
        <v>68.23999999999999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68.2974</v>
      </c>
      <c r="AQ44" s="12">
        <f>IF(COUNT(AP39:AP44)=6,(AVERAGE(AP42:AP44)/AVERAGE(AP39:AP41))^4-1,"")</f>
        <v/>
      </c>
      <c r="AR44" s="10" t="n">
        <v>78.05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78.0795</v>
      </c>
      <c r="AW44" s="12">
        <f>IF(COUNT(AV39:AV44)=6,(AVERAGE(AV42:AV44)/AVERAGE(AV39:AV41))^4-1,"")</f>
        <v/>
      </c>
    </row>
    <row r="45">
      <c r="A45" s="9" t="n">
        <v>43221</v>
      </c>
      <c r="B45" s="10" t="n">
        <v>79.04000000000001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78.9485</v>
      </c>
      <c r="G45" s="12">
        <f>IF(COUNT(F40:F45)=6,(AVERAGE(F43:F45)/AVERAGE(F40:F42))^4-1,"")</f>
        <v/>
      </c>
      <c r="H45" s="10" t="n">
        <v>82.97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82.8113</v>
      </c>
      <c r="M45" s="12">
        <f>IF(COUNT(L40:L45)=6,(AVERAGE(L43:L45)/AVERAGE(L40:L42))^4-1,"")</f>
        <v/>
      </c>
      <c r="N45" s="10" t="n">
        <v>80.65000000000001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80.5423</v>
      </c>
      <c r="S45" s="12">
        <f>IF(COUNT(R40:R45)=6,(AVERAGE(R43:R45)/AVERAGE(R40:R42))^4-1,"")</f>
        <v/>
      </c>
      <c r="T45" s="10" t="n">
        <v>77.13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76.87390000000001</v>
      </c>
      <c r="Y45" s="12">
        <f>IF(COUNT(X40:X45)=6,(AVERAGE(X43:X45)/AVERAGE(X40:X42))^4-1,"")</f>
        <v/>
      </c>
      <c r="Z45" s="10" t="n">
        <v>82.08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82.15989999999999</v>
      </c>
      <c r="AE45" s="12">
        <f>IF(COUNT(AD40:AD45)=6,(AVERAGE(AD43:AD45)/AVERAGE(AD40:AD42))^4-1,"")</f>
        <v/>
      </c>
      <c r="AF45" s="10" t="n">
        <v>71.87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71.7077</v>
      </c>
      <c r="AK45" s="12">
        <f>IF(COUNT(AJ40:AJ45)=6,(AVERAGE(AJ43:AJ45)/AVERAGE(AJ40:AJ42))^4-1,"")</f>
        <v/>
      </c>
      <c r="AL45" s="10" t="n">
        <v>69.87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69.5523</v>
      </c>
      <c r="AQ45" s="12">
        <f>IF(COUNT(AP40:AP45)=6,(AVERAGE(AP43:AP45)/AVERAGE(AP40:AP42))^4-1,"")</f>
        <v/>
      </c>
      <c r="AR45" s="10" t="n">
        <v>78.97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78.8402</v>
      </c>
      <c r="AW45" s="12">
        <f>IF(COUNT(AV40:AV45)=6,(AVERAGE(AV43:AV45)/AVERAGE(AV40:AV42))^4-1,"")</f>
        <v/>
      </c>
    </row>
    <row r="46">
      <c r="A46" s="9" t="n">
        <v>43252</v>
      </c>
      <c r="B46" s="10" t="n">
        <v>79.11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78.83150000000001</v>
      </c>
      <c r="G46" s="12">
        <f>IF(COUNT(F41:F46)=6,(AVERAGE(F44:F46)/AVERAGE(F41:F43))^4-1,"")</f>
        <v/>
      </c>
      <c r="H46" s="10" t="n">
        <v>83.02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82.6292</v>
      </c>
      <c r="M46" s="12">
        <f>IF(COUNT(L41:L46)=6,(AVERAGE(L44:L46)/AVERAGE(L41:L43))^4-1,"")</f>
        <v/>
      </c>
      <c r="N46" s="10" t="n">
        <v>80.67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80.3399</v>
      </c>
      <c r="S46" s="12">
        <f>IF(COUNT(R41:R46)=6,(AVERAGE(R44:R46)/AVERAGE(R41:R43))^4-1,"")</f>
        <v/>
      </c>
      <c r="T46" s="10" t="n">
        <v>77.04000000000001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77.03149999999999</v>
      </c>
      <c r="Y46" s="12">
        <f>IF(COUNT(X41:X46)=6,(AVERAGE(X44:X46)/AVERAGE(X41:X43))^4-1,"")</f>
        <v/>
      </c>
      <c r="Z46" s="10" t="n">
        <v>82.34999999999999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81.68129999999999</v>
      </c>
      <c r="AE46" s="12">
        <f>IF(COUNT(AD41:AD46)=6,(AVERAGE(AD44:AD46)/AVERAGE(AD41:AD43))^4-1,"")</f>
        <v/>
      </c>
      <c r="AF46" s="10" t="n">
        <v>71.84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71.864</v>
      </c>
      <c r="AK46" s="12">
        <f>IF(COUNT(AJ41:AJ46)=6,(AVERAGE(AJ44:AJ46)/AVERAGE(AJ41:AJ43))^4-1,"")</f>
        <v/>
      </c>
      <c r="AL46" s="10" t="n">
        <v>70.23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69.96040000000001</v>
      </c>
      <c r="AQ46" s="12">
        <f>IF(COUNT(AP41:AP46)=6,(AVERAGE(AP44:AP46)/AVERAGE(AP41:AP43))^4-1,"")</f>
        <v/>
      </c>
      <c r="AR46" s="10" t="n">
        <v>79.38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79.1926</v>
      </c>
      <c r="AW46" s="12">
        <f>IF(COUNT(AV41:AV46)=6,(AVERAGE(AV44:AV46)/AVERAGE(AV41:AV43))^4-1,"")</f>
        <v/>
      </c>
    </row>
    <row r="47">
      <c r="A47" s="9" t="n">
        <v>43282</v>
      </c>
      <c r="B47" s="10" t="n">
        <v>79.70999999999999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79.09569999999999</v>
      </c>
      <c r="G47" s="12">
        <f>IF(COUNT(F42:F47)=6,(AVERAGE(F45:F47)/AVERAGE(F42:F44))^4-1,"")</f>
        <v/>
      </c>
      <c r="H47" s="10" t="n">
        <v>83.95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83.3507</v>
      </c>
      <c r="M47" s="12">
        <f>IF(COUNT(L42:L47)=6,(AVERAGE(L45:L47)/AVERAGE(L42:L44))^4-1,"")</f>
        <v/>
      </c>
      <c r="N47" s="10" t="n">
        <v>81.37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80.62520000000001</v>
      </c>
      <c r="S47" s="12">
        <f>IF(COUNT(R42:R47)=6,(AVERAGE(R45:R47)/AVERAGE(R42:R44))^4-1,"")</f>
        <v/>
      </c>
      <c r="T47" s="10" t="n">
        <v>76.58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76.9442</v>
      </c>
      <c r="Y47" s="12">
        <f>IF(COUNT(X42:X47)=6,(AVERAGE(X45:X47)/AVERAGE(X42:X44))^4-1,"")</f>
        <v/>
      </c>
      <c r="Z47" s="10" t="n">
        <v>84.27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82.6387</v>
      </c>
      <c r="AE47" s="12">
        <f>IF(COUNT(AD42:AD47)=6,(AVERAGE(AD45:AD47)/AVERAGE(AD42:AD44))^4-1,"")</f>
        <v/>
      </c>
      <c r="AF47" s="10" t="n">
        <v>71.65000000000001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71.7351</v>
      </c>
      <c r="AK47" s="12">
        <f>IF(COUNT(AJ42:AJ47)=6,(AVERAGE(AJ45:AJ47)/AVERAGE(AJ42:AJ44))^4-1,"")</f>
        <v/>
      </c>
      <c r="AL47" s="10" t="n">
        <v>70.18000000000001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70.17959999999999</v>
      </c>
      <c r="AQ47" s="12">
        <f>IF(COUNT(AP42:AP47)=6,(AVERAGE(AP45:AP47)/AVERAGE(AP42:AP44))^4-1,"")</f>
        <v/>
      </c>
      <c r="AR47" s="10" t="n">
        <v>79.61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79.2346</v>
      </c>
      <c r="AW47" s="12">
        <f>IF(COUNT(AV42:AV47)=6,(AVERAGE(AV45:AV47)/AVERAGE(AV42:AV44))^4-1,"")</f>
        <v/>
      </c>
    </row>
    <row r="48">
      <c r="A48" s="9" t="n">
        <v>43313</v>
      </c>
      <c r="B48" s="10" t="n">
        <v>79.73999999999999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79.24760000000001</v>
      </c>
      <c r="G48" s="12">
        <f>IF(COUNT(F43:F48)=6,(AVERAGE(F46:F48)/AVERAGE(F43:F45))^4-1,"")</f>
        <v/>
      </c>
      <c r="H48" s="10" t="n">
        <v>83.93000000000001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83.39360000000001</v>
      </c>
      <c r="M48" s="12">
        <f>IF(COUNT(L43:L48)=6,(AVERAGE(L46:L48)/AVERAGE(L43:L45))^4-1,"")</f>
        <v/>
      </c>
      <c r="N48" s="10" t="n">
        <v>81.31999999999999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80.67749999999999</v>
      </c>
      <c r="S48" s="12">
        <f>IF(COUNT(R43:R48)=6,(AVERAGE(R46:R48)/AVERAGE(R43:R45))^4-1,"")</f>
        <v/>
      </c>
      <c r="T48" s="10" t="n">
        <v>76.87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77.2123</v>
      </c>
      <c r="Y48" s="12">
        <f>IF(COUNT(X43:X48)=6,(AVERAGE(X46:X48)/AVERAGE(X43:X45))^4-1,"")</f>
        <v/>
      </c>
      <c r="Z48" s="10" t="n">
        <v>83.95999999999999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82.56019999999999</v>
      </c>
      <c r="AE48" s="12">
        <f>IF(COUNT(AD43:AD48)=6,(AVERAGE(AD46:AD48)/AVERAGE(AD43:AD45))^4-1,"")</f>
        <v/>
      </c>
      <c r="AF48" s="10" t="n">
        <v>71.51000000000001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71.816</v>
      </c>
      <c r="AK48" s="12">
        <f>IF(COUNT(AJ43:AJ48)=6,(AVERAGE(AJ46:AJ48)/AVERAGE(AJ43:AJ45))^4-1,"")</f>
        <v/>
      </c>
      <c r="AL48" s="10" t="n">
        <v>70.72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71.0669</v>
      </c>
      <c r="AQ48" s="12">
        <f>IF(COUNT(AP43:AP48)=6,(AVERAGE(AP46:AP48)/AVERAGE(AP43:AP45))^4-1,"")</f>
        <v/>
      </c>
      <c r="AR48" s="10" t="n">
        <v>79.83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79.63630000000001</v>
      </c>
      <c r="AW48" s="12">
        <f>IF(COUNT(AV43:AV48)=6,(AVERAGE(AV46:AV48)/AVERAGE(AV43:AV45))^4-1,"")</f>
        <v/>
      </c>
    </row>
    <row r="49">
      <c r="A49" s="9" t="n">
        <v>43344</v>
      </c>
      <c r="B49" s="10" t="n">
        <v>79.81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79.37220000000001</v>
      </c>
      <c r="G49" s="12">
        <f>IF(COUNT(F44:F49)=6,(AVERAGE(F47:F49)/AVERAGE(F44:F46))^4-1,"")</f>
        <v/>
      </c>
      <c r="H49" s="10" t="n">
        <v>83.67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83.1144</v>
      </c>
      <c r="M49" s="12">
        <f>IF(COUNT(L44:L49)=6,(AVERAGE(L47:L49)/AVERAGE(L44:L46))^4-1,"")</f>
        <v/>
      </c>
      <c r="N49" s="10" t="n">
        <v>81.22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80.786</v>
      </c>
      <c r="S49" s="12">
        <f>IF(COUNT(R44:R49)=6,(AVERAGE(R47:R49)/AVERAGE(R44:R46))^4-1,"")</f>
        <v/>
      </c>
      <c r="T49" s="10" t="n">
        <v>77.84999999999999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77.7196</v>
      </c>
      <c r="Y49" s="12">
        <f>IF(COUNT(X44:X49)=6,(AVERAGE(X47:X49)/AVERAGE(X44:X46))^4-1,"")</f>
        <v/>
      </c>
      <c r="Z49" s="10" t="n">
        <v>82.93000000000001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82.33799999999999</v>
      </c>
      <c r="AE49" s="12">
        <f>IF(COUNT(AD44:AD49)=6,(AVERAGE(AD47:AD49)/AVERAGE(AD44:AD46))^4-1,"")</f>
        <v/>
      </c>
      <c r="AF49" s="10" t="n">
        <v>71.98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72.19629999999999</v>
      </c>
      <c r="AK49" s="12">
        <f>IF(COUNT(AJ44:AJ49)=6,(AVERAGE(AJ47:AJ49)/AVERAGE(AJ44:AJ46))^4-1,"")</f>
        <v/>
      </c>
      <c r="AL49" s="10" t="n">
        <v>72.09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72.55629999999999</v>
      </c>
      <c r="AQ49" s="12">
        <f>IF(COUNT(AP44:AP49)=6,(AVERAGE(AP47:AP49)/AVERAGE(AP44:AP46))^4-1,"")</f>
        <v/>
      </c>
      <c r="AR49" s="10" t="n">
        <v>80.36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80.37990000000001</v>
      </c>
      <c r="AW49" s="12">
        <f>IF(COUNT(AV44:AV49)=6,(AVERAGE(AV47:AV49)/AVERAGE(AV44:AV46))^4-1,"")</f>
        <v/>
      </c>
    </row>
    <row r="50">
      <c r="A50" s="9" t="n">
        <v>43374</v>
      </c>
      <c r="B50" s="10" t="n">
        <v>79.91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79.5861</v>
      </c>
      <c r="G50" s="12">
        <f>IF(COUNT(F45:F50)=6,(AVERAGE(F48:F50)/AVERAGE(F45:F47))^4-1,"")</f>
        <v/>
      </c>
      <c r="H50" s="10" t="n">
        <v>83.70999999999999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83.2323</v>
      </c>
      <c r="M50" s="12">
        <f>IF(COUNT(L45:L50)=6,(AVERAGE(L48:L50)/AVERAGE(L45:L47))^4-1,"")</f>
        <v/>
      </c>
      <c r="N50" s="10" t="n">
        <v>81.25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80.9161</v>
      </c>
      <c r="S50" s="12">
        <f>IF(COUNT(R45:R50)=6,(AVERAGE(R48:R50)/AVERAGE(R45:R47))^4-1,"")</f>
        <v/>
      </c>
      <c r="T50" s="10" t="n">
        <v>78.11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77.9111</v>
      </c>
      <c r="Y50" s="12">
        <f>IF(COUNT(X45:X50)=6,(AVERAGE(X48:X50)/AVERAGE(X45:X47))^4-1,"")</f>
        <v/>
      </c>
      <c r="Z50" s="10" t="n">
        <v>82.81999999999999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82.581</v>
      </c>
      <c r="AE50" s="12">
        <f>IF(COUNT(AD45:AD50)=6,(AVERAGE(AD48:AD50)/AVERAGE(AD45:AD47))^4-1,"")</f>
        <v/>
      </c>
      <c r="AF50" s="10" t="n">
        <v>71.95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72.20529999999999</v>
      </c>
      <c r="AK50" s="12">
        <f>IF(COUNT(AJ45:AJ50)=6,(AVERAGE(AJ48:AJ50)/AVERAGE(AJ45:AJ47))^4-1,"")</f>
        <v/>
      </c>
      <c r="AL50" s="10" t="n">
        <v>72.75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72.6532</v>
      </c>
      <c r="AQ50" s="12">
        <f>IF(COUNT(AP45:AP50)=6,(AVERAGE(AP48:AP50)/AVERAGE(AP45:AP47))^4-1,"")</f>
        <v/>
      </c>
      <c r="AR50" s="10" t="n">
        <v>80.54000000000001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80.4268</v>
      </c>
      <c r="AW50" s="12">
        <f>IF(COUNT(AV45:AV50)=6,(AVERAGE(AV48:AV50)/AVERAGE(AV45:AV47))^4-1,"")</f>
        <v/>
      </c>
    </row>
    <row r="51">
      <c r="A51" s="9" t="n">
        <v>43405</v>
      </c>
      <c r="B51" s="10" t="n">
        <v>78.98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79.45569999999999</v>
      </c>
      <c r="G51" s="12">
        <f>IF(COUNT(F46:F51)=6,(AVERAGE(F49:F51)/AVERAGE(F46:F48))^4-1,"")</f>
        <v/>
      </c>
      <c r="H51" s="10" t="n">
        <v>82.17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82.68380000000001</v>
      </c>
      <c r="M51" s="12">
        <f>IF(COUNT(L46:L51)=6,(AVERAGE(L49:L51)/AVERAGE(L46:L48))^4-1,"")</f>
        <v/>
      </c>
      <c r="N51" s="10" t="n">
        <v>80.01000000000001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80.595</v>
      </c>
      <c r="S51" s="12">
        <f>IF(COUNT(R46:R51)=6,(AVERAGE(R49:R51)/AVERAGE(R46:R48))^4-1,"")</f>
        <v/>
      </c>
      <c r="T51" s="10" t="n">
        <v>78.37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78.1561</v>
      </c>
      <c r="Y51" s="12">
        <f>IF(COUNT(X46:X51)=6,(AVERAGE(X49:X51)/AVERAGE(X46:X48))^4-1,"")</f>
        <v/>
      </c>
      <c r="Z51" s="10" t="n">
        <v>80.42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81.5551</v>
      </c>
      <c r="AE51" s="12">
        <f>IF(COUNT(AD46:AD51)=6,(AVERAGE(AD49:AD51)/AVERAGE(AD46:AD48))^4-1,"")</f>
        <v/>
      </c>
      <c r="AF51" s="10" t="n">
        <v>71.87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72.105</v>
      </c>
      <c r="AK51" s="12">
        <f>IF(COUNT(AJ46:AJ51)=6,(AVERAGE(AJ49:AJ51)/AVERAGE(AJ46:AJ48))^4-1,"")</f>
        <v/>
      </c>
      <c r="AL51" s="10" t="n">
        <v>74.05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73.89019999999999</v>
      </c>
      <c r="AQ51" s="12">
        <f>IF(COUNT(AP46:AP51)=6,(AVERAGE(AP49:AP51)/AVERAGE(AP46:AP48))^4-1,"")</f>
        <v/>
      </c>
      <c r="AR51" s="10" t="n">
        <v>81.25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81.08450000000001</v>
      </c>
      <c r="AW51" s="12">
        <f>IF(COUNT(AV46:AV51)=6,(AVERAGE(AV49:AV51)/AVERAGE(AV46:AV48))^4-1,"")</f>
        <v/>
      </c>
    </row>
    <row r="52">
      <c r="A52" s="9" t="n">
        <v>43435</v>
      </c>
      <c r="B52" s="10" t="n">
        <v>79.11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79.2225</v>
      </c>
      <c r="G52" s="12">
        <f>IF(COUNT(F47:F52)=6,(AVERAGE(F50:F52)/AVERAGE(F47:F49))^4-1,"")</f>
        <v/>
      </c>
      <c r="H52" s="10" t="n">
        <v>82.86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82.9323</v>
      </c>
      <c r="M52" s="12">
        <f>IF(COUNT(L47:L52)=6,(AVERAGE(L50:L52)/AVERAGE(L47:L49))^4-1,"")</f>
        <v/>
      </c>
      <c r="N52" s="10" t="n">
        <v>80.56999999999999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80.7569</v>
      </c>
      <c r="S52" s="12">
        <f>IF(COUNT(R47:R52)=6,(AVERAGE(R50:R52)/AVERAGE(R47:R49))^4-1,"")</f>
        <v/>
      </c>
      <c r="T52" s="10" t="n">
        <v>77.58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77.6065</v>
      </c>
      <c r="Y52" s="12">
        <f>IF(COUNT(X47:X52)=6,(AVERAGE(X50:X52)/AVERAGE(X47:X49))^4-1,"")</f>
        <v/>
      </c>
      <c r="Z52" s="10" t="n">
        <v>81.67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81.90389999999999</v>
      </c>
      <c r="AE52" s="12">
        <f>IF(COUNT(AD47:AD52)=6,(AVERAGE(AD50:AD52)/AVERAGE(AD47:AD49))^4-1,"")</f>
        <v/>
      </c>
      <c r="AF52" s="10" t="n">
        <v>71.90000000000001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72.0033</v>
      </c>
      <c r="AK52" s="12">
        <f>IF(COUNT(AJ47:AJ52)=6,(AVERAGE(AJ50:AJ52)/AVERAGE(AJ47:AJ49))^4-1,"")</f>
        <v/>
      </c>
      <c r="AL52" s="10" t="n">
        <v>70.98999999999999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71.56870000000001</v>
      </c>
      <c r="AQ52" s="12">
        <f>IF(COUNT(AP47:AP52)=6,(AVERAGE(AP50:AP52)/AVERAGE(AP47:AP49))^4-1,"")</f>
        <v/>
      </c>
      <c r="AR52" s="10" t="n">
        <v>80.08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80.1538</v>
      </c>
      <c r="AW52" s="12">
        <f>IF(COUNT(AV47:AV52)=6,(AVERAGE(AV50:AV52)/AVERAGE(AV47:AV49))^4-1,"")</f>
        <v/>
      </c>
    </row>
    <row r="53">
      <c r="A53" s="9" t="n">
        <v>43466</v>
      </c>
      <c r="B53" s="10" t="n">
        <v>78.40000000000001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79.26649999999999</v>
      </c>
      <c r="G53" s="12">
        <f>IF(COUNT(F48:F53)=6,(AVERAGE(F51:F53)/AVERAGE(F48:F50))^4-1,"")</f>
        <v/>
      </c>
      <c r="H53" s="10" t="n">
        <v>82.04000000000001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83.19580000000001</v>
      </c>
      <c r="M53" s="12">
        <f>IF(COUNT(L48:L53)=6,(AVERAGE(L51:L53)/AVERAGE(L48:L50))^4-1,"")</f>
        <v/>
      </c>
      <c r="N53" s="10" t="n">
        <v>79.95999999999999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80.9395</v>
      </c>
      <c r="S53" s="12">
        <f>IF(COUNT(R48:R53)=6,(AVERAGE(R51:R53)/AVERAGE(R48:R50))^4-1,"")</f>
        <v/>
      </c>
      <c r="T53" s="10" t="n">
        <v>77.01000000000001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77.2831</v>
      </c>
      <c r="Y53" s="12">
        <f>IF(COUNT(X48:X53)=6,(AVERAGE(X51:X53)/AVERAGE(X48:X50))^4-1,"")</f>
        <v/>
      </c>
      <c r="Z53" s="10" t="n">
        <v>80.78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82.23560000000001</v>
      </c>
      <c r="AE53" s="12">
        <f>IF(COUNT(AD48:AD53)=6,(AVERAGE(AD51:AD53)/AVERAGE(AD48:AD50))^4-1,"")</f>
        <v/>
      </c>
      <c r="AF53" s="10" t="n">
        <v>72.19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71.9901</v>
      </c>
      <c r="AK53" s="12">
        <f>IF(COUNT(AJ48:AJ53)=6,(AVERAGE(AJ51:AJ53)/AVERAGE(AJ48:AJ50))^4-1,"")</f>
        <v/>
      </c>
      <c r="AL53" s="10" t="n">
        <v>69.59999999999999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69.13079999999999</v>
      </c>
      <c r="AQ53" s="12">
        <f>IF(COUNT(AP48:AP53)=6,(AVERAGE(AP51:AP53)/AVERAGE(AP48:AP50))^4-1,"")</f>
        <v/>
      </c>
      <c r="AR53" s="10" t="n">
        <v>78.68000000000001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79.04819999999999</v>
      </c>
      <c r="AW53" s="12">
        <f>IF(COUNT(AV48:AV53)=6,(AVERAGE(AV51:AV53)/AVERAGE(AV48:AV50))^4-1,"")</f>
        <v/>
      </c>
    </row>
    <row r="54">
      <c r="A54" s="9" t="n">
        <v>43497</v>
      </c>
      <c r="B54" s="10" t="n">
        <v>78.8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79.3155</v>
      </c>
      <c r="G54" s="12">
        <f>IF(COUNT(F49:F54)=6,(AVERAGE(F52:F54)/AVERAGE(F49:F51))^4-1,"")</f>
        <v/>
      </c>
      <c r="H54" s="10" t="n">
        <v>82.52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83.2642</v>
      </c>
      <c r="M54" s="12">
        <f>IF(COUNT(L49:L54)=6,(AVERAGE(L52:L54)/AVERAGE(L49:L51))^4-1,"")</f>
        <v/>
      </c>
      <c r="N54" s="10" t="n">
        <v>80.40000000000001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80.99979999999999</v>
      </c>
      <c r="S54" s="12">
        <f>IF(COUNT(R49:R54)=6,(AVERAGE(R52:R54)/AVERAGE(R49:R51))^4-1,"")</f>
        <v/>
      </c>
      <c r="T54" s="10" t="n">
        <v>77.31999999999999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77.41540000000001</v>
      </c>
      <c r="Y54" s="12">
        <f>IF(COUNT(X49:X54)=6,(AVERAGE(X52:X54)/AVERAGE(X49:X51))^4-1,"")</f>
        <v/>
      </c>
      <c r="Z54" s="10" t="n">
        <v>81.3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82.2248</v>
      </c>
      <c r="AE54" s="12">
        <f>IF(COUNT(AD49:AD54)=6,(AVERAGE(AD52:AD54)/AVERAGE(AD49:AD51))^4-1,"")</f>
        <v/>
      </c>
      <c r="AF54" s="10" t="n">
        <v>72.48999999999999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72.2038</v>
      </c>
      <c r="AK54" s="12">
        <f>IF(COUNT(AJ49:AJ54)=6,(AVERAGE(AJ52:AJ54)/AVERAGE(AJ49:AJ51))^4-1,"")</f>
        <v/>
      </c>
      <c r="AL54" s="10" t="n">
        <v>69.73999999999999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69.4255</v>
      </c>
      <c r="AQ54" s="12">
        <f>IF(COUNT(AP49:AP54)=6,(AVERAGE(AP52:AP54)/AVERAGE(AP49:AP51))^4-1,"")</f>
        <v/>
      </c>
      <c r="AR54" s="10" t="n">
        <v>78.73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79.01909999999999</v>
      </c>
      <c r="AW54" s="12">
        <f>IF(COUNT(AV49:AV54)=6,(AVERAGE(AV52:AV54)/AVERAGE(AV49:AV51))^4-1,"")</f>
        <v/>
      </c>
    </row>
    <row r="55">
      <c r="A55" s="9" t="n">
        <v>43525</v>
      </c>
      <c r="B55" s="10" t="n">
        <v>79.14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79.4657</v>
      </c>
      <c r="G55" s="12">
        <f>IF(COUNT(F50:F55)=6,(AVERAGE(F53:F55)/AVERAGE(F50:F52))^4-1,"")</f>
        <v/>
      </c>
      <c r="H55" s="10" t="n">
        <v>82.95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83.2568</v>
      </c>
      <c r="M55" s="12">
        <f>IF(COUNT(L50:L55)=6,(AVERAGE(L53:L55)/AVERAGE(L50:L52))^4-1,"")</f>
        <v/>
      </c>
      <c r="N55" s="10" t="n">
        <v>80.72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81.03959999999999</v>
      </c>
      <c r="S55" s="12">
        <f>IF(COUNT(R50:R55)=6,(AVERAGE(R53:R55)/AVERAGE(R50:R52))^4-1,"")</f>
        <v/>
      </c>
      <c r="T55" s="10" t="n">
        <v>77.58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77.53660000000001</v>
      </c>
      <c r="Y55" s="12">
        <f>IF(COUNT(X50:X55)=6,(AVERAGE(X53:X55)/AVERAGE(X50:X52))^4-1,"")</f>
        <v/>
      </c>
      <c r="Z55" s="10" t="n">
        <v>81.73999999999999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82.3313</v>
      </c>
      <c r="AE55" s="12">
        <f>IF(COUNT(AD50:AD55)=6,(AVERAGE(AD53:AD55)/AVERAGE(AD50:AD52))^4-1,"")</f>
        <v/>
      </c>
      <c r="AF55" s="10" t="n">
        <v>72.37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72.1772</v>
      </c>
      <c r="AK55" s="12">
        <f>IF(COUNT(AJ50:AJ55)=6,(AVERAGE(AJ53:AJ55)/AVERAGE(AJ50:AJ52))^4-1,"")</f>
        <v/>
      </c>
      <c r="AL55" s="10" t="n">
        <v>70.2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70.2966</v>
      </c>
      <c r="AQ55" s="12">
        <f>IF(COUNT(AP50:AP55)=6,(AVERAGE(AP53:AP55)/AVERAGE(AP50:AP52))^4-1,"")</f>
        <v/>
      </c>
      <c r="AR55" s="10" t="n">
        <v>79.18000000000001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79.4563</v>
      </c>
      <c r="AW55" s="12">
        <f>IF(COUNT(AV50:AV55)=6,(AVERAGE(AV53:AV55)/AVERAGE(AV50:AV52))^4-1,"")</f>
        <v/>
      </c>
    </row>
    <row r="56">
      <c r="A56" s="9" t="n">
        <v>43556</v>
      </c>
      <c r="B56" s="10" t="n">
        <v>79.91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79.92959999999999</v>
      </c>
      <c r="G56" s="12">
        <f>IF(COUNT(F51:F56)=6,(AVERAGE(F54:F56)/AVERAGE(F51:F53))^4-1,"")</f>
        <v/>
      </c>
      <c r="H56" s="10" t="n">
        <v>83.76000000000001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83.7075</v>
      </c>
      <c r="M56" s="12">
        <f>IF(COUNT(L51:L56)=6,(AVERAGE(L54:L56)/AVERAGE(L51:L53))^4-1,"")</f>
        <v/>
      </c>
      <c r="N56" s="10" t="n">
        <v>81.41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81.3931</v>
      </c>
      <c r="S56" s="12">
        <f>IF(COUNT(R51:R56)=6,(AVERAGE(R54:R56)/AVERAGE(R51:R53))^4-1,"")</f>
        <v/>
      </c>
      <c r="T56" s="10" t="n">
        <v>78.22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78.0337</v>
      </c>
      <c r="Y56" s="12">
        <f>IF(COUNT(X51:X56)=6,(AVERAGE(X54:X56)/AVERAGE(X51:X53))^4-1,"")</f>
        <v/>
      </c>
      <c r="Z56" s="10" t="n">
        <v>82.7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82.8038</v>
      </c>
      <c r="AE56" s="12">
        <f>IF(COUNT(AD51:AD56)=6,(AVERAGE(AD54:AD56)/AVERAGE(AD51:AD53))^4-1,"")</f>
        <v/>
      </c>
      <c r="AF56" s="10" t="n">
        <v>72.51000000000001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72.1874</v>
      </c>
      <c r="AK56" s="12">
        <f>IF(COUNT(AJ51:AJ56)=6,(AVERAGE(AJ54:AJ56)/AVERAGE(AJ51:AJ53))^4-1,"")</f>
        <v/>
      </c>
      <c r="AL56" s="10" t="n">
        <v>71.61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71.51819999999999</v>
      </c>
      <c r="AQ56" s="12">
        <f>IF(COUNT(AP51:AP56)=6,(AVERAGE(AP54:AP56)/AVERAGE(AP51:AP53))^4-1,"")</f>
        <v/>
      </c>
      <c r="AR56" s="10" t="n">
        <v>80.5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80.45829999999999</v>
      </c>
      <c r="AW56" s="12">
        <f>IF(COUNT(AV51:AV56)=6,(AVERAGE(AV54:AV56)/AVERAGE(AV51:AV53))^4-1,"")</f>
        <v/>
      </c>
    </row>
    <row r="57">
      <c r="A57" s="9" t="n">
        <v>43586</v>
      </c>
      <c r="B57" s="10" t="n">
        <v>80.09999999999999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79.9979</v>
      </c>
      <c r="G57" s="12">
        <f>IF(COUNT(F52:F57)=6,(AVERAGE(F55:F57)/AVERAGE(F52:F54))^4-1,"")</f>
        <v/>
      </c>
      <c r="H57" s="10" t="n">
        <v>83.75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83.5945</v>
      </c>
      <c r="M57" s="12">
        <f>IF(COUNT(L52:L57)=6,(AVERAGE(L55:L57)/AVERAGE(L52:L54))^4-1,"")</f>
        <v/>
      </c>
      <c r="N57" s="10" t="n">
        <v>81.45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81.3318</v>
      </c>
      <c r="S57" s="12">
        <f>IF(COUNT(R52:R57)=6,(AVERAGE(R55:R57)/AVERAGE(R52:R54))^4-1,"")</f>
        <v/>
      </c>
      <c r="T57" s="10" t="n">
        <v>78.56999999999999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78.30589999999999</v>
      </c>
      <c r="Y57" s="12">
        <f>IF(COUNT(X52:X57)=6,(AVERAGE(X55:X57)/AVERAGE(X52:X54))^4-1,"")</f>
        <v/>
      </c>
      <c r="Z57" s="10" t="n">
        <v>82.68000000000001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82.7615</v>
      </c>
      <c r="AE57" s="12">
        <f>IF(COUNT(AD52:AD57)=6,(AVERAGE(AD55:AD57)/AVERAGE(AD52:AD54))^4-1,"")</f>
        <v/>
      </c>
      <c r="AF57" s="10" t="n">
        <v>72.78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72.6514</v>
      </c>
      <c r="AK57" s="12">
        <f>IF(COUNT(AJ52:AJ57)=6,(AVERAGE(AJ55:AJ57)/AVERAGE(AJ52:AJ54))^4-1,"")</f>
        <v/>
      </c>
      <c r="AL57" s="10" t="n">
        <v>72.76000000000001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72.4442</v>
      </c>
      <c r="AQ57" s="12">
        <f>IF(COUNT(AP52:AP57)=6,(AVERAGE(AP55:AP57)/AVERAGE(AP52:AP54))^4-1,"")</f>
        <v/>
      </c>
      <c r="AR57" s="10" t="n">
        <v>81.28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81.25069999999999</v>
      </c>
      <c r="AW57" s="12">
        <f>IF(COUNT(AV52:AV57)=6,(AVERAGE(AV55:AV57)/AVERAGE(AV52:AV54))^4-1,"")</f>
        <v/>
      </c>
    </row>
    <row r="58">
      <c r="A58" s="9" t="n">
        <v>43617</v>
      </c>
      <c r="B58" s="10" t="n">
        <v>80.34999999999999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80.0382</v>
      </c>
      <c r="G58" s="12">
        <f>IF(COUNT(F53:F58)=6,(AVERAGE(F56:F58)/AVERAGE(F53:F55))^4-1,"")</f>
        <v/>
      </c>
      <c r="H58" s="10" t="n">
        <v>84.25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83.8373</v>
      </c>
      <c r="M58" s="12">
        <f>IF(COUNT(L53:L58)=6,(AVERAGE(L56:L58)/AVERAGE(L53:L55))^4-1,"")</f>
        <v/>
      </c>
      <c r="N58" s="10" t="n">
        <v>81.86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81.4928</v>
      </c>
      <c r="S58" s="12">
        <f>IF(COUNT(R53:R58)=6,(AVERAGE(R56:R58)/AVERAGE(R53:R55))^4-1,"")</f>
        <v/>
      </c>
      <c r="T58" s="10" t="n">
        <v>78.22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78.2137</v>
      </c>
      <c r="Y58" s="12">
        <f>IF(COUNT(X53:X58)=6,(AVERAGE(X56:X58)/AVERAGE(X53:X55))^4-1,"")</f>
        <v/>
      </c>
      <c r="Z58" s="10" t="n">
        <v>83.67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82.9975</v>
      </c>
      <c r="AE58" s="12">
        <f>IF(COUNT(AD53:AD58)=6,(AVERAGE(AD56:AD58)/AVERAGE(AD53:AD55))^4-1,"")</f>
        <v/>
      </c>
      <c r="AF58" s="10" t="n">
        <v>72.83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72.8879</v>
      </c>
      <c r="AK58" s="12">
        <f>IF(COUNT(AJ53:AJ58)=6,(AVERAGE(AJ56:AJ58)/AVERAGE(AJ53:AJ55))^4-1,"")</f>
        <v/>
      </c>
      <c r="AL58" s="10" t="n">
        <v>71.95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71.7895</v>
      </c>
      <c r="AQ58" s="12">
        <f>IF(COUNT(AP53:AP58)=6,(AVERAGE(AP56:AP58)/AVERAGE(AP53:AP55))^4-1,"")</f>
        <v/>
      </c>
      <c r="AR58" s="10" t="n">
        <v>81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80.94710000000001</v>
      </c>
      <c r="AW58" s="12">
        <f>IF(COUNT(AV53:AV58)=6,(AVERAGE(AV56:AV58)/AVERAGE(AV53:AV55))^4-1,"")</f>
        <v/>
      </c>
    </row>
    <row r="59">
      <c r="A59" s="9" t="n">
        <v>43647</v>
      </c>
      <c r="B59" s="10" t="n">
        <v>80.68000000000001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80.0663</v>
      </c>
      <c r="G59" s="12">
        <f>IF(COUNT(F54:F59)=6,(AVERAGE(F57:F59)/AVERAGE(F54:F56))^4-1,"")</f>
        <v/>
      </c>
      <c r="H59" s="10" t="n">
        <v>84.69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84.07299999999999</v>
      </c>
      <c r="M59" s="12">
        <f>IF(COUNT(L54:L59)=6,(AVERAGE(L57:L59)/AVERAGE(L54:L56))^4-1,"")</f>
        <v/>
      </c>
      <c r="N59" s="10" t="n">
        <v>82.25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81.5294</v>
      </c>
      <c r="S59" s="12">
        <f>IF(COUNT(R54:R59)=6,(AVERAGE(R57:R59)/AVERAGE(R54:R56))^4-1,"")</f>
        <v/>
      </c>
      <c r="T59" s="10" t="n">
        <v>77.97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78.3249</v>
      </c>
      <c r="Y59" s="12">
        <f>IF(COUNT(X54:X59)=6,(AVERAGE(X57:X59)/AVERAGE(X54:X56))^4-1,"")</f>
        <v/>
      </c>
      <c r="Z59" s="10" t="n">
        <v>84.7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83.062</v>
      </c>
      <c r="AE59" s="12">
        <f>IF(COUNT(AD54:AD59)=6,(AVERAGE(AD57:AD59)/AVERAGE(AD54:AD56))^4-1,"")</f>
        <v/>
      </c>
      <c r="AF59" s="10" t="n">
        <v>73.04000000000001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73.12009999999999</v>
      </c>
      <c r="AK59" s="12">
        <f>IF(COUNT(AJ54:AJ59)=6,(AVERAGE(AJ57:AJ59)/AVERAGE(AJ54:AJ56))^4-1,"")</f>
        <v/>
      </c>
      <c r="AL59" s="10" t="n">
        <v>71.81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71.90940000000001</v>
      </c>
      <c r="AQ59" s="12">
        <f>IF(COUNT(AP54:AP59)=6,(AVERAGE(AP57:AP59)/AVERAGE(AP54:AP56))^4-1,"")</f>
        <v/>
      </c>
      <c r="AR59" s="10" t="n">
        <v>81.05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80.7397</v>
      </c>
      <c r="AW59" s="12">
        <f>IF(COUNT(AV54:AV59)=6,(AVERAGE(AV57:AV59)/AVERAGE(AV54:AV56))^4-1,"")</f>
        <v/>
      </c>
    </row>
    <row r="60">
      <c r="A60" s="9" t="n">
        <v>43678</v>
      </c>
      <c r="B60" s="10" t="n">
        <v>80.56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80.0669</v>
      </c>
      <c r="G60" s="12">
        <f>IF(COUNT(F55:F60)=6,(AVERAGE(F58:F60)/AVERAGE(F55:F57))^4-1,"")</f>
        <v/>
      </c>
      <c r="H60" s="10" t="n">
        <v>84.62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84.08580000000001</v>
      </c>
      <c r="M60" s="12">
        <f>IF(COUNT(L55:L60)=6,(AVERAGE(L58:L60)/AVERAGE(L55:L57))^4-1,"")</f>
        <v/>
      </c>
      <c r="N60" s="10" t="n">
        <v>82.22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81.6005</v>
      </c>
      <c r="S60" s="12">
        <f>IF(COUNT(R55:R60)=6,(AVERAGE(R58:R60)/AVERAGE(R55:R57))^4-1,"")</f>
        <v/>
      </c>
      <c r="T60" s="10" t="n">
        <v>77.86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78.15049999999999</v>
      </c>
      <c r="Y60" s="12">
        <f>IF(COUNT(X55:X60)=6,(AVERAGE(X58:X60)/AVERAGE(X55:X57))^4-1,"")</f>
        <v/>
      </c>
      <c r="Z60" s="10" t="n">
        <v>84.58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83.18089999999999</v>
      </c>
      <c r="AE60" s="12">
        <f>IF(COUNT(AD55:AD60)=6,(AVERAGE(AD58:AD60)/AVERAGE(AD55:AD57))^4-1,"")</f>
        <v/>
      </c>
      <c r="AF60" s="10" t="n">
        <v>73.14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73.4273</v>
      </c>
      <c r="AK60" s="12">
        <f>IF(COUNT(AJ55:AJ60)=6,(AVERAGE(AJ58:AJ60)/AVERAGE(AJ55:AJ57))^4-1,"")</f>
        <v/>
      </c>
      <c r="AL60" s="10" t="n">
        <v>71.18000000000001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71.5459</v>
      </c>
      <c r="AQ60" s="12">
        <f>IF(COUNT(AP55:AP60)=6,(AVERAGE(AP58:AP60)/AVERAGE(AP55:AP57))^4-1,"")</f>
        <v/>
      </c>
      <c r="AR60" s="10" t="n">
        <v>80.64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80.4374</v>
      </c>
      <c r="AW60" s="12">
        <f>IF(COUNT(AV55:AV60)=6,(AVERAGE(AV58:AV60)/AVERAGE(AV55:AV57))^4-1,"")</f>
        <v/>
      </c>
    </row>
    <row r="61">
      <c r="A61" s="9" t="n">
        <v>43709</v>
      </c>
      <c r="B61" s="10" t="n">
        <v>80.54000000000001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80.09569999999999</v>
      </c>
      <c r="G61" s="12">
        <f>IF(COUNT(F56:F61)=6,(AVERAGE(F59:F61)/AVERAGE(F56:F58))^4-1,"")</f>
        <v/>
      </c>
      <c r="H61" s="10" t="n">
        <v>84.59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84.05759999999999</v>
      </c>
      <c r="M61" s="12">
        <f>IF(COUNT(L56:L61)=6,(AVERAGE(L59:L61)/AVERAGE(L56:L58))^4-1,"")</f>
        <v/>
      </c>
      <c r="N61" s="10" t="n">
        <v>82.19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81.7535</v>
      </c>
      <c r="S61" s="12">
        <f>IF(COUNT(R56:R61)=6,(AVERAGE(R59:R61)/AVERAGE(R56:R58))^4-1,"")</f>
        <v/>
      </c>
      <c r="T61" s="10" t="n">
        <v>78.34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78.1818</v>
      </c>
      <c r="Y61" s="12">
        <f>IF(COUNT(X56:X61)=6,(AVERAGE(X59:X61)/AVERAGE(X56:X58))^4-1,"")</f>
        <v/>
      </c>
      <c r="Z61" s="10" t="n">
        <v>83.94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83.35809999999999</v>
      </c>
      <c r="AE61" s="12">
        <f>IF(COUNT(AD56:AD61)=6,(AVERAGE(AD59:AD61)/AVERAGE(AD56:AD58))^4-1,"")</f>
        <v/>
      </c>
      <c r="AF61" s="10" t="n">
        <v>73.13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73.3246</v>
      </c>
      <c r="AK61" s="12">
        <f>IF(COUNT(AJ56:AJ61)=6,(AVERAGE(AJ59:AJ61)/AVERAGE(AJ56:AJ58))^4-1,"")</f>
        <v/>
      </c>
      <c r="AL61" s="10" t="n">
        <v>71.2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71.9474</v>
      </c>
      <c r="AQ61" s="12">
        <f>IF(COUNT(AP56:AP61)=6,(AVERAGE(AP59:AP61)/AVERAGE(AP56:AP58))^4-1,"")</f>
        <v/>
      </c>
      <c r="AR61" s="10" t="n">
        <v>80.29000000000001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80.3464</v>
      </c>
      <c r="AW61" s="12">
        <f>IF(COUNT(AV56:AV61)=6,(AVERAGE(AV59:AV61)/AVERAGE(AV56:AV58))^4-1,"")</f>
        <v/>
      </c>
    </row>
    <row r="62">
      <c r="A62" s="9" t="n">
        <v>43739</v>
      </c>
      <c r="B62" s="10" t="n">
        <v>80.58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80.2717</v>
      </c>
      <c r="G62" s="12">
        <f>IF(COUNT(F57:F62)=6,(AVERAGE(F60:F62)/AVERAGE(F57:F59))^4-1,"")</f>
        <v/>
      </c>
      <c r="H62" s="10" t="n">
        <v>84.69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84.2381</v>
      </c>
      <c r="M62" s="12">
        <f>IF(COUNT(L57:L62)=6,(AVERAGE(L60:L62)/AVERAGE(L57:L59))^4-1,"")</f>
        <v/>
      </c>
      <c r="N62" s="10" t="n">
        <v>82.23999999999999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81.8832</v>
      </c>
      <c r="S62" s="12">
        <f>IF(COUNT(R57:R62)=6,(AVERAGE(R60:R62)/AVERAGE(R57:R59))^4-1,"")</f>
        <v/>
      </c>
      <c r="T62" s="10" t="n">
        <v>78.41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78.2221</v>
      </c>
      <c r="Y62" s="12">
        <f>IF(COUNT(X57:X62)=6,(AVERAGE(X60:X62)/AVERAGE(X57:X59))^4-1,"")</f>
        <v/>
      </c>
      <c r="Z62" s="10" t="n">
        <v>83.95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83.718</v>
      </c>
      <c r="AE62" s="12">
        <f>IF(COUNT(AD57:AD62)=6,(AVERAGE(AD60:AD62)/AVERAGE(AD57:AD59))^4-1,"")</f>
        <v/>
      </c>
      <c r="AF62" s="10" t="n">
        <v>72.98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73.22799999999999</v>
      </c>
      <c r="AK62" s="12">
        <f>IF(COUNT(AJ57:AJ62)=6,(AVERAGE(AJ60:AJ62)/AVERAGE(AJ57:AJ59))^4-1,"")</f>
        <v/>
      </c>
      <c r="AL62" s="10" t="n">
        <v>71.17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71.06870000000001</v>
      </c>
      <c r="AQ62" s="12">
        <f>IF(COUNT(AP57:AP62)=6,(AVERAGE(AP60:AP62)/AVERAGE(AP57:AP59))^4-1,"")</f>
        <v/>
      </c>
      <c r="AR62" s="10" t="n">
        <v>80.26000000000001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80.10720000000001</v>
      </c>
      <c r="AW62" s="12">
        <f>IF(COUNT(AV57:AV62)=6,(AVERAGE(AV60:AV62)/AVERAGE(AV57:AV59))^4-1,"")</f>
        <v/>
      </c>
    </row>
    <row r="63">
      <c r="A63" s="9" t="n">
        <v>43770</v>
      </c>
      <c r="B63" s="10" t="n">
        <v>79.94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80.4294</v>
      </c>
      <c r="G63" s="12">
        <f>IF(COUNT(F58:F63)=6,(AVERAGE(F61:F63)/AVERAGE(F58:F60))^4-1,"")</f>
        <v/>
      </c>
      <c r="H63" s="10" t="n">
        <v>83.70999999999999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84.21129999999999</v>
      </c>
      <c r="M63" s="12">
        <f>IF(COUNT(L58:L63)=6,(AVERAGE(L61:L63)/AVERAGE(L58:L60))^4-1,"")</f>
        <v/>
      </c>
      <c r="N63" s="10" t="n">
        <v>81.51000000000001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82.0962</v>
      </c>
      <c r="S63" s="12">
        <f>IF(COUNT(R58:R63)=6,(AVERAGE(R61:R63)/AVERAGE(R58:R60))^4-1,"")</f>
        <v/>
      </c>
      <c r="T63" s="10" t="n">
        <v>78.55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78.3827</v>
      </c>
      <c r="Y63" s="12">
        <f>IF(COUNT(X58:X63)=6,(AVERAGE(X61:X63)/AVERAGE(X58:X60))^4-1,"")</f>
        <v/>
      </c>
      <c r="Z63" s="10" t="n">
        <v>82.34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83.43210000000001</v>
      </c>
      <c r="AE63" s="12">
        <f>IF(COUNT(AD58:AD63)=6,(AVERAGE(AD61:AD63)/AVERAGE(AD58:AD60))^4-1,"")</f>
        <v/>
      </c>
      <c r="AF63" s="10" t="n">
        <v>73.23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73.4503</v>
      </c>
      <c r="AK63" s="12">
        <f>IF(COUNT(AJ58:AJ63)=6,(AVERAGE(AJ61:AJ63)/AVERAGE(AJ58:AJ60))^4-1,"")</f>
        <v/>
      </c>
      <c r="AL63" s="10" t="n">
        <v>71.09999999999999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70.99299999999999</v>
      </c>
      <c r="AQ63" s="12">
        <f>IF(COUNT(AP58:AP63)=6,(AVERAGE(AP61:AP63)/AVERAGE(AP58:AP60))^4-1,"")</f>
        <v/>
      </c>
      <c r="AR63" s="10" t="n">
        <v>80.31999999999999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80.2182</v>
      </c>
      <c r="AW63" s="12">
        <f>IF(COUNT(AV58:AV63)=6,(AVERAGE(AV61:AV63)/AVERAGE(AV58:AV60))^4-1,"")</f>
        <v/>
      </c>
    </row>
    <row r="64">
      <c r="A64" s="9" t="n">
        <v>43800</v>
      </c>
      <c r="B64" s="10" t="n">
        <v>80.37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80.4966</v>
      </c>
      <c r="G64" s="12">
        <f>IF(COUNT(F59:F64)=6,(AVERAGE(F62:F64)/AVERAGE(F59:F61))^4-1,"")</f>
        <v/>
      </c>
      <c r="H64" s="10" t="n">
        <v>84.3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84.40089999999999</v>
      </c>
      <c r="M64" s="12">
        <f>IF(COUNT(L59:L64)=6,(AVERAGE(L62:L64)/AVERAGE(L59:L61))^4-1,"")</f>
        <v/>
      </c>
      <c r="N64" s="10" t="n">
        <v>82.02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82.2334</v>
      </c>
      <c r="S64" s="12">
        <f>IF(COUNT(R59:R64)=6,(AVERAGE(R62:R64)/AVERAGE(R59:R61))^4-1,"")</f>
        <v/>
      </c>
      <c r="T64" s="10" t="n">
        <v>78.53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78.5874</v>
      </c>
      <c r="Y64" s="12">
        <f>IF(COUNT(X59:X64)=6,(AVERAGE(X62:X64)/AVERAGE(X59:X61))^4-1,"")</f>
        <v/>
      </c>
      <c r="Z64" s="10" t="n">
        <v>83.31999999999999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83.6177</v>
      </c>
      <c r="AE64" s="12">
        <f>IF(COUNT(AD59:AD64)=6,(AVERAGE(AD62:AD64)/AVERAGE(AD59:AD61))^4-1,"")</f>
        <v/>
      </c>
      <c r="AF64" s="10" t="n">
        <v>73.42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73.52549999999999</v>
      </c>
      <c r="AK64" s="12">
        <f>IF(COUNT(AJ59:AJ64)=6,(AVERAGE(AJ62:AJ64)/AVERAGE(AJ59:AJ61))^4-1,"")</f>
        <v/>
      </c>
      <c r="AL64" s="10" t="n">
        <v>71.02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71.78830000000001</v>
      </c>
      <c r="AQ64" s="12">
        <f>IF(COUNT(AP59:AP64)=6,(AVERAGE(AP62:AP64)/AVERAGE(AP59:AP61))^4-1,"")</f>
        <v/>
      </c>
      <c r="AR64" s="10" t="n">
        <v>80.54000000000001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80.6074</v>
      </c>
      <c r="AW64" s="12">
        <f>IF(COUNT(AV59:AV64)=6,(AVERAGE(AV62:AV64)/AVERAGE(AV59:AV61))^4-1,"")</f>
        <v/>
      </c>
    </row>
    <row r="65">
      <c r="A65" s="9" t="n">
        <v>43831</v>
      </c>
      <c r="B65" s="10" t="n">
        <v>79.7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80.5595</v>
      </c>
      <c r="G65" s="12">
        <f>IF(COUNT(F60:F65)=6,(AVERAGE(F63:F65)/AVERAGE(F60:F62))^4-1,"")</f>
        <v/>
      </c>
      <c r="H65" s="10" t="n">
        <v>83.03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84.1443</v>
      </c>
      <c r="M65" s="12">
        <f>IF(COUNT(L60:L65)=6,(AVERAGE(L63:L65)/AVERAGE(L60:L62))^4-1,"")</f>
        <v/>
      </c>
      <c r="N65" s="10" t="n">
        <v>81.12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82.0715</v>
      </c>
      <c r="S65" s="12">
        <f>IF(COUNT(R60:R65)=6,(AVERAGE(R63:R65)/AVERAGE(R60:R62))^4-1,"")</f>
        <v/>
      </c>
      <c r="T65" s="10" t="n">
        <v>78.53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78.82689999999999</v>
      </c>
      <c r="Y65" s="12">
        <f>IF(COUNT(X60:X65)=6,(AVERAGE(X63:X65)/AVERAGE(X60:X62))^4-1,"")</f>
        <v/>
      </c>
      <c r="Z65" s="10" t="n">
        <v>81.84999999999999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83.27589999999999</v>
      </c>
      <c r="AE65" s="12">
        <f>IF(COUNT(AD60:AD65)=6,(AVERAGE(AD63:AD65)/AVERAGE(AD60:AD62))^4-1,"")</f>
        <v/>
      </c>
      <c r="AF65" s="10" t="n">
        <v>74.05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73.8154</v>
      </c>
      <c r="AK65" s="12">
        <f>IF(COUNT(AJ60:AJ65)=6,(AVERAGE(AJ63:AJ65)/AVERAGE(AJ60:AJ62))^4-1,"")</f>
        <v/>
      </c>
      <c r="AL65" s="10" t="n">
        <v>71.94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71.3938</v>
      </c>
      <c r="AQ65" s="12">
        <f>IF(COUNT(AP60:AP65)=6,(AVERAGE(AP63:AP65)/AVERAGE(AP60:AP62))^4-1,"")</f>
        <v/>
      </c>
      <c r="AR65" s="10" t="n">
        <v>80.75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81.1139</v>
      </c>
      <c r="AW65" s="12">
        <f>IF(COUNT(AV60:AV65)=6,(AVERAGE(AV63:AV65)/AVERAGE(AV60:AV62))^4-1,"")</f>
        <v/>
      </c>
    </row>
    <row r="66">
      <c r="A66" s="9" t="n">
        <v>43862</v>
      </c>
      <c r="B66" s="10" t="n">
        <v>80.14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80.6669</v>
      </c>
      <c r="G66" s="12">
        <f>IF(COUNT(F61:F66)=6,(AVERAGE(F64:F66)/AVERAGE(F61:F63))^4-1,"")</f>
        <v/>
      </c>
      <c r="H66" s="10" t="n">
        <v>83.62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84.34180000000001</v>
      </c>
      <c r="M66" s="12">
        <f>IF(COUNT(L61:L66)=6,(AVERAGE(L64:L66)/AVERAGE(L61:L63))^4-1,"")</f>
        <v/>
      </c>
      <c r="N66" s="10" t="n">
        <v>81.72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82.3192</v>
      </c>
      <c r="S66" s="12">
        <f>IF(COUNT(R61:R66)=6,(AVERAGE(R64:R66)/AVERAGE(R61:R63))^4-1,"")</f>
        <v/>
      </c>
      <c r="T66" s="10" t="n">
        <v>78.7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78.7957</v>
      </c>
      <c r="Y66" s="12">
        <f>IF(COUNT(X61:X66)=6,(AVERAGE(X64:X66)/AVERAGE(X61:X63))^4-1,"")</f>
        <v/>
      </c>
      <c r="Z66" s="10" t="n">
        <v>82.61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83.5292</v>
      </c>
      <c r="AE66" s="12">
        <f>IF(COUNT(AD61:AD66)=6,(AVERAGE(AD64:AD66)/AVERAGE(AD61:AD63))^4-1,"")</f>
        <v/>
      </c>
      <c r="AF66" s="10" t="n">
        <v>74.73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74.4443</v>
      </c>
      <c r="AK66" s="12">
        <f>IF(COUNT(AJ61:AJ66)=6,(AVERAGE(AJ64:AJ66)/AVERAGE(AJ61:AJ63))^4-1,"")</f>
        <v/>
      </c>
      <c r="AL66" s="10" t="n">
        <v>71.20999999999999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70.69710000000001</v>
      </c>
      <c r="AQ66" s="12">
        <f>IF(COUNT(AP61:AP66)=6,(AVERAGE(AP64:AP66)/AVERAGE(AP61:AP63))^4-1,"")</f>
        <v/>
      </c>
      <c r="AR66" s="10" t="n">
        <v>80.40000000000001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80.5902</v>
      </c>
      <c r="AW66" s="12">
        <f>IF(COUNT(AV61:AV66)=6,(AVERAGE(AV64:AV66)/AVERAGE(AV61:AV63))^4-1,"")</f>
        <v/>
      </c>
    </row>
    <row r="67">
      <c r="A67" s="9" t="n">
        <v>43891</v>
      </c>
      <c r="B67" s="10" t="n">
        <v>80.18000000000001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80.4847</v>
      </c>
      <c r="G67" s="12">
        <f>IF(COUNT(F62:F67)=6,(AVERAGE(F65:F67)/AVERAGE(F62:F64))^4-1,"")</f>
        <v/>
      </c>
      <c r="H67" s="10" t="n">
        <v>83.98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84.2878</v>
      </c>
      <c r="M67" s="12">
        <f>IF(COUNT(L62:L67)=6,(AVERAGE(L65:L67)/AVERAGE(L62:L64))^4-1,"")</f>
        <v/>
      </c>
      <c r="N67" s="10" t="n">
        <v>81.98999999999999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82.29730000000001</v>
      </c>
      <c r="S67" s="12">
        <f>IF(COUNT(R62:R67)=6,(AVERAGE(R65:R67)/AVERAGE(R62:R64))^4-1,"")</f>
        <v/>
      </c>
      <c r="T67" s="10" t="n">
        <v>78.64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78.5746</v>
      </c>
      <c r="Y67" s="12">
        <f>IF(COUNT(X62:X67)=6,(AVERAGE(X65:X67)/AVERAGE(X62:X64))^4-1,"")</f>
        <v/>
      </c>
      <c r="Z67" s="10" t="n">
        <v>82.78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83.3578</v>
      </c>
      <c r="AE67" s="12">
        <f>IF(COUNT(AD62:AD67)=6,(AVERAGE(AD65:AD67)/AVERAGE(AD62:AD64))^4-1,"")</f>
        <v/>
      </c>
      <c r="AF67" s="10" t="n">
        <v>74.62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74.4579</v>
      </c>
      <c r="AK67" s="12">
        <f>IF(COUNT(AJ62:AJ67)=6,(AVERAGE(AJ65:AJ67)/AVERAGE(AJ62:AJ64))^4-1,"")</f>
        <v/>
      </c>
      <c r="AL67" s="10" t="n">
        <v>69.69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69.61150000000001</v>
      </c>
      <c r="AQ67" s="12">
        <f>IF(COUNT(AP62:AP67)=6,(AVERAGE(AP65:AP67)/AVERAGE(AP62:AP64))^4-1,"")</f>
        <v/>
      </c>
      <c r="AR67" s="10" t="n">
        <v>79.56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79.73350000000001</v>
      </c>
      <c r="AW67" s="12">
        <f>IF(COUNT(AV62:AV67)=6,(AVERAGE(AV65:AV67)/AVERAGE(AV62:AV64))^4-1,"")</f>
        <v/>
      </c>
    </row>
    <row r="68">
      <c r="A68" s="9" t="n">
        <v>43922</v>
      </c>
      <c r="B68" s="10" t="n">
        <v>80.55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80.5402</v>
      </c>
      <c r="G68" s="12">
        <f>IF(COUNT(F63:F68)=6,(AVERAGE(F66:F68)/AVERAGE(F63:F65))^4-1,"")</f>
        <v/>
      </c>
      <c r="H68" s="10" t="n">
        <v>84.67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84.60980000000001</v>
      </c>
      <c r="M68" s="12">
        <f>IF(COUNT(L63:L68)=6,(AVERAGE(L66:L68)/AVERAGE(L63:L65))^4-1,"")</f>
        <v/>
      </c>
      <c r="N68" s="10" t="n">
        <v>82.7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82.68040000000001</v>
      </c>
      <c r="S68" s="12">
        <f>IF(COUNT(R63:R68)=6,(AVERAGE(R66:R68)/AVERAGE(R63:R65))^4-1,"")</f>
        <v/>
      </c>
      <c r="T68" s="10" t="n">
        <v>78.5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78.3091</v>
      </c>
      <c r="Y68" s="12">
        <f>IF(COUNT(X63:X68)=6,(AVERAGE(X66:X68)/AVERAGE(X63:X65))^4-1,"")</f>
        <v/>
      </c>
      <c r="Z68" s="10" t="n">
        <v>83.75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83.8488</v>
      </c>
      <c r="AE68" s="12">
        <f>IF(COUNT(AD63:AD68)=6,(AVERAGE(AD66:AD68)/AVERAGE(AD63:AD65))^4-1,"")</f>
        <v/>
      </c>
      <c r="AF68" s="10" t="n">
        <v>75.41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75.0981</v>
      </c>
      <c r="AK68" s="12">
        <f>IF(COUNT(AJ63:AJ68)=6,(AVERAGE(AJ66:AJ68)/AVERAGE(AJ63:AJ65))^4-1,"")</f>
        <v/>
      </c>
      <c r="AL68" s="10" t="n">
        <v>67.61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67.3259</v>
      </c>
      <c r="AQ68" s="12">
        <f>IF(COUNT(AP63:AP68)=6,(AVERAGE(AP66:AP68)/AVERAGE(AP63:AP65))^4-1,"")</f>
        <v/>
      </c>
      <c r="AR68" s="10" t="n">
        <v>78.37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78.19710000000001</v>
      </c>
      <c r="AW68" s="12">
        <f>IF(COUNT(AV63:AV68)=6,(AVERAGE(AV66:AV68)/AVERAGE(AV63:AV65))^4-1,"")</f>
        <v/>
      </c>
    </row>
    <row r="69">
      <c r="A69" s="9" t="n">
        <v>43952</v>
      </c>
      <c r="B69" s="10" t="n">
        <v>80.48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80.3596</v>
      </c>
      <c r="G69" s="12">
        <f>IF(COUNT(F64:F69)=6,(AVERAGE(F67:F69)/AVERAGE(F64:F66))^4-1,"")</f>
        <v/>
      </c>
      <c r="H69" s="10" t="n">
        <v>84.67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84.5239</v>
      </c>
      <c r="M69" s="12">
        <f>IF(COUNT(L64:L69)=6,(AVERAGE(L67:L69)/AVERAGE(L64:L66))^4-1,"")</f>
        <v/>
      </c>
      <c r="N69" s="10" t="n">
        <v>82.73999999999999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82.616</v>
      </c>
      <c r="S69" s="12">
        <f>IF(COUNT(R64:R69)=6,(AVERAGE(R67:R69)/AVERAGE(R64:R66))^4-1,"")</f>
        <v/>
      </c>
      <c r="T69" s="10" t="n">
        <v>78.37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78.0956</v>
      </c>
      <c r="Y69" s="12">
        <f>IF(COUNT(X64:X69)=6,(AVERAGE(X67:X69)/AVERAGE(X64:X66))^4-1,"")</f>
        <v/>
      </c>
      <c r="Z69" s="10" t="n">
        <v>83.76000000000001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83.8462</v>
      </c>
      <c r="AE69" s="12">
        <f>IF(COUNT(AD64:AD69)=6,(AVERAGE(AD67:AD69)/AVERAGE(AD64:AD66))^4-1,"")</f>
        <v/>
      </c>
      <c r="AF69" s="10" t="n">
        <v>75.61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75.51609999999999</v>
      </c>
      <c r="AK69" s="12">
        <f>IF(COUNT(AJ64:AJ69)=6,(AVERAGE(AJ67:AJ69)/AVERAGE(AJ64:AJ66))^4-1,"")</f>
        <v/>
      </c>
      <c r="AL69" s="10" t="n">
        <v>66.78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66.47620000000001</v>
      </c>
      <c r="AQ69" s="12">
        <f>IF(COUNT(AP64:AP69)=6,(AVERAGE(AP67:AP69)/AVERAGE(AP64:AP66))^4-1,"")</f>
        <v/>
      </c>
      <c r="AR69" s="10" t="n">
        <v>77.95999999999999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77.9598</v>
      </c>
      <c r="AW69" s="12">
        <f>IF(COUNT(AV64:AV69)=6,(AVERAGE(AV67:AV69)/AVERAGE(AV64:AV66))^4-1,"")</f>
        <v/>
      </c>
    </row>
    <row r="70">
      <c r="A70" s="9" t="n">
        <v>43983</v>
      </c>
      <c r="B70" s="10" t="n">
        <v>81.02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80.69970000000001</v>
      </c>
      <c r="G70" s="12">
        <f>IF(COUNT(F65:F70)=6,(AVERAGE(F68:F70)/AVERAGE(F65:F67))^4-1,"")</f>
        <v/>
      </c>
      <c r="H70" s="10" t="n">
        <v>85.25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84.8344</v>
      </c>
      <c r="M70" s="12">
        <f>IF(COUNT(L65:L70)=6,(AVERAGE(L68:L70)/AVERAGE(L65:L67))^4-1,"")</f>
        <v/>
      </c>
      <c r="N70" s="10" t="n">
        <v>83.23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82.86060000000001</v>
      </c>
      <c r="S70" s="12">
        <f>IF(COUNT(R65:R70)=6,(AVERAGE(R68:R70)/AVERAGE(R65:R67))^4-1,"")</f>
        <v/>
      </c>
      <c r="T70" s="10" t="n">
        <v>78.41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78.38849999999999</v>
      </c>
      <c r="Y70" s="12">
        <f>IF(COUNT(X65:X70)=6,(AVERAGE(X68:X70)/AVERAGE(X65:X67))^4-1,"")</f>
        <v/>
      </c>
      <c r="Z70" s="10" t="n">
        <v>84.89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84.2355</v>
      </c>
      <c r="AE70" s="12">
        <f>IF(COUNT(AD65:AD70)=6,(AVERAGE(AD68:AD70)/AVERAGE(AD65:AD67))^4-1,"")</f>
        <v/>
      </c>
      <c r="AF70" s="10" t="n">
        <v>75.76000000000001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75.8447</v>
      </c>
      <c r="AK70" s="12">
        <f>IF(COUNT(AJ65:AJ70)=6,(AVERAGE(AJ68:AJ70)/AVERAGE(AJ65:AJ67))^4-1,"")</f>
        <v/>
      </c>
      <c r="AL70" s="10" t="n">
        <v>67.68000000000001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67.5977</v>
      </c>
      <c r="AQ70" s="12">
        <f>IF(COUNT(AP65:AP70)=6,(AVERAGE(AP68:AP70)/AVERAGE(AP65:AP67))^4-1,"")</f>
        <v/>
      </c>
      <c r="AR70" s="10" t="n">
        <v>78.77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78.81610000000001</v>
      </c>
      <c r="AW70" s="12">
        <f>IF(COUNT(AV65:AV70)=6,(AVERAGE(AV68:AV70)/AVERAGE(AV65:AV67))^4-1,"")</f>
        <v/>
      </c>
    </row>
    <row r="71">
      <c r="A71" s="9" t="n">
        <v>44013</v>
      </c>
      <c r="B71" s="10" t="n">
        <v>80.64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80.0475</v>
      </c>
      <c r="G71" s="12">
        <f>IF(COUNT(F66:F71)=6,(AVERAGE(F69:F71)/AVERAGE(F66:F68))^4-1,"")</f>
        <v/>
      </c>
      <c r="H71" s="10" t="n">
        <v>85.19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84.5825</v>
      </c>
      <c r="M71" s="12">
        <f>IF(COUNT(L66:L71)=6,(AVERAGE(L69:L71)/AVERAGE(L66:L68))^4-1,"")</f>
        <v/>
      </c>
      <c r="N71" s="10" t="n">
        <v>82.87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82.1872</v>
      </c>
      <c r="S71" s="12">
        <f>IF(COUNT(R66:R71)=6,(AVERAGE(R69:R71)/AVERAGE(R66:R68))^4-1,"")</f>
        <v/>
      </c>
      <c r="T71" s="10" t="n">
        <v>76.91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77.22629999999999</v>
      </c>
      <c r="Y71" s="12">
        <f>IF(COUNT(X66:X71)=6,(AVERAGE(X69:X71)/AVERAGE(X66:X68))^4-1,"")</f>
        <v/>
      </c>
      <c r="Z71" s="10" t="n">
        <v>85.87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84.2469</v>
      </c>
      <c r="AE71" s="12">
        <f>IF(COUNT(AD66:AD71)=6,(AVERAGE(AD69:AD71)/AVERAGE(AD66:AD68))^4-1,"")</f>
        <v/>
      </c>
      <c r="AF71" s="10" t="n">
        <v>74.13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74.20189999999999</v>
      </c>
      <c r="AK71" s="12">
        <f>IF(COUNT(AJ66:AJ71)=6,(AVERAGE(AJ69:AJ71)/AVERAGE(AJ66:AJ68))^4-1,"")</f>
        <v/>
      </c>
      <c r="AL71" s="10" t="n">
        <v>67.20999999999999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67.3</v>
      </c>
      <c r="AQ71" s="12">
        <f>IF(COUNT(AP66:AP71)=6,(AVERAGE(AP69:AP71)/AVERAGE(AP66:AP68))^4-1,"")</f>
        <v/>
      </c>
      <c r="AR71" s="10" t="n">
        <v>78.66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78.36109999999999</v>
      </c>
      <c r="AW71" s="12">
        <f>IF(COUNT(AV66:AV71)=6,(AVERAGE(AV69:AV71)/AVERAGE(AV66:AV68))^4-1,"")</f>
        <v/>
      </c>
    </row>
    <row r="72">
      <c r="A72" s="9" t="n">
        <v>44044</v>
      </c>
      <c r="B72" s="10" t="n">
        <v>80.48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80.01000000000001</v>
      </c>
      <c r="G72" s="12">
        <f>IF(COUNT(F67:F72)=6,(AVERAGE(F70:F72)/AVERAGE(F67:F69))^4-1,"")</f>
        <v/>
      </c>
      <c r="H72" s="10" t="n">
        <v>85.05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84.54810000000001</v>
      </c>
      <c r="M72" s="12">
        <f>IF(COUNT(L67:L72)=6,(AVERAGE(L70:L72)/AVERAGE(L67:L69))^4-1,"")</f>
        <v/>
      </c>
      <c r="N72" s="10" t="n">
        <v>82.73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82.1568</v>
      </c>
      <c r="S72" s="12">
        <f>IF(COUNT(R67:R72)=6,(AVERAGE(R70:R72)/AVERAGE(R67:R69))^4-1,"")</f>
        <v/>
      </c>
      <c r="T72" s="10" t="n">
        <v>76.86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77.1095</v>
      </c>
      <c r="Y72" s="12">
        <f>IF(COUNT(X67:X72)=6,(AVERAGE(X70:X72)/AVERAGE(X67:X69))^4-1,"")</f>
        <v/>
      </c>
      <c r="Z72" s="10" t="n">
        <v>85.56999999999999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84.2068</v>
      </c>
      <c r="AE72" s="12">
        <f>IF(COUNT(AD67:AD72)=6,(AVERAGE(AD70:AD72)/AVERAGE(AD67:AD69))^4-1,"")</f>
        <v/>
      </c>
      <c r="AF72" s="10" t="n">
        <v>74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74.2608</v>
      </c>
      <c r="AK72" s="12">
        <f>IF(COUNT(AJ67:AJ72)=6,(AVERAGE(AJ70:AJ72)/AVERAGE(AJ67:AJ69))^4-1,"")</f>
        <v/>
      </c>
      <c r="AL72" s="10" t="n">
        <v>66.92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67.1871</v>
      </c>
      <c r="AQ72" s="12">
        <f>IF(COUNT(AP67:AP72)=6,(AVERAGE(AP70:AP72)/AVERAGE(AP67:AP69))^4-1,"")</f>
        <v/>
      </c>
      <c r="AR72" s="10" t="n">
        <v>78.59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78.37220000000001</v>
      </c>
      <c r="AW72" s="12">
        <f>IF(COUNT(AV67:AV72)=6,(AVERAGE(AV70:AV72)/AVERAGE(AV67:AV69))^4-1,"")</f>
        <v/>
      </c>
    </row>
    <row r="73">
      <c r="A73" s="9" t="n">
        <v>44075</v>
      </c>
      <c r="B73" s="10" t="n">
        <v>80.23999999999999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79.8326</v>
      </c>
      <c r="G73" s="12">
        <f>IF(COUNT(F68:F73)=6,(AVERAGE(F71:F73)/AVERAGE(F68:F70))^4-1,"")</f>
        <v/>
      </c>
      <c r="H73" s="10" t="n">
        <v>84.81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84.313</v>
      </c>
      <c r="M73" s="12">
        <f>IF(COUNT(L68:L73)=6,(AVERAGE(L71:L73)/AVERAGE(L68:L70))^4-1,"")</f>
        <v/>
      </c>
      <c r="N73" s="10" t="n">
        <v>82.52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82.1075</v>
      </c>
      <c r="S73" s="12">
        <f>IF(COUNT(R68:R73)=6,(AVERAGE(R71:R73)/AVERAGE(R68:R70))^4-1,"")</f>
        <v/>
      </c>
      <c r="T73" s="10" t="n">
        <v>77.08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76.9439</v>
      </c>
      <c r="Y73" s="12">
        <f>IF(COUNT(X68:X73)=6,(AVERAGE(X71:X73)/AVERAGE(X68:X70))^4-1,"")</f>
        <v/>
      </c>
      <c r="Z73" s="10" t="n">
        <v>84.77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84.22</v>
      </c>
      <c r="AE73" s="12">
        <f>IF(COUNT(AD68:AD73)=6,(AVERAGE(AD71:AD73)/AVERAGE(AD68:AD70))^4-1,"")</f>
        <v/>
      </c>
      <c r="AF73" s="10" t="n">
        <v>73.91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74.0855</v>
      </c>
      <c r="AK73" s="12">
        <f>IF(COUNT(AJ68:AJ73)=6,(AVERAGE(AJ71:AJ73)/AVERAGE(AJ68:AJ70))^4-1,"")</f>
        <v/>
      </c>
      <c r="AL73" s="10" t="n">
        <v>66.43000000000001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67.2681</v>
      </c>
      <c r="AQ73" s="12">
        <f>IF(COUNT(AP68:AP73)=6,(AVERAGE(AP71:AP73)/AVERAGE(AP68:AP70))^4-1,"")</f>
        <v/>
      </c>
      <c r="AR73" s="10" t="n">
        <v>78.23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78.3177</v>
      </c>
      <c r="AW73" s="12">
        <f>IF(COUNT(AV68:AV73)=6,(AVERAGE(AV71:AV73)/AVERAGE(AV68:AV70))^4-1,"")</f>
        <v/>
      </c>
    </row>
    <row r="74">
      <c r="A74" s="9" t="n">
        <v>44105</v>
      </c>
      <c r="B74" s="10" t="n">
        <v>80.22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79.9494</v>
      </c>
      <c r="G74" s="12">
        <f>IF(COUNT(F69:F74)=6,(AVERAGE(F72:F74)/AVERAGE(F69:F71))^4-1,"")</f>
        <v/>
      </c>
      <c r="H74" s="10" t="n">
        <v>84.70999999999999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84.2877</v>
      </c>
      <c r="M74" s="12">
        <f>IF(COUNT(L69:L74)=6,(AVERAGE(L72:L74)/AVERAGE(L69:L71))^4-1,"")</f>
        <v/>
      </c>
      <c r="N74" s="10" t="n">
        <v>82.48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82.139</v>
      </c>
      <c r="S74" s="12">
        <f>IF(COUNT(R69:R74)=6,(AVERAGE(R72:R74)/AVERAGE(R69:R71))^4-1,"")</f>
        <v/>
      </c>
      <c r="T74" s="10" t="n">
        <v>77.31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77.1602</v>
      </c>
      <c r="Y74" s="12">
        <f>IF(COUNT(X69:X74)=6,(AVERAGE(X72:X74)/AVERAGE(X69:X71))^4-1,"")</f>
        <v/>
      </c>
      <c r="Z74" s="10" t="n">
        <v>84.45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84.22669999999999</v>
      </c>
      <c r="AE74" s="12">
        <f>IF(COUNT(AD69:AD74)=6,(AVERAGE(AD72:AD74)/AVERAGE(AD69:AD71))^4-1,"")</f>
        <v/>
      </c>
      <c r="AF74" s="10" t="n">
        <v>74.11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74.3272</v>
      </c>
      <c r="AK74" s="12">
        <f>IF(COUNT(AJ69:AJ74)=6,(AVERAGE(AJ72:AJ74)/AVERAGE(AJ69:AJ71))^4-1,"")</f>
        <v/>
      </c>
      <c r="AL74" s="10" t="n">
        <v>66.52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66.50320000000001</v>
      </c>
      <c r="AQ74" s="12">
        <f>IF(COUNT(AP69:AP74)=6,(AVERAGE(AP72:AP74)/AVERAGE(AP69:AP71))^4-1,"")</f>
        <v/>
      </c>
      <c r="AR74" s="10" t="n">
        <v>78.31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78.1994</v>
      </c>
      <c r="AW74" s="12">
        <f>IF(COUNT(AV69:AV74)=6,(AVERAGE(AV72:AV74)/AVERAGE(AV69:AV71))^4-1,"")</f>
        <v/>
      </c>
    </row>
    <row r="75">
      <c r="A75" s="9" t="n">
        <v>44136</v>
      </c>
      <c r="B75" s="10" t="n">
        <v>79.39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79.8644</v>
      </c>
      <c r="G75" s="12">
        <f>IF(COUNT(F70:F75)=6,(AVERAGE(F73:F75)/AVERAGE(F70:F72))^4-1,"")</f>
        <v/>
      </c>
      <c r="H75" s="10" t="n">
        <v>83.64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84.13030000000001</v>
      </c>
      <c r="M75" s="12">
        <f>IF(COUNT(L70:L75)=6,(AVERAGE(L73:L75)/AVERAGE(L70:L72))^4-1,"")</f>
        <v/>
      </c>
      <c r="N75" s="10" t="n">
        <v>81.63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82.182</v>
      </c>
      <c r="S75" s="12">
        <f>IF(COUNT(R70:R75)=6,(AVERAGE(R73:R75)/AVERAGE(R70:R72))^4-1,"")</f>
        <v/>
      </c>
      <c r="T75" s="10" t="n">
        <v>77.17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77.054</v>
      </c>
      <c r="Y75" s="12">
        <f>IF(COUNT(X70:X75)=6,(AVERAGE(X73:X75)/AVERAGE(X70:X72))^4-1,"")</f>
        <v/>
      </c>
      <c r="Z75" s="10" t="n">
        <v>82.79000000000001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83.8492</v>
      </c>
      <c r="AE75" s="12">
        <f>IF(COUNT(AD70:AD75)=6,(AVERAGE(AD73:AD75)/AVERAGE(AD70:AD72))^4-1,"")</f>
        <v/>
      </c>
      <c r="AF75" s="10" t="n">
        <v>74.16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74.34569999999999</v>
      </c>
      <c r="AK75" s="12">
        <f>IF(COUNT(AJ70:AJ75)=6,(AVERAGE(AJ73:AJ75)/AVERAGE(AJ70:AJ72))^4-1,"")</f>
        <v/>
      </c>
      <c r="AL75" s="10" t="n">
        <v>65.81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65.84520000000001</v>
      </c>
      <c r="AQ75" s="12">
        <f>IF(COUNT(AP70:AP75)=6,(AVERAGE(AP73:AP75)/AVERAGE(AP70:AP72))^4-1,"")</f>
        <v/>
      </c>
      <c r="AR75" s="10" t="n">
        <v>77.86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77.97750000000001</v>
      </c>
      <c r="AW75" s="12">
        <f>IF(COUNT(AV70:AV75)=6,(AVERAGE(AV73:AV75)/AVERAGE(AV70:AV72))^4-1,"")</f>
        <v/>
      </c>
    </row>
    <row r="76">
      <c r="A76" s="9" t="n">
        <v>44166</v>
      </c>
      <c r="B76" s="10" t="n">
        <v>79.84999999999999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80.01260000000001</v>
      </c>
      <c r="G76" s="12">
        <f>IF(COUNT(F71:F76)=6,(AVERAGE(F74:F76)/AVERAGE(F71:F73))^4-1,"")</f>
        <v/>
      </c>
      <c r="H76" s="10" t="n">
        <v>84.19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84.3082</v>
      </c>
      <c r="M76" s="12">
        <f>IF(COUNT(L71:L76)=6,(AVERAGE(L74:L76)/AVERAGE(L71:L73))^4-1,"")</f>
        <v/>
      </c>
      <c r="N76" s="10" t="n">
        <v>82.02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82.2266</v>
      </c>
      <c r="S76" s="12">
        <f>IF(COUNT(R71:R76)=6,(AVERAGE(R74:R76)/AVERAGE(R71:R73))^4-1,"")</f>
        <v/>
      </c>
      <c r="T76" s="10" t="n">
        <v>77.09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77.1893</v>
      </c>
      <c r="Y76" s="12">
        <f>IF(COUNT(X71:X76)=6,(AVERAGE(X74:X76)/AVERAGE(X71:X73))^4-1,"")</f>
        <v/>
      </c>
      <c r="Z76" s="10" t="n">
        <v>83.91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84.242</v>
      </c>
      <c r="AE76" s="12">
        <f>IF(COUNT(AD71:AD76)=6,(AVERAGE(AD74:AD76)/AVERAGE(AD71:AD73))^4-1,"")</f>
        <v/>
      </c>
      <c r="AF76" s="10" t="n">
        <v>73.90000000000001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74.01139999999999</v>
      </c>
      <c r="AK76" s="12">
        <f>IF(COUNT(AJ71:AJ76)=6,(AVERAGE(AJ74:AJ76)/AVERAGE(AJ71:AJ73))^4-1,"")</f>
        <v/>
      </c>
      <c r="AL76" s="10" t="n">
        <v>66.79000000000001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67.6335</v>
      </c>
      <c r="AQ76" s="12">
        <f>IF(COUNT(AP71:AP76)=6,(AVERAGE(AP74:AP76)/AVERAGE(AP71:AP73))^4-1,"")</f>
        <v/>
      </c>
      <c r="AR76" s="10" t="n">
        <v>78.54000000000001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78.67400000000001</v>
      </c>
      <c r="AW76" s="12">
        <f>IF(COUNT(AV71:AV76)=6,(AVERAGE(AV74:AV76)/AVERAGE(AV71:AV73))^4-1,"")</f>
        <v/>
      </c>
    </row>
    <row r="77">
      <c r="A77" s="9" t="n">
        <v>44197</v>
      </c>
      <c r="B77" s="10" t="n">
        <v>80.95999999999999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81.7861</v>
      </c>
      <c r="G77" s="12">
        <f>IF(COUNT(F72:F77)=6,(AVERAGE(F75:F77)/AVERAGE(F72:F74))^4-1,"")</f>
        <v/>
      </c>
      <c r="H77" s="10" t="n">
        <v>84.70999999999999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85.7704</v>
      </c>
      <c r="M77" s="12">
        <f>IF(COUNT(L72:L77)=6,(AVERAGE(L75:L77)/AVERAGE(L72:L74))^4-1,"")</f>
        <v/>
      </c>
      <c r="N77" s="10" t="n">
        <v>82.77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83.6768</v>
      </c>
      <c r="S77" s="12">
        <f>IF(COUNT(R72:R77)=6,(AVERAGE(R75:R77)/AVERAGE(R72:R74))^4-1,"")</f>
        <v/>
      </c>
      <c r="T77" s="10" t="n">
        <v>79.03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79.3245</v>
      </c>
      <c r="Y77" s="12">
        <f>IF(COUNT(X72:X77)=6,(AVERAGE(X75:X77)/AVERAGE(X72:X74))^4-1,"")</f>
        <v/>
      </c>
      <c r="Z77" s="10" t="n">
        <v>83.88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85.24679999999999</v>
      </c>
      <c r="AE77" s="12">
        <f>IF(COUNT(AD72:AD77)=6,(AVERAGE(AD75:AD77)/AVERAGE(AD72:AD74))^4-1,"")</f>
        <v/>
      </c>
      <c r="AF77" s="10" t="n">
        <v>75.48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75.2563</v>
      </c>
      <c r="AK77" s="12">
        <f>IF(COUNT(AJ72:AJ77)=6,(AVERAGE(AJ75:AJ77)/AVERAGE(AJ72:AJ74))^4-1,"")</f>
        <v/>
      </c>
      <c r="AL77" s="10" t="n">
        <v>70.34999999999999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69.8807</v>
      </c>
      <c r="AQ77" s="12">
        <f>IF(COUNT(AP72:AP77)=6,(AVERAGE(AP75:AP77)/AVERAGE(AP72:AP74))^4-1,"")</f>
        <v/>
      </c>
      <c r="AR77" s="10" t="n">
        <v>81.26000000000001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81.65049999999999</v>
      </c>
      <c r="AW77" s="12">
        <f>IF(COUNT(AV72:AV77)=6,(AVERAGE(AV75:AV77)/AVERAGE(AV72:AV74))^4-1,"")</f>
        <v/>
      </c>
    </row>
    <row r="78">
      <c r="A78" s="9" t="n">
        <v>44228</v>
      </c>
      <c r="B78" s="10" t="n">
        <v>81.42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81.9285</v>
      </c>
      <c r="G78" s="12">
        <f>IF(COUNT(F73:F78)=6,(AVERAGE(F76:F78)/AVERAGE(F73:F75))^4-1,"")</f>
        <v/>
      </c>
      <c r="H78" s="10" t="n">
        <v>85.05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85.73699999999999</v>
      </c>
      <c r="M78" s="12">
        <f>IF(COUNT(L73:L78)=6,(AVERAGE(L76:L78)/AVERAGE(L73:L75))^4-1,"")</f>
        <v/>
      </c>
      <c r="N78" s="10" t="n">
        <v>83.15000000000001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83.7192</v>
      </c>
      <c r="S78" s="12">
        <f>IF(COUNT(R73:R78)=6,(AVERAGE(R76:R78)/AVERAGE(R73:R75))^4-1,"")</f>
        <v/>
      </c>
      <c r="T78" s="10" t="n">
        <v>79.56999999999999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79.66970000000001</v>
      </c>
      <c r="Y78" s="12">
        <f>IF(COUNT(X73:X78)=6,(AVERAGE(X76:X78)/AVERAGE(X73:X75))^4-1,"")</f>
        <v/>
      </c>
      <c r="Z78" s="10" t="n">
        <v>84.23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85.1075</v>
      </c>
      <c r="AE78" s="12">
        <f>IF(COUNT(AD73:AD78)=6,(AVERAGE(AD76:AD78)/AVERAGE(AD73:AD75))^4-1,"")</f>
        <v/>
      </c>
      <c r="AF78" s="10" t="n">
        <v>76.01000000000001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75.74850000000001</v>
      </c>
      <c r="AK78" s="12">
        <f>IF(COUNT(AJ73:AJ78)=6,(AVERAGE(AJ76:AJ78)/AVERAGE(AJ73:AJ75))^4-1,"")</f>
        <v/>
      </c>
      <c r="AL78" s="10" t="n">
        <v>71.36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70.7534</v>
      </c>
      <c r="AQ78" s="12">
        <f>IF(COUNT(AP73:AP78)=6,(AVERAGE(AP76:AP78)/AVERAGE(AP73:AP75))^4-1,"")</f>
        <v/>
      </c>
      <c r="AR78" s="10" t="n">
        <v>82.05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82.19880000000001</v>
      </c>
      <c r="AW78" s="12">
        <f>IF(COUNT(AV73:AV78)=6,(AVERAGE(AV76:AV78)/AVERAGE(AV73:AV75))^4-1,"")</f>
        <v/>
      </c>
    </row>
    <row r="79">
      <c r="A79" s="9" t="n">
        <v>44256</v>
      </c>
      <c r="B79" s="10" t="n">
        <v>81.76000000000001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82.00230000000001</v>
      </c>
      <c r="G79" s="12">
        <f>IF(COUNT(F74:F79)=6,(AVERAGE(F77:F79)/AVERAGE(F74:F76))^4-1,"")</f>
        <v/>
      </c>
      <c r="H79" s="10" t="n">
        <v>85.27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85.544</v>
      </c>
      <c r="M79" s="12">
        <f>IF(COUNT(L74:L79)=6,(AVERAGE(L77:L79)/AVERAGE(L74:L76))^4-1,"")</f>
        <v/>
      </c>
      <c r="N79" s="10" t="n">
        <v>83.33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83.5779</v>
      </c>
      <c r="S79" s="12">
        <f>IF(COUNT(R74:R79)=6,(AVERAGE(R77:R79)/AVERAGE(R74:R76))^4-1,"")</f>
        <v/>
      </c>
      <c r="T79" s="10" t="n">
        <v>79.97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79.8698</v>
      </c>
      <c r="Y79" s="12">
        <f>IF(COUNT(X74:X79)=6,(AVERAGE(X77:X79)/AVERAGE(X74:X76))^4-1,"")</f>
        <v/>
      </c>
      <c r="Z79" s="10" t="n">
        <v>84.48999999999999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85.0177</v>
      </c>
      <c r="AE79" s="12">
        <f>IF(COUNT(AD74:AD79)=6,(AVERAGE(AD77:AD79)/AVERAGE(AD74:AD76))^4-1,"")</f>
        <v/>
      </c>
      <c r="AF79" s="10" t="n">
        <v>76.05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75.8873</v>
      </c>
      <c r="AK79" s="12">
        <f>IF(COUNT(AJ74:AJ79)=6,(AVERAGE(AJ77:AJ79)/AVERAGE(AJ74:AJ76))^4-1,"")</f>
        <v/>
      </c>
      <c r="AL79" s="10" t="n">
        <v>72.81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72.59529999999999</v>
      </c>
      <c r="AQ79" s="12">
        <f>IF(COUNT(AP74:AP79)=6,(AVERAGE(AP77:AP79)/AVERAGE(AP74:AP76))^4-1,"")</f>
        <v/>
      </c>
      <c r="AR79" s="10" t="n">
        <v>83.41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83.4466</v>
      </c>
      <c r="AW79" s="12">
        <f>IF(COUNT(AV74:AV79)=6,(AVERAGE(AV77:AV79)/AVERAGE(AV74:AV76))^4-1,"")</f>
        <v/>
      </c>
    </row>
    <row r="80">
      <c r="A80" s="9" t="n">
        <v>44287</v>
      </c>
      <c r="B80" s="10" t="n">
        <v>82.18000000000001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82.1113</v>
      </c>
      <c r="G80" s="12">
        <f>IF(COUNT(F75:F80)=6,(AVERAGE(F78:F80)/AVERAGE(F75:F77))^4-1,"")</f>
        <v/>
      </c>
      <c r="H80" s="10" t="n">
        <v>85.63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85.5568</v>
      </c>
      <c r="M80" s="12">
        <f>IF(COUNT(L75:L80)=6,(AVERAGE(L78:L80)/AVERAGE(L75:L77))^4-1,"")</f>
        <v/>
      </c>
      <c r="N80" s="10" t="n">
        <v>83.81999999999999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83.77670000000001</v>
      </c>
      <c r="S80" s="12">
        <f>IF(COUNT(R75:R80)=6,(AVERAGE(R78:R80)/AVERAGE(R75:R77))^4-1,"")</f>
        <v/>
      </c>
      <c r="T80" s="10" t="n">
        <v>80.33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80.07940000000001</v>
      </c>
      <c r="Y80" s="12">
        <f>IF(COUNT(X75:X80)=6,(AVERAGE(X78:X80)/AVERAGE(X75:X77))^4-1,"")</f>
        <v/>
      </c>
      <c r="Z80" s="10" t="n">
        <v>85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85.06910000000001</v>
      </c>
      <c r="AE80" s="12">
        <f>IF(COUNT(AD75:AD80)=6,(AVERAGE(AD78:AD80)/AVERAGE(AD75:AD77))^4-1,"")</f>
        <v/>
      </c>
      <c r="AF80" s="10" t="n">
        <v>77.01000000000001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76.6974</v>
      </c>
      <c r="AK80" s="12">
        <f>IF(COUNT(AJ75:AJ80)=6,(AVERAGE(AJ78:AJ80)/AVERAGE(AJ75:AJ77))^4-1,"")</f>
        <v/>
      </c>
      <c r="AL80" s="10" t="n">
        <v>72.73999999999999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72.1481</v>
      </c>
      <c r="AQ80" s="12">
        <f>IF(COUNT(AP75:AP80)=6,(AVERAGE(AP78:AP80)/AVERAGE(AP75:AP77))^4-1,"")</f>
        <v/>
      </c>
      <c r="AR80" s="10" t="n">
        <v>83.79000000000001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83.3984</v>
      </c>
      <c r="AW80" s="12">
        <f>IF(COUNT(AV75:AV80)=6,(AVERAGE(AV78:AV80)/AVERAGE(AV75:AV77))^4-1,"")</f>
        <v/>
      </c>
    </row>
    <row r="81">
      <c r="A81" s="9" t="n">
        <v>44317</v>
      </c>
      <c r="B81" s="10" t="n">
        <v>82.44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82.3013</v>
      </c>
      <c r="G81" s="12">
        <f>IF(COUNT(F76:F81)=6,(AVERAGE(F79:F81)/AVERAGE(F76:F78))^4-1,"")</f>
        <v/>
      </c>
      <c r="H81" s="10" t="n">
        <v>85.98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85.8319</v>
      </c>
      <c r="M81" s="12">
        <f>IF(COUNT(L76:L81)=6,(AVERAGE(L79:L81)/AVERAGE(L76:L78))^4-1,"")</f>
        <v/>
      </c>
      <c r="N81" s="10" t="n">
        <v>84.06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83.9241</v>
      </c>
      <c r="S81" s="12">
        <f>IF(COUNT(R76:R81)=6,(AVERAGE(R79:R81)/AVERAGE(R76:R78))^4-1,"")</f>
        <v/>
      </c>
      <c r="T81" s="10" t="n">
        <v>80.55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80.2735</v>
      </c>
      <c r="Y81" s="12">
        <f>IF(COUNT(X76:X81)=6,(AVERAGE(X79:X81)/AVERAGE(X76:X78))^4-1,"")</f>
        <v/>
      </c>
      <c r="Z81" s="10" t="n">
        <v>85.31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85.364</v>
      </c>
      <c r="AE81" s="12">
        <f>IF(COUNT(AD76:AD81)=6,(AVERAGE(AD79:AD81)/AVERAGE(AD76:AD78))^4-1,"")</f>
        <v/>
      </c>
      <c r="AF81" s="10" t="n">
        <v>76.81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76.72069999999999</v>
      </c>
      <c r="AK81" s="12">
        <f>IF(COUNT(AJ76:AJ81)=6,(AVERAGE(AJ79:AJ81)/AVERAGE(AJ76:AJ78))^4-1,"")</f>
        <v/>
      </c>
      <c r="AL81" s="10" t="n">
        <v>73.17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72.8552</v>
      </c>
      <c r="AQ81" s="12">
        <f>IF(COUNT(AP76:AP81)=6,(AVERAGE(AP79:AP81)/AVERAGE(AP76:AP78))^4-1,"")</f>
        <v/>
      </c>
      <c r="AR81" s="10" t="n">
        <v>84.23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84.1837</v>
      </c>
      <c r="AW81" s="12">
        <f>IF(COUNT(AV76:AV81)=6,(AVERAGE(AV79:AV81)/AVERAGE(AV76:AV78))^4-1,"")</f>
        <v/>
      </c>
    </row>
    <row r="82">
      <c r="A82" s="9" t="n">
        <v>44348</v>
      </c>
      <c r="B82" s="10" t="n">
        <v>82.68000000000001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82.392</v>
      </c>
      <c r="G82" s="12">
        <f>IF(COUNT(F77:F82)=6,(AVERAGE(F80:F82)/AVERAGE(F77:F79))^4-1,"")</f>
        <v/>
      </c>
      <c r="H82" s="10" t="n">
        <v>86.23999999999999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85.85760000000001</v>
      </c>
      <c r="M82" s="12">
        <f>IF(COUNT(L77:L82)=6,(AVERAGE(L80:L82)/AVERAGE(L77:L79))^4-1,"")</f>
        <v/>
      </c>
      <c r="N82" s="10" t="n">
        <v>84.23999999999999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83.9121</v>
      </c>
      <c r="S82" s="12">
        <f>IF(COUNT(R77:R82)=6,(AVERAGE(R80:R82)/AVERAGE(R77:R79))^4-1,"")</f>
        <v/>
      </c>
      <c r="T82" s="10" t="n">
        <v>80.72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80.7069</v>
      </c>
      <c r="Y82" s="12">
        <f>IF(COUNT(X77:X82)=6,(AVERAGE(X80:X82)/AVERAGE(X77:X79))^4-1,"")</f>
        <v/>
      </c>
      <c r="Z82" s="10" t="n">
        <v>85.65000000000001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85.0459</v>
      </c>
      <c r="AE82" s="12">
        <f>IF(COUNT(AD77:AD82)=6,(AVERAGE(AD80:AD82)/AVERAGE(AD77:AD79))^4-1,"")</f>
        <v/>
      </c>
      <c r="AF82" s="10" t="n">
        <v>76.72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76.828</v>
      </c>
      <c r="AK82" s="12">
        <f>IF(COUNT(AJ77:AJ82)=6,(AVERAGE(AJ80:AJ82)/AVERAGE(AJ77:AJ79))^4-1,"")</f>
        <v/>
      </c>
      <c r="AL82" s="10" t="n">
        <v>73.79000000000001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73.8027</v>
      </c>
      <c r="AQ82" s="12">
        <f>IF(COUNT(AP77:AP82)=6,(AVERAGE(AP80:AP82)/AVERAGE(AP77:AP79))^4-1,"")</f>
        <v/>
      </c>
      <c r="AR82" s="10" t="n">
        <v>84.83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84.9311</v>
      </c>
      <c r="AW82" s="12">
        <f>IF(COUNT(AV77:AV82)=6,(AVERAGE(AV80:AV82)/AVERAGE(AV77:AV79))^4-1,"")</f>
        <v/>
      </c>
    </row>
    <row r="83">
      <c r="A83" s="9" t="n">
        <v>44378</v>
      </c>
      <c r="B83" s="10" t="n">
        <v>83.18000000000001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82.621</v>
      </c>
      <c r="G83" s="12">
        <f>IF(COUNT(F78:F83)=6,(AVERAGE(F81:F83)/AVERAGE(F78:F80))^4-1,"")</f>
        <v/>
      </c>
      <c r="H83" s="10" t="n">
        <v>86.75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86.1592</v>
      </c>
      <c r="M83" s="12">
        <f>IF(COUNT(L78:L83)=6,(AVERAGE(L81:L83)/AVERAGE(L78:L80))^4-1,"")</f>
        <v/>
      </c>
      <c r="N83" s="10" t="n">
        <v>84.68000000000001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84.05629999999999</v>
      </c>
      <c r="S83" s="12">
        <f>IF(COUNT(R78:R83)=6,(AVERAGE(R81:R83)/AVERAGE(R78:R80))^4-1,"")</f>
        <v/>
      </c>
      <c r="T83" s="10" t="n">
        <v>80.95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81.23860000000001</v>
      </c>
      <c r="Y83" s="12">
        <f>IF(COUNT(X78:X83)=6,(AVERAGE(X81:X83)/AVERAGE(X78:X80))^4-1,"")</f>
        <v/>
      </c>
      <c r="Z83" s="10" t="n">
        <v>86.53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85.01600000000001</v>
      </c>
      <c r="AE83" s="12">
        <f>IF(COUNT(AD78:AD83)=6,(AVERAGE(AD81:AD83)/AVERAGE(AD78:AD80))^4-1,"")</f>
        <v/>
      </c>
      <c r="AF83" s="10" t="n">
        <v>76.91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76.99939999999999</v>
      </c>
      <c r="AK83" s="12">
        <f>IF(COUNT(AJ78:AJ83)=6,(AVERAGE(AJ81:AJ83)/AVERAGE(AJ78:AJ80))^4-1,"")</f>
        <v/>
      </c>
      <c r="AL83" s="10" t="n">
        <v>74.72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74.7342</v>
      </c>
      <c r="AQ83" s="12">
        <f>IF(COUNT(AP78:AP83)=6,(AVERAGE(AP81:AP83)/AVERAGE(AP78:AP80))^4-1,"")</f>
        <v/>
      </c>
      <c r="AR83" s="10" t="n">
        <v>86.22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85.8485</v>
      </c>
      <c r="AW83" s="12">
        <f>IF(COUNT(AV78:AV83)=6,(AVERAGE(AV81:AV83)/AVERAGE(AV78:AV80))^4-1,"")</f>
        <v/>
      </c>
    </row>
    <row r="84">
      <c r="A84" s="9" t="n">
        <v>44409</v>
      </c>
      <c r="B84" s="10" t="n">
        <v>83.25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82.816</v>
      </c>
      <c r="G84" s="12">
        <f>IF(COUNT(F79:F84)=6,(AVERAGE(F82:F84)/AVERAGE(F79:F81))^4-1,"")</f>
        <v/>
      </c>
      <c r="H84" s="10" t="n">
        <v>86.8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86.3235</v>
      </c>
      <c r="M84" s="12">
        <f>IF(COUNT(L79:L84)=6,(AVERAGE(L82:L84)/AVERAGE(L79:L81))^4-1,"")</f>
        <v/>
      </c>
      <c r="N84" s="10" t="n">
        <v>84.72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84.2086</v>
      </c>
      <c r="S84" s="12">
        <f>IF(COUNT(R79:R84)=6,(AVERAGE(R82:R84)/AVERAGE(R79:R81))^4-1,"")</f>
        <v/>
      </c>
      <c r="T84" s="10" t="n">
        <v>81.05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81.2941</v>
      </c>
      <c r="Y84" s="12">
        <f>IF(COUNT(X79:X84)=6,(AVERAGE(X82:X84)/AVERAGE(X79:X81))^4-1,"")</f>
        <v/>
      </c>
      <c r="Z84" s="10" t="n">
        <v>86.55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85.2864</v>
      </c>
      <c r="AE84" s="12">
        <f>IF(COUNT(AD79:AD84)=6,(AVERAGE(AD82:AD84)/AVERAGE(AD79:AD81))^4-1,"")</f>
        <v/>
      </c>
      <c r="AF84" s="10" t="n">
        <v>76.91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77.16679999999999</v>
      </c>
      <c r="AK84" s="12">
        <f>IF(COUNT(AJ79:AJ84)=6,(AVERAGE(AJ82:AJ84)/AVERAGE(AJ79:AJ81))^4-1,"")</f>
        <v/>
      </c>
      <c r="AL84" s="10" t="n">
        <v>75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75.1806</v>
      </c>
      <c r="AQ84" s="12">
        <f>IF(COUNT(AP79:AP84)=6,(AVERAGE(AP82:AP84)/AVERAGE(AP79:AP81))^4-1,"")</f>
        <v/>
      </c>
      <c r="AR84" s="10" t="n">
        <v>86.68000000000001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86.48139999999999</v>
      </c>
      <c r="AW84" s="12">
        <f>IF(COUNT(AV79:AV84)=6,(AVERAGE(AV82:AV84)/AVERAGE(AV79:AV81))^4-1,"")</f>
        <v/>
      </c>
    </row>
    <row r="85">
      <c r="A85" s="9" t="n">
        <v>44440</v>
      </c>
      <c r="B85" s="10" t="n">
        <v>83.44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83.06100000000001</v>
      </c>
      <c r="G85" s="12">
        <f>IF(COUNT(F80:F85)=6,(AVERAGE(F83:F85)/AVERAGE(F80:F82))^4-1,"")</f>
        <v/>
      </c>
      <c r="H85" s="10" t="n">
        <v>86.95999999999999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86.496</v>
      </c>
      <c r="M85" s="12">
        <f>IF(COUNT(L80:L85)=6,(AVERAGE(L83:L85)/AVERAGE(L80:L82))^4-1,"")</f>
        <v/>
      </c>
      <c r="N85" s="10" t="n">
        <v>84.84999999999999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84.4666</v>
      </c>
      <c r="S85" s="12">
        <f>IF(COUNT(R80:R85)=6,(AVERAGE(R83:R85)/AVERAGE(R80:R82))^4-1,"")</f>
        <v/>
      </c>
      <c r="T85" s="10" t="n">
        <v>81.58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81.4716</v>
      </c>
      <c r="Y85" s="12">
        <f>IF(COUNT(X80:X85)=6,(AVERAGE(X83:X85)/AVERAGE(X80:X82))^4-1,"")</f>
        <v/>
      </c>
      <c r="Z85" s="10" t="n">
        <v>86.26000000000001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85.74639999999999</v>
      </c>
      <c r="AE85" s="12">
        <f>IF(COUNT(AD80:AD85)=6,(AVERAGE(AD83:AD85)/AVERAGE(AD80:AD82))^4-1,"")</f>
        <v/>
      </c>
      <c r="AF85" s="10" t="n">
        <v>76.94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77.1142</v>
      </c>
      <c r="AK85" s="12">
        <f>IF(COUNT(AJ80:AJ85)=6,(AVERAGE(AJ83:AJ85)/AVERAGE(AJ80:AJ82))^4-1,"")</f>
        <v/>
      </c>
      <c r="AL85" s="10" t="n">
        <v>75.52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76.5175</v>
      </c>
      <c r="AQ85" s="12">
        <f>IF(COUNT(AP80:AP85)=6,(AVERAGE(AP83:AP85)/AVERAGE(AP80:AP82))^4-1,"")</f>
        <v/>
      </c>
      <c r="AR85" s="10" t="n">
        <v>86.47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86.617</v>
      </c>
      <c r="AW85" s="12">
        <f>IF(COUNT(AV80:AV85)=6,(AVERAGE(AV83:AV85)/AVERAGE(AV80:AV82))^4-1,"")</f>
        <v/>
      </c>
    </row>
    <row r="86">
      <c r="A86" s="9" t="n">
        <v>44470</v>
      </c>
      <c r="B86" s="10" t="n">
        <v>83.95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83.6825</v>
      </c>
      <c r="G86" s="12">
        <f>IF(COUNT(F81:F86)=6,(AVERAGE(F84:F86)/AVERAGE(F81:F83))^4-1,"")</f>
        <v/>
      </c>
      <c r="H86" s="10" t="n">
        <v>87.13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86.7221</v>
      </c>
      <c r="M86" s="12">
        <f>IF(COUNT(L81:L86)=6,(AVERAGE(L84:L86)/AVERAGE(L81:L83))^4-1,"")</f>
        <v/>
      </c>
      <c r="N86" s="10" t="n">
        <v>84.98999999999999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84.6459</v>
      </c>
      <c r="S86" s="12">
        <f>IF(COUNT(R81:R86)=6,(AVERAGE(R84:R86)/AVERAGE(R81:R83))^4-1,"")</f>
        <v/>
      </c>
      <c r="T86" s="10" t="n">
        <v>82.42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82.282</v>
      </c>
      <c r="Y86" s="12">
        <f>IF(COUNT(X81:X86)=6,(AVERAGE(X84:X86)/AVERAGE(X81:X83))^4-1,"")</f>
        <v/>
      </c>
      <c r="Z86" s="10" t="n">
        <v>86.33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86.1018</v>
      </c>
      <c r="AE86" s="12">
        <f>IF(COUNT(AD81:AD86)=6,(AVERAGE(AD84:AD86)/AVERAGE(AD81:AD83))^4-1,"")</f>
        <v/>
      </c>
      <c r="AF86" s="10" t="n">
        <v>76.98999999999999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77.1896</v>
      </c>
      <c r="AK86" s="12">
        <f>IF(COUNT(AJ81:AJ86)=6,(AVERAGE(AJ84:AJ86)/AVERAGE(AJ81:AJ83))^4-1,"")</f>
        <v/>
      </c>
      <c r="AL86" s="10" t="n">
        <v>78.56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78.6867</v>
      </c>
      <c r="AQ86" s="12">
        <f>IF(COUNT(AP81:AP86)=6,(AVERAGE(AP84:AP86)/AVERAGE(AP81:AP83))^4-1,"")</f>
        <v/>
      </c>
      <c r="AR86" s="10" t="n">
        <v>88.20999999999999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88.1293</v>
      </c>
      <c r="AW86" s="12">
        <f>IF(COUNT(AV81:AV86)=6,(AVERAGE(AV84:AV86)/AVERAGE(AV81:AV83))^4-1,"")</f>
        <v/>
      </c>
    </row>
    <row r="87">
      <c r="A87" s="9" t="n">
        <v>44501</v>
      </c>
      <c r="B87" s="10" t="n">
        <v>84.12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84.6063</v>
      </c>
      <c r="G87" s="12">
        <f>IF(COUNT(F82:F87)=6,(AVERAGE(F85:F87)/AVERAGE(F82:F84))^4-1,"")</f>
        <v/>
      </c>
      <c r="H87" s="10" t="n">
        <v>87.05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87.5364</v>
      </c>
      <c r="M87" s="12">
        <f>IF(COUNT(L82:L87)=6,(AVERAGE(L85:L87)/AVERAGE(L82:L84))^4-1,"")</f>
        <v/>
      </c>
      <c r="N87" s="10" t="n">
        <v>84.98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85.5176</v>
      </c>
      <c r="S87" s="12">
        <f>IF(COUNT(R82:R87)=6,(AVERAGE(R85:R87)/AVERAGE(R82:R84))^4-1,"")</f>
        <v/>
      </c>
      <c r="T87" s="10" t="n">
        <v>82.98999999999999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82.89570000000001</v>
      </c>
      <c r="Y87" s="12">
        <f>IF(COUNT(X82:X87)=6,(AVERAGE(X85:X87)/AVERAGE(X82:X84))^4-1,"")</f>
        <v/>
      </c>
      <c r="Z87" s="10" t="n">
        <v>85.95999999999999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86.99590000000001</v>
      </c>
      <c r="AE87" s="12">
        <f>IF(COUNT(AD82:AD87)=6,(AVERAGE(AD85:AD87)/AVERAGE(AD82:AD84))^4-1,"")</f>
        <v/>
      </c>
      <c r="AF87" s="10" t="n">
        <v>77.20999999999999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77.3814</v>
      </c>
      <c r="AK87" s="12">
        <f>IF(COUNT(AJ82:AJ87)=6,(AVERAGE(AJ85:AJ87)/AVERAGE(AJ82:AJ84))^4-1,"")</f>
        <v/>
      </c>
      <c r="AL87" s="10" t="n">
        <v>79.98999999999999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80.18859999999999</v>
      </c>
      <c r="AQ87" s="12">
        <f>IF(COUNT(AP82:AP87)=6,(AVERAGE(AP85:AP87)/AVERAGE(AP82:AP84))^4-1,"")</f>
        <v/>
      </c>
      <c r="AR87" s="10" t="n">
        <v>89.29000000000001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89.59520000000001</v>
      </c>
      <c r="AW87" s="12">
        <f>IF(COUNT(AV82:AV87)=6,(AVERAGE(AV85:AV87)/AVERAGE(AV82:AV84))^4-1,"")</f>
        <v/>
      </c>
    </row>
    <row r="88">
      <c r="A88" s="9" t="n">
        <v>44531</v>
      </c>
      <c r="B88" s="10" t="n">
        <v>84.38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84.5795</v>
      </c>
      <c r="G88" s="12">
        <f>IF(COUNT(F83:F88)=6,(AVERAGE(F86:F88)/AVERAGE(F83:F85))^4-1,"")</f>
        <v/>
      </c>
      <c r="H88" s="10" t="n">
        <v>87.48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87.6177</v>
      </c>
      <c r="M88" s="12">
        <f>IF(COUNT(L83:L88)=6,(AVERAGE(L86:L88)/AVERAGE(L83:L85))^4-1,"")</f>
        <v/>
      </c>
      <c r="N88" s="10" t="n">
        <v>85.44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85.6568</v>
      </c>
      <c r="S88" s="12">
        <f>IF(COUNT(R83:R88)=6,(AVERAGE(R86:R88)/AVERAGE(R83:R85))^4-1,"")</f>
        <v/>
      </c>
      <c r="T88" s="10" t="n">
        <v>82.98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83.1362</v>
      </c>
      <c r="Y88" s="12">
        <f>IF(COUNT(X83:X88)=6,(AVERAGE(X86:X88)/AVERAGE(X83:X85))^4-1,"")</f>
        <v/>
      </c>
      <c r="Z88" s="10" t="n">
        <v>86.59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86.9512</v>
      </c>
      <c r="AE88" s="12">
        <f>IF(COUNT(AD83:AD88)=6,(AVERAGE(AD86:AD88)/AVERAGE(AD83:AD85))^4-1,"")</f>
        <v/>
      </c>
      <c r="AF88" s="10" t="n">
        <v>77.78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77.9111</v>
      </c>
      <c r="AK88" s="12">
        <f>IF(COUNT(AJ83:AJ88)=6,(AVERAGE(AJ86:AJ88)/AVERAGE(AJ83:AJ85))^4-1,"")</f>
        <v/>
      </c>
      <c r="AL88" s="10" t="n">
        <v>78.87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80.0812</v>
      </c>
      <c r="AQ88" s="12">
        <f>IF(COUNT(AP83:AP88)=6,(AVERAGE(AP86:AP88)/AVERAGE(AP83:AP85))^4-1,"")</f>
        <v/>
      </c>
      <c r="AR88" s="10" t="n">
        <v>88.72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88.9689</v>
      </c>
      <c r="AW88" s="12">
        <f>IF(COUNT(AV83:AV88)=6,(AVERAGE(AV86:AV88)/AVERAGE(AV83:AV85))^4-1,"")</f>
        <v/>
      </c>
    </row>
    <row r="89">
      <c r="A89" s="9" t="n">
        <v>44562</v>
      </c>
      <c r="B89" s="10" t="n">
        <v>85.11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85.9264</v>
      </c>
      <c r="G89" s="12">
        <f>IF(COUNT(F84:F89)=6,(AVERAGE(F87:F89)/AVERAGE(F84:F86))^4-1,"")</f>
        <v/>
      </c>
      <c r="H89" s="10" t="n">
        <v>87.15000000000001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88.1587</v>
      </c>
      <c r="M89" s="12">
        <f>IF(COUNT(L84:L89)=6,(AVERAGE(L87:L89)/AVERAGE(L84:L86))^4-1,"")</f>
        <v/>
      </c>
      <c r="N89" s="10" t="n">
        <v>85.40000000000001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86.2623</v>
      </c>
      <c r="S89" s="12">
        <f>IF(COUNT(R84:R89)=6,(AVERAGE(R87:R89)/AVERAGE(R84:R86))^4-1,"")</f>
        <v/>
      </c>
      <c r="T89" s="10" t="n">
        <v>84.59999999999999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84.9273</v>
      </c>
      <c r="Y89" s="12">
        <f>IF(COUNT(X84:X89)=6,(AVERAGE(X87:X89)/AVERAGE(X84:X86))^4-1,"")</f>
        <v/>
      </c>
      <c r="Z89" s="10" t="n">
        <v>86.14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87.432</v>
      </c>
      <c r="AE89" s="12">
        <f>IF(COUNT(AD84:AD89)=6,(AVERAGE(AD87:AD89)/AVERAGE(AD84:AD86))^4-1,"")</f>
        <v/>
      </c>
      <c r="AF89" s="10" t="n">
        <v>78.8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78.5802</v>
      </c>
      <c r="AK89" s="12">
        <f>IF(COUNT(AJ84:AJ89)=6,(AVERAGE(AJ87:AJ89)/AVERAGE(AJ84:AJ86))^4-1,"")</f>
        <v/>
      </c>
      <c r="AL89" s="10" t="n">
        <v>84.81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84.3883</v>
      </c>
      <c r="AQ89" s="12">
        <f>IF(COUNT(AP84:AP89)=6,(AVERAGE(AP87:AP89)/AVERAGE(AP84:AP86))^4-1,"")</f>
        <v/>
      </c>
      <c r="AR89" s="10" t="n">
        <v>89.78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90.2684</v>
      </c>
      <c r="AW89" s="12">
        <f>IF(COUNT(AV84:AV89)=6,(AVERAGE(AV87:AV89)/AVERAGE(AV84:AV86))^4-1,"")</f>
        <v/>
      </c>
    </row>
    <row r="90">
      <c r="A90" s="9" t="n">
        <v>44593</v>
      </c>
      <c r="B90" s="10" t="n">
        <v>85.84999999999999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86.3613</v>
      </c>
      <c r="G90" s="12">
        <f>IF(COUNT(F85:F90)=6,(AVERAGE(F88:F90)/AVERAGE(F85:F87))^4-1,"")</f>
        <v/>
      </c>
      <c r="H90" s="10" t="n">
        <v>87.58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88.23869999999999</v>
      </c>
      <c r="M90" s="12">
        <f>IF(COUNT(L85:L90)=6,(AVERAGE(L88:L90)/AVERAGE(L85:L87))^4-1,"")</f>
        <v/>
      </c>
      <c r="N90" s="10" t="n">
        <v>85.88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86.425</v>
      </c>
      <c r="S90" s="12">
        <f>IF(COUNT(R85:R90)=6,(AVERAGE(R88:R90)/AVERAGE(R85:R87))^4-1,"")</f>
        <v/>
      </c>
      <c r="T90" s="10" t="n">
        <v>85.64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85.7654</v>
      </c>
      <c r="Y90" s="12">
        <f>IF(COUNT(X85:X90)=6,(AVERAGE(X88:X90)/AVERAGE(X85:X87))^4-1,"")</f>
        <v/>
      </c>
      <c r="Z90" s="10" t="n">
        <v>86.5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87.33</v>
      </c>
      <c r="AE90" s="12">
        <f>IF(COUNT(AD85:AD90)=6,(AVERAGE(AD88:AD90)/AVERAGE(AD85:AD87))^4-1,"")</f>
        <v/>
      </c>
      <c r="AF90" s="10" t="n">
        <v>79.47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79.2076</v>
      </c>
      <c r="AK90" s="12">
        <f>IF(COUNT(AJ85:AJ90)=6,(AVERAGE(AJ88:AJ90)/AVERAGE(AJ85:AJ87))^4-1,"")</f>
        <v/>
      </c>
      <c r="AL90" s="10" t="n">
        <v>87.34999999999999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86.48520000000001</v>
      </c>
      <c r="AQ90" s="12">
        <f>IF(COUNT(AP85:AP90)=6,(AVERAGE(AP88:AP90)/AVERAGE(AP85:AP87))^4-1,"")</f>
        <v/>
      </c>
      <c r="AR90" s="10" t="n">
        <v>91.17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91.3171</v>
      </c>
      <c r="AW90" s="12">
        <f>IF(COUNT(AV85:AV90)=6,(AVERAGE(AV88:AV90)/AVERAGE(AV85:AV87))^4-1,"")</f>
        <v/>
      </c>
    </row>
    <row r="91">
      <c r="A91" s="9" t="n">
        <v>44621</v>
      </c>
      <c r="B91" s="10" t="n">
        <v>88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88.1915</v>
      </c>
      <c r="G91" s="12">
        <f>IF(COUNT(F86:F91)=6,(AVERAGE(F89:F91)/AVERAGE(F86:F88))^4-1,"")</f>
        <v/>
      </c>
      <c r="H91" s="10" t="n">
        <v>88.14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88.3917</v>
      </c>
      <c r="M91" s="12">
        <f>IF(COUNT(L86:L91)=6,(AVERAGE(L89:L91)/AVERAGE(L86:L88))^4-1,"")</f>
        <v/>
      </c>
      <c r="N91" s="10" t="n">
        <v>86.45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86.6656</v>
      </c>
      <c r="S91" s="12">
        <f>IF(COUNT(R86:R91)=6,(AVERAGE(R89:R91)/AVERAGE(R86:R88))^4-1,"")</f>
        <v/>
      </c>
      <c r="T91" s="10" t="n">
        <v>89.2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89.03360000000001</v>
      </c>
      <c r="Y91" s="12">
        <f>IF(COUNT(X86:X91)=6,(AVERAGE(X89:X91)/AVERAGE(X86:X88))^4-1,"")</f>
        <v/>
      </c>
      <c r="Z91" s="10" t="n">
        <v>86.78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87.2589</v>
      </c>
      <c r="AE91" s="12">
        <f>IF(COUNT(AD86:AD91)=6,(AVERAGE(AD89:AD91)/AVERAGE(AD86:AD88))^4-1,"")</f>
        <v/>
      </c>
      <c r="AF91" s="10" t="n">
        <v>80.06999999999999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79.8914</v>
      </c>
      <c r="AK91" s="12">
        <f>IF(COUNT(AJ86:AJ91)=6,(AVERAGE(AJ89:AJ91)/AVERAGE(AJ86:AJ88))^4-1,"")</f>
        <v/>
      </c>
      <c r="AL91" s="10" t="n">
        <v>100.14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99.5483</v>
      </c>
      <c r="AQ91" s="12">
        <f>IF(COUNT(AP86:AP91)=6,(AVERAGE(AP89:AP91)/AVERAGE(AP86:AP88))^4-1,"")</f>
        <v/>
      </c>
      <c r="AR91" s="10" t="n">
        <v>97.48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97.31270000000001</v>
      </c>
      <c r="AW91" s="12">
        <f>IF(COUNT(AV86:AV91)=6,(AVERAGE(AV89:AV91)/AVERAGE(AV86:AV88))^4-1,"")</f>
        <v/>
      </c>
    </row>
    <row r="92">
      <c r="A92" s="9" t="n">
        <v>44652</v>
      </c>
      <c r="B92" s="10" t="n">
        <v>88.65000000000001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88.5162</v>
      </c>
      <c r="G92" s="12">
        <f>IF(COUNT(F87:F92)=6,(AVERAGE(F90:F92)/AVERAGE(F87:F89))^4-1,"")</f>
        <v/>
      </c>
      <c r="H92" s="10" t="n">
        <v>88.95999999999999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88.8767</v>
      </c>
      <c r="M92" s="12">
        <f>IF(COUNT(L87:L92)=6,(AVERAGE(L90:L92)/AVERAGE(L87:L89))^4-1,"")</f>
        <v/>
      </c>
      <c r="N92" s="10" t="n">
        <v>87.54000000000001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87.4714</v>
      </c>
      <c r="S92" s="12">
        <f>IF(COUNT(R87:R92)=6,(AVERAGE(R90:R92)/AVERAGE(R87:R89))^4-1,"")</f>
        <v/>
      </c>
      <c r="T92" s="10" t="n">
        <v>89.7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89.3556</v>
      </c>
      <c r="Y92" s="12">
        <f>IF(COUNT(X87:X92)=6,(AVERAGE(X90:X92)/AVERAGE(X87:X89))^4-1,"")</f>
        <v/>
      </c>
      <c r="Z92" s="10" t="n">
        <v>87.64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87.68000000000001</v>
      </c>
      <c r="AE92" s="12">
        <f>IF(COUNT(AD87:AD92)=6,(AVERAGE(AD90:AD92)/AVERAGE(AD87:AD89))^4-1,"")</f>
        <v/>
      </c>
      <c r="AF92" s="10" t="n">
        <v>82.15000000000001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81.7914</v>
      </c>
      <c r="AK92" s="12">
        <f>IF(COUNT(AJ87:AJ92)=6,(AVERAGE(AJ90:AJ92)/AVERAGE(AJ87:AJ89))^4-1,"")</f>
        <v/>
      </c>
      <c r="AL92" s="10" t="n">
        <v>97.81999999999999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96.58280000000001</v>
      </c>
      <c r="AQ92" s="12">
        <f>IF(COUNT(AP87:AP92)=6,(AVERAGE(AP90:AP92)/AVERAGE(AP87:AP89))^4-1,"")</f>
        <v/>
      </c>
      <c r="AR92" s="10" t="n">
        <v>96.53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95.82940000000001</v>
      </c>
      <c r="AW92" s="12">
        <f>IF(COUNT(AV87:AV92)=6,(AVERAGE(AV90:AV92)/AVERAGE(AV87:AV89))^4-1,"")</f>
        <v/>
      </c>
    </row>
    <row r="93">
      <c r="A93" s="9" t="n">
        <v>44682</v>
      </c>
      <c r="B93" s="10" t="n">
        <v>89.56999999999999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89.4126</v>
      </c>
      <c r="G93" s="12">
        <f>IF(COUNT(F88:F93)=6,(AVERAGE(F91:F93)/AVERAGE(F88:F90))^4-1,"")</f>
        <v/>
      </c>
      <c r="H93" s="10" t="n">
        <v>89.42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89.26479999999999</v>
      </c>
      <c r="M93" s="12">
        <f>IF(COUNT(L88:L93)=6,(AVERAGE(L91:L93)/AVERAGE(L88:L90))^4-1,"")</f>
        <v/>
      </c>
      <c r="N93" s="10" t="n">
        <v>88.19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88.0377</v>
      </c>
      <c r="S93" s="12">
        <f>IF(COUNT(R88:R93)=6,(AVERAGE(R91:R93)/AVERAGE(R88:R90))^4-1,"")</f>
        <v/>
      </c>
      <c r="T93" s="10" t="n">
        <v>91.14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90.8411</v>
      </c>
      <c r="Y93" s="12">
        <f>IF(COUNT(X88:X93)=6,(AVERAGE(X91:X93)/AVERAGE(X88:X90))^4-1,"")</f>
        <v/>
      </c>
      <c r="Z93" s="10" t="n">
        <v>87.88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87.8943</v>
      </c>
      <c r="AE93" s="12">
        <f>IF(COUNT(AD88:AD93)=6,(AVERAGE(AD91:AD93)/AVERAGE(AD88:AD90))^4-1,"")</f>
        <v/>
      </c>
      <c r="AF93" s="10" t="n">
        <v>83.51000000000001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83.4162</v>
      </c>
      <c r="AK93" s="12">
        <f>IF(COUNT(AJ88:AJ93)=6,(AVERAGE(AJ91:AJ93)/AVERAGE(AJ88:AJ90))^4-1,"")</f>
        <v/>
      </c>
      <c r="AL93" s="10" t="n">
        <v>100.61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100.2219</v>
      </c>
      <c r="AQ93" s="12">
        <f>IF(COUNT(AP88:AP93)=6,(AVERAGE(AP91:AP93)/AVERAGE(AP88:AP90))^4-1,"")</f>
        <v/>
      </c>
      <c r="AR93" s="10" t="n">
        <v>97.63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97.5534</v>
      </c>
      <c r="AW93" s="12">
        <f>IF(COUNT(AV88:AV93)=6,(AVERAGE(AV91:AV93)/AVERAGE(AV88:AV90))^4-1,"")</f>
        <v/>
      </c>
    </row>
    <row r="94">
      <c r="A94" s="9" t="n">
        <v>44713</v>
      </c>
      <c r="B94" s="10" t="n">
        <v>89.55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89.2864</v>
      </c>
      <c r="G94" s="12">
        <f>IF(COUNT(F89:F94)=6,(AVERAGE(F92:F94)/AVERAGE(F89:F91))^4-1,"")</f>
        <v/>
      </c>
      <c r="H94" s="10" t="n">
        <v>89.03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88.67570000000001</v>
      </c>
      <c r="M94" s="12">
        <f>IF(COUNT(L89:L94)=6,(AVERAGE(L92:L94)/AVERAGE(L89:L91))^4-1,"")</f>
        <v/>
      </c>
      <c r="N94" s="10" t="n">
        <v>88.06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87.75620000000001</v>
      </c>
      <c r="S94" s="12">
        <f>IF(COUNT(R89:R94)=6,(AVERAGE(R92:R94)/AVERAGE(R89:R91))^4-1,"")</f>
        <v/>
      </c>
      <c r="T94" s="10" t="n">
        <v>91.67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91.6876</v>
      </c>
      <c r="Y94" s="12">
        <f>IF(COUNT(X89:X94)=6,(AVERAGE(X92:X94)/AVERAGE(X89:X91))^4-1,"")</f>
        <v/>
      </c>
      <c r="Z94" s="10" t="n">
        <v>87.14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86.5822</v>
      </c>
      <c r="AE94" s="12">
        <f>IF(COUNT(AD89:AD94)=6,(AVERAGE(AD92:AD94)/AVERAGE(AD89:AD91))^4-1,"")</f>
        <v/>
      </c>
      <c r="AF94" s="10" t="n">
        <v>84.34999999999999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84.50190000000001</v>
      </c>
      <c r="AK94" s="12">
        <f>IF(COUNT(AJ89:AJ94)=6,(AVERAGE(AJ92:AJ94)/AVERAGE(AJ89:AJ91))^4-1,"")</f>
        <v/>
      </c>
      <c r="AL94" s="10" t="n">
        <v>101.31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101.5564</v>
      </c>
      <c r="AQ94" s="12">
        <f>IF(COUNT(AP89:AP94)=6,(AVERAGE(AP92:AP94)/AVERAGE(AP89:AP91))^4-1,"")</f>
        <v/>
      </c>
      <c r="AR94" s="10" t="n">
        <v>92.52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92.7251</v>
      </c>
      <c r="AW94" s="12">
        <f>IF(COUNT(AV89:AV94)=6,(AVERAGE(AV92:AV94)/AVERAGE(AV89:AV91))^4-1,"")</f>
        <v/>
      </c>
    </row>
    <row r="95">
      <c r="A95" s="9" t="n">
        <v>44743</v>
      </c>
      <c r="B95" s="10" t="n">
        <v>90.18000000000001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89.63039999999999</v>
      </c>
      <c r="G95" s="12">
        <f>IF(COUNT(F90:F95)=6,(AVERAGE(F93:F95)/AVERAGE(F90:F92))^4-1,"")</f>
        <v/>
      </c>
      <c r="H95" s="10" t="n">
        <v>89.56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88.98390000000001</v>
      </c>
      <c r="M95" s="12">
        <f>IF(COUNT(L90:L95)=6,(AVERAGE(L93:L95)/AVERAGE(L90:L92))^4-1,"")</f>
        <v/>
      </c>
      <c r="N95" s="10" t="n">
        <v>88.78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88.1962</v>
      </c>
      <c r="S95" s="12">
        <f>IF(COUNT(R90:R95)=6,(AVERAGE(R93:R95)/AVERAGE(R90:R92))^4-1,"")</f>
        <v/>
      </c>
      <c r="T95" s="10" t="n">
        <v>92.15000000000001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92.4306</v>
      </c>
      <c r="Y95" s="12">
        <f>IF(COUNT(X90:X95)=6,(AVERAGE(X93:X95)/AVERAGE(X90:X92))^4-1,"")</f>
        <v/>
      </c>
      <c r="Z95" s="10" t="n">
        <v>87.97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86.563</v>
      </c>
      <c r="AE95" s="12">
        <f>IF(COUNT(AD90:AD95)=6,(AVERAGE(AD93:AD95)/AVERAGE(AD90:AD92))^4-1,"")</f>
        <v/>
      </c>
      <c r="AF95" s="10" t="n">
        <v>85.77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85.8931</v>
      </c>
      <c r="AK95" s="12">
        <f>IF(COUNT(AJ90:AJ95)=6,(AVERAGE(AJ93:AJ95)/AVERAGE(AJ90:AJ92))^4-1,"")</f>
        <v/>
      </c>
      <c r="AL95" s="10" t="n">
        <v>101.34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101.244</v>
      </c>
      <c r="AQ95" s="12">
        <f>IF(COUNT(AP90:AP95)=6,(AVERAGE(AP93:AP95)/AVERAGE(AP90:AP92))^4-1,"")</f>
        <v/>
      </c>
      <c r="AR95" s="10" t="n">
        <v>91.56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91.1237</v>
      </c>
      <c r="AW95" s="12">
        <f>IF(COUNT(AV90:AV95)=6,(AVERAGE(AV93:AV95)/AVERAGE(AV90:AV92))^4-1,"")</f>
        <v/>
      </c>
    </row>
    <row r="96">
      <c r="A96" s="9" t="n">
        <v>44774</v>
      </c>
      <c r="B96" s="10" t="n">
        <v>90.59999999999999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90.1815</v>
      </c>
      <c r="G96" s="12">
        <f>IF(COUNT(F91:F96)=6,(AVERAGE(F94:F96)/AVERAGE(F91:F93))^4-1,"")</f>
        <v/>
      </c>
      <c r="H96" s="10" t="n">
        <v>89.78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89.3291</v>
      </c>
      <c r="M96" s="12">
        <f>IF(COUNT(L91:L96)=6,(AVERAGE(L94:L96)/AVERAGE(L91:L93))^4-1,"")</f>
        <v/>
      </c>
      <c r="N96" s="10" t="n">
        <v>89.19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88.7243</v>
      </c>
      <c r="S96" s="12">
        <f>IF(COUNT(R91:R96)=6,(AVERAGE(R94:R96)/AVERAGE(R91:R93))^4-1,"")</f>
        <v/>
      </c>
      <c r="T96" s="10" t="n">
        <v>92.79000000000001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93.0226</v>
      </c>
      <c r="Y96" s="12">
        <f>IF(COUNT(X91:X96)=6,(AVERAGE(X94:X96)/AVERAGE(X91:X93))^4-1,"")</f>
        <v/>
      </c>
      <c r="Z96" s="10" t="n">
        <v>88.09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86.9367</v>
      </c>
      <c r="AE96" s="12">
        <f>IF(COUNT(AD91:AD96)=6,(AVERAGE(AD94:AD96)/AVERAGE(AD91:AD93))^4-1,"")</f>
        <v/>
      </c>
      <c r="AF96" s="10" t="n">
        <v>86.81999999999999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87.10599999999999</v>
      </c>
      <c r="AK96" s="12">
        <f>IF(COUNT(AJ91:AJ96)=6,(AVERAGE(AJ94:AJ96)/AVERAGE(AJ91:AJ93))^4-1,"")</f>
        <v/>
      </c>
      <c r="AL96" s="10" t="n">
        <v>101.88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101.9322</v>
      </c>
      <c r="AQ96" s="12">
        <f>IF(COUNT(AP91:AP96)=6,(AVERAGE(AP94:AP96)/AVERAGE(AP91:AP93))^4-1,"")</f>
        <v/>
      </c>
      <c r="AR96" s="10" t="n">
        <v>90.61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90.42610000000001</v>
      </c>
      <c r="AW96" s="12">
        <f>IF(COUNT(AV91:AV96)=6,(AVERAGE(AV94:AV96)/AVERAGE(AV91:AV93))^4-1,"")</f>
        <v/>
      </c>
    </row>
    <row r="97">
      <c r="A97" s="9" t="n">
        <v>44805</v>
      </c>
      <c r="B97" s="10" t="n">
        <v>92.59999999999999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92.2041</v>
      </c>
      <c r="G97" s="12">
        <f>IF(COUNT(F92:F97)=6,(AVERAGE(F95:F97)/AVERAGE(F92:F94))^4-1,"")</f>
        <v/>
      </c>
      <c r="H97" s="10" t="n">
        <v>91.05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90.6146</v>
      </c>
      <c r="M97" s="12">
        <f>IF(COUNT(L92:L97)=6,(AVERAGE(L95:L97)/AVERAGE(L92:L94))^4-1,"")</f>
        <v/>
      </c>
      <c r="N97" s="10" t="n">
        <v>90.44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90.0729</v>
      </c>
      <c r="S97" s="12">
        <f>IF(COUNT(R92:R97)=6,(AVERAGE(R95:R97)/AVERAGE(R92:R94))^4-1,"")</f>
        <v/>
      </c>
      <c r="T97" s="10" t="n">
        <v>95.33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95.2094</v>
      </c>
      <c r="Y97" s="12">
        <f>IF(COUNT(X92:X97)=6,(AVERAGE(X95:X97)/AVERAGE(X92:X94))^4-1,"")</f>
        <v/>
      </c>
      <c r="Z97" s="10" t="n">
        <v>89.38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88.9054</v>
      </c>
      <c r="AE97" s="12">
        <f>IF(COUNT(AD92:AD97)=6,(AVERAGE(AD95:AD97)/AVERAGE(AD92:AD94))^4-1,"")</f>
        <v/>
      </c>
      <c r="AF97" s="10" t="n">
        <v>88.03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88.2231</v>
      </c>
      <c r="AK97" s="12">
        <f>IF(COUNT(AJ92:AJ97)=6,(AVERAGE(AJ95:AJ97)/AVERAGE(AJ92:AJ94))^4-1,"")</f>
        <v/>
      </c>
      <c r="AL97" s="10" t="n">
        <v>108.89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110.4994</v>
      </c>
      <c r="AQ97" s="12">
        <f>IF(COUNT(AP92:AP97)=6,(AVERAGE(AP95:AP97)/AVERAGE(AP92:AP94))^4-1,"")</f>
        <v/>
      </c>
      <c r="AR97" s="10" t="n">
        <v>98.3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98.4723</v>
      </c>
      <c r="AW97" s="12">
        <f>IF(COUNT(AV92:AV97)=6,(AVERAGE(AV95:AV97)/AVERAGE(AV92:AV94))^4-1,"")</f>
        <v/>
      </c>
    </row>
    <row r="98">
      <c r="A98" s="9" t="n">
        <v>44835</v>
      </c>
      <c r="B98" s="10" t="n">
        <v>93.65000000000001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93.3686</v>
      </c>
      <c r="G98" s="12">
        <f>IF(COUNT(F93:F98)=6,(AVERAGE(F96:F98)/AVERAGE(F93:F95))^4-1,"")</f>
        <v/>
      </c>
      <c r="H98" s="10" t="n">
        <v>91.62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91.21980000000001</v>
      </c>
      <c r="M98" s="12">
        <f>IF(COUNT(L93:L98)=6,(AVERAGE(L96:L98)/AVERAGE(L93:L95))^4-1,"")</f>
        <v/>
      </c>
      <c r="N98" s="10" t="n">
        <v>91.08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90.71720000000001</v>
      </c>
      <c r="S98" s="12">
        <f>IF(COUNT(R93:R98)=6,(AVERAGE(R96:R98)/AVERAGE(R93:R95))^4-1,"")</f>
        <v/>
      </c>
      <c r="T98" s="10" t="n">
        <v>96.95999999999999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96.8233</v>
      </c>
      <c r="Y98" s="12">
        <f>IF(COUNT(X93:X98)=6,(AVERAGE(X96:X98)/AVERAGE(X93:X95))^4-1,"")</f>
        <v/>
      </c>
      <c r="Z98" s="10" t="n">
        <v>89.68000000000001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89.44199999999999</v>
      </c>
      <c r="AE98" s="12">
        <f>IF(COUNT(AD93:AD98)=6,(AVERAGE(AD96:AD98)/AVERAGE(AD93:AD95))^4-1,"")</f>
        <v/>
      </c>
      <c r="AF98" s="10" t="n">
        <v>88.92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89.12050000000001</v>
      </c>
      <c r="AK98" s="12">
        <f>IF(COUNT(AJ93:AJ98)=6,(AVERAGE(AJ96:AJ98)/AVERAGE(AJ93:AJ95))^4-1,"")</f>
        <v/>
      </c>
      <c r="AL98" s="10" t="n">
        <v>112.76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113.1369</v>
      </c>
      <c r="AQ98" s="12">
        <f>IF(COUNT(AP93:AP98)=6,(AVERAGE(AP96:AP98)/AVERAGE(AP93:AP95))^4-1,"")</f>
        <v/>
      </c>
      <c r="AR98" s="10" t="n">
        <v>98.41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98.36320000000001</v>
      </c>
      <c r="AW98" s="12">
        <f>IF(COUNT(AV93:AV98)=6,(AVERAGE(AV96:AV98)/AVERAGE(AV93:AV95))^4-1,"")</f>
        <v/>
      </c>
    </row>
    <row r="99">
      <c r="A99" s="9" t="n">
        <v>44866</v>
      </c>
      <c r="B99" s="10" t="n">
        <v>93.64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94.16759999999999</v>
      </c>
      <c r="G99" s="12">
        <f>IF(COUNT(F94:F99)=6,(AVERAGE(F97:F99)/AVERAGE(F94:F96))^4-1,"")</f>
        <v/>
      </c>
      <c r="H99" s="10" t="n">
        <v>91.48999999999999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91.97069999999999</v>
      </c>
      <c r="M99" s="12">
        <f>IF(COUNT(L94:L99)=6,(AVERAGE(L97:L99)/AVERAGE(L94:L96))^4-1,"")</f>
        <v/>
      </c>
      <c r="N99" s="10" t="n">
        <v>91.18000000000001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91.71769999999999</v>
      </c>
      <c r="S99" s="12">
        <f>IF(COUNT(R94:R99)=6,(AVERAGE(R97:R99)/AVERAGE(R94:R96))^4-1,"")</f>
        <v/>
      </c>
      <c r="T99" s="10" t="n">
        <v>97.3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97.2281</v>
      </c>
      <c r="Y99" s="12">
        <f>IF(COUNT(X94:X99)=6,(AVERAGE(X97:X99)/AVERAGE(X94:X96))^4-1,"")</f>
        <v/>
      </c>
      <c r="Z99" s="10" t="n">
        <v>89.20999999999999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90.2122</v>
      </c>
      <c r="AE99" s="12">
        <f>IF(COUNT(AD94:AD99)=6,(AVERAGE(AD97:AD99)/AVERAGE(AD94:AD96))^4-1,"")</f>
        <v/>
      </c>
      <c r="AF99" s="10" t="n">
        <v>89.81999999999999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89.99299999999999</v>
      </c>
      <c r="AK99" s="12">
        <f>IF(COUNT(AJ94:AJ99)=6,(AVERAGE(AJ97:AJ99)/AVERAGE(AJ94:AJ96))^4-1,"")</f>
        <v/>
      </c>
      <c r="AL99" s="10" t="n">
        <v>112.07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112.5568</v>
      </c>
      <c r="AQ99" s="12">
        <f>IF(COUNT(AP94:AP99)=6,(AVERAGE(AP97:AP99)/AVERAGE(AP94:AP96))^4-1,"")</f>
        <v/>
      </c>
      <c r="AR99" s="10" t="n">
        <v>97.70999999999999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98.2213</v>
      </c>
      <c r="AW99" s="12">
        <f>IF(COUNT(AV94:AV99)=6,(AVERAGE(AV97:AV99)/AVERAGE(AV94:AV96))^4-1,"")</f>
        <v/>
      </c>
    </row>
    <row r="100">
      <c r="A100" s="9" t="n">
        <v>44896</v>
      </c>
      <c r="B100" s="10" t="n">
        <v>92.48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92.7266</v>
      </c>
      <c r="G100" s="12">
        <f>IF(COUNT(F95:F100)=6,(AVERAGE(F98:F100)/AVERAGE(F95:F97))^4-1,"")</f>
        <v/>
      </c>
      <c r="H100" s="10" t="n">
        <v>92.13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92.289</v>
      </c>
      <c r="M100" s="12">
        <f>IF(COUNT(L95:L100)=6,(AVERAGE(L98:L100)/AVERAGE(L95:L97))^4-1,"")</f>
        <v/>
      </c>
      <c r="N100" s="10" t="n">
        <v>91.83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92.06829999999999</v>
      </c>
      <c r="S100" s="12">
        <f>IF(COUNT(R95:R100)=6,(AVERAGE(R98:R100)/AVERAGE(R95:R97))^4-1,"")</f>
        <v/>
      </c>
      <c r="T100" s="10" t="n">
        <v>94.59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94.83150000000001</v>
      </c>
      <c r="Y100" s="12">
        <f>IF(COUNT(X95:X100)=6,(AVERAGE(X98:X100)/AVERAGE(X95:X97))^4-1,"")</f>
        <v/>
      </c>
      <c r="Z100" s="10" t="n">
        <v>90.08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90.47020000000001</v>
      </c>
      <c r="AE100" s="12">
        <f>IF(COUNT(AD95:AD100)=6,(AVERAGE(AD98:AD100)/AVERAGE(AD95:AD97))^4-1,"")</f>
        <v/>
      </c>
      <c r="AF100" s="10" t="n">
        <v>90.51000000000001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90.6772</v>
      </c>
      <c r="AK100" s="12">
        <f>IF(COUNT(AJ95:AJ100)=6,(AVERAGE(AJ98:AJ100)/AVERAGE(AJ95:AJ97))^4-1,"")</f>
        <v/>
      </c>
      <c r="AL100" s="10" t="n">
        <v>98.67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100.4868</v>
      </c>
      <c r="AQ100" s="12">
        <f>IF(COUNT(AP95:AP100)=6,(AVERAGE(AP98:AP100)/AVERAGE(AP95:AP97))^4-1,"")</f>
        <v/>
      </c>
      <c r="AR100" s="10" t="n">
        <v>95.68000000000001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96.0643</v>
      </c>
      <c r="AW100" s="12">
        <f>IF(COUNT(AV95:AV100)=6,(AVERAGE(AV98:AV100)/AVERAGE(AV95:AV97))^4-1,"")</f>
        <v/>
      </c>
    </row>
    <row r="101">
      <c r="A101" s="9" t="n">
        <v>44927</v>
      </c>
      <c r="B101" s="10" t="n">
        <v>92.98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93.8159</v>
      </c>
      <c r="G101" s="12">
        <f>IF(COUNT(F96:F101)=6,(AVERAGE(F99:F101)/AVERAGE(F96:F98))^4-1,"")</f>
        <v/>
      </c>
      <c r="H101" s="10" t="n">
        <v>91.56999999999999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92.5402</v>
      </c>
      <c r="M101" s="12">
        <f>IF(COUNT(L96:L101)=6,(AVERAGE(L99:L101)/AVERAGE(L96:L98))^4-1,"")</f>
        <v/>
      </c>
      <c r="N101" s="10" t="n">
        <v>91.63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92.47499999999999</v>
      </c>
      <c r="S101" s="12">
        <f>IF(COUNT(R96:R101)=6,(AVERAGE(R99:R101)/AVERAGE(R96:R98))^4-1,"")</f>
        <v/>
      </c>
      <c r="T101" s="10" t="n">
        <v>96.20999999999999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96.5996</v>
      </c>
      <c r="Y101" s="12">
        <f>IF(COUNT(X96:X101)=6,(AVERAGE(X99:X101)/AVERAGE(X96:X98))^4-1,"")</f>
        <v/>
      </c>
      <c r="Z101" s="10" t="n">
        <v>89.29000000000001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90.5099</v>
      </c>
      <c r="AE101" s="12">
        <f>IF(COUNT(AD96:AD101)=6,(AVERAGE(AD99:AD101)/AVERAGE(AD96:AD98))^4-1,"")</f>
        <v/>
      </c>
      <c r="AF101" s="10" t="n">
        <v>91.93000000000001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91.6836</v>
      </c>
      <c r="AK101" s="12">
        <f>IF(COUNT(AJ96:AJ101)=6,(AVERAGE(AJ99:AJ101)/AVERAGE(AJ96:AJ98))^4-1,"")</f>
        <v/>
      </c>
      <c r="AL101" s="10" t="n">
        <v>106.1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105.769</v>
      </c>
      <c r="AQ101" s="12">
        <f>IF(COUNT(AP96:AP101)=6,(AVERAGE(AP99:AP101)/AVERAGE(AP96:AP98))^4-1,"")</f>
        <v/>
      </c>
      <c r="AR101" s="10" t="n">
        <v>95.84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96.4319</v>
      </c>
      <c r="AW101" s="12">
        <f>IF(COUNT(AV96:AV101)=6,(AVERAGE(AV99:AV101)/AVERAGE(AV96:AV98))^4-1,"")</f>
        <v/>
      </c>
    </row>
    <row r="102">
      <c r="A102" s="9" t="n">
        <v>44958</v>
      </c>
      <c r="B102" s="10" t="n">
        <v>93.87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94.404</v>
      </c>
      <c r="G102" s="12">
        <f>IF(COUNT(F97:F102)=6,(AVERAGE(F100:F102)/AVERAGE(F97:F99))^4-1,"")</f>
        <v/>
      </c>
      <c r="H102" s="10" t="n">
        <v>92.34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92.98220000000001</v>
      </c>
      <c r="M102" s="12">
        <f>IF(COUNT(L97:L102)=6,(AVERAGE(L100:L102)/AVERAGE(L97:L99))^4-1,"")</f>
        <v/>
      </c>
      <c r="N102" s="10" t="n">
        <v>92.61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93.15179999999999</v>
      </c>
      <c r="S102" s="12">
        <f>IF(COUNT(R97:R102)=6,(AVERAGE(R100:R102)/AVERAGE(R97:R99))^4-1,"")</f>
        <v/>
      </c>
      <c r="T102" s="10" t="n">
        <v>97.06999999999999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97.23609999999999</v>
      </c>
      <c r="Y102" s="12">
        <f>IF(COUNT(X97:X102)=6,(AVERAGE(X100:X102)/AVERAGE(X97:X99))^4-1,"")</f>
        <v/>
      </c>
      <c r="Z102" s="10" t="n">
        <v>90.22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91.0081</v>
      </c>
      <c r="AE102" s="12">
        <f>IF(COUNT(AD97:AD102)=6,(AVERAGE(AD100:AD102)/AVERAGE(AD97:AD99))^4-1,"")</f>
        <v/>
      </c>
      <c r="AF102" s="10" t="n">
        <v>93.77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93.47329999999999</v>
      </c>
      <c r="AK102" s="12">
        <f>IF(COUNT(AJ97:AJ102)=6,(AVERAGE(AJ100:AJ102)/AVERAGE(AJ97:AJ99))^4-1,"")</f>
        <v/>
      </c>
      <c r="AL102" s="10" t="n">
        <v>106.17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104.9614</v>
      </c>
      <c r="AQ102" s="12">
        <f>IF(COUNT(AP97:AP102)=6,(AVERAGE(AP100:AP102)/AVERAGE(AP97:AP99))^4-1,"")</f>
        <v/>
      </c>
      <c r="AR102" s="10" t="n">
        <v>96.31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96.46080000000001</v>
      </c>
      <c r="AW102" s="12">
        <f>IF(COUNT(AV97:AV102)=6,(AVERAGE(AV100:AV102)/AVERAGE(AV97:AV99))^4-1,"")</f>
        <v/>
      </c>
    </row>
    <row r="103">
      <c r="A103" s="9" t="n">
        <v>44986</v>
      </c>
      <c r="B103" s="10" t="n">
        <v>94.81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94.9427</v>
      </c>
      <c r="G103" s="12">
        <f>IF(COUNT(F98:F103)=6,(AVERAGE(F101:F103)/AVERAGE(F98:F100))^4-1,"")</f>
        <v/>
      </c>
      <c r="H103" s="10" t="n">
        <v>93.31999999999999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93.5515</v>
      </c>
      <c r="M103" s="12">
        <f>IF(COUNT(L98:L103)=6,(AVERAGE(L101:L103)/AVERAGE(L98:L100))^4-1,"")</f>
        <v/>
      </c>
      <c r="N103" s="10" t="n">
        <v>93.63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93.8199</v>
      </c>
      <c r="S103" s="12">
        <f>IF(COUNT(R98:R103)=6,(AVERAGE(R101:R103)/AVERAGE(R98:R100))^4-1,"")</f>
        <v/>
      </c>
      <c r="T103" s="10" t="n">
        <v>98.04000000000001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97.7963</v>
      </c>
      <c r="Y103" s="12">
        <f>IF(COUNT(X98:X103)=6,(AVERAGE(X101:X103)/AVERAGE(X98:X100))^4-1,"")</f>
        <v/>
      </c>
      <c r="Z103" s="10" t="n">
        <v>91.13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91.563</v>
      </c>
      <c r="AE103" s="12">
        <f>IF(COUNT(AD98:AD103)=6,(AVERAGE(AD101:AD103)/AVERAGE(AD98:AD100))^4-1,"")</f>
        <v/>
      </c>
      <c r="AF103" s="10" t="n">
        <v>95.01000000000001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94.79300000000001</v>
      </c>
      <c r="AK103" s="12">
        <f>IF(COUNT(AJ98:AJ103)=6,(AVERAGE(AJ101:AJ103)/AVERAGE(AJ98:AJ100))^4-1,"")</f>
        <v/>
      </c>
      <c r="AL103" s="10" t="n">
        <v>106.25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105.2864</v>
      </c>
      <c r="AQ103" s="12">
        <f>IF(COUNT(AP98:AP103)=6,(AVERAGE(AP101:AP103)/AVERAGE(AP98:AP100))^4-1,"")</f>
        <v/>
      </c>
      <c r="AR103" s="10" t="n">
        <v>96.91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96.52979999999999</v>
      </c>
      <c r="AW103" s="12">
        <f>IF(COUNT(AV98:AV103)=6,(AVERAGE(AV101:AV103)/AVERAGE(AV98:AV100))^4-1,"")</f>
        <v/>
      </c>
    </row>
    <row r="104">
      <c r="A104" s="9" t="n">
        <v>45017</v>
      </c>
      <c r="B104" s="10" t="n">
        <v>95.34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95.1332</v>
      </c>
      <c r="G104" s="12">
        <f>IF(COUNT(F99:F104)=6,(AVERAGE(F102:F104)/AVERAGE(F99:F101))^4-1,"")</f>
        <v/>
      </c>
      <c r="H104" s="10" t="n">
        <v>93.98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93.886</v>
      </c>
      <c r="M104" s="12">
        <f>IF(COUNT(L99:L104)=6,(AVERAGE(L102:L104)/AVERAGE(L99:L101))^4-1,"")</f>
        <v/>
      </c>
      <c r="N104" s="10" t="n">
        <v>94.14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94.0438</v>
      </c>
      <c r="S104" s="12">
        <f>IF(COUNT(R99:R104)=6,(AVERAGE(R102:R104)/AVERAGE(R99:R101))^4-1,"")</f>
        <v/>
      </c>
      <c r="T104" s="10" t="n">
        <v>98.40000000000001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97.9546</v>
      </c>
      <c r="Y104" s="12">
        <f>IF(COUNT(X99:X104)=6,(AVERAGE(X102:X104)/AVERAGE(X99:X101))^4-1,"")</f>
        <v/>
      </c>
      <c r="Z104" s="10" t="n">
        <v>91.87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91.8794</v>
      </c>
      <c r="AE104" s="12">
        <f>IF(COUNT(AD99:AD104)=6,(AVERAGE(AD102:AD104)/AVERAGE(AD99:AD101))^4-1,"")</f>
        <v/>
      </c>
      <c r="AF104" s="10" t="n">
        <v>94.86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94.41630000000001</v>
      </c>
      <c r="AK104" s="12">
        <f>IF(COUNT(AJ99:AJ104)=6,(AVERAGE(AJ102:AJ104)/AVERAGE(AJ99:AJ101))^4-1,"")</f>
        <v/>
      </c>
      <c r="AL104" s="10" t="n">
        <v>107.01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105.1516</v>
      </c>
      <c r="AQ104" s="12">
        <f>IF(COUNT(AP99:AP104)=6,(AVERAGE(AP102:AP104)/AVERAGE(AP99:AP101))^4-1,"")</f>
        <v/>
      </c>
      <c r="AR104" s="10" t="n">
        <v>98.5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97.521</v>
      </c>
      <c r="AW104" s="12">
        <f>IF(COUNT(AV99:AV104)=6,(AVERAGE(AV102:AV104)/AVERAGE(AV99:AV101))^4-1,"")</f>
        <v/>
      </c>
    </row>
    <row r="105">
      <c r="A105" s="9" t="n">
        <v>45047</v>
      </c>
      <c r="B105" s="10" t="n">
        <v>95.20999999999999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95.0346</v>
      </c>
      <c r="G105" s="12">
        <f>IF(COUNT(F100:F105)=6,(AVERAGE(F103:F105)/AVERAGE(F100:F102))^4-1,"")</f>
        <v/>
      </c>
      <c r="H105" s="10" t="n">
        <v>93.98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93.8146</v>
      </c>
      <c r="M105" s="12">
        <f>IF(COUNT(L100:L105)=6,(AVERAGE(L103:L105)/AVERAGE(L100:L102))^4-1,"")</f>
        <v/>
      </c>
      <c r="N105" s="10" t="n">
        <v>94.15000000000001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93.9759</v>
      </c>
      <c r="S105" s="12">
        <f>IF(COUNT(R100:R105)=6,(AVERAGE(R103:R105)/AVERAGE(R100:R102))^4-1,"")</f>
        <v/>
      </c>
      <c r="T105" s="10" t="n">
        <v>98.28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97.9721</v>
      </c>
      <c r="Y105" s="12">
        <f>IF(COUNT(X100:X105)=6,(AVERAGE(X103:X105)/AVERAGE(X100:X102))^4-1,"")</f>
        <v/>
      </c>
      <c r="Z105" s="10" t="n">
        <v>91.72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91.6896</v>
      </c>
      <c r="AE105" s="12">
        <f>IF(COUNT(AD100:AD105)=6,(AVERAGE(AD103:AD105)/AVERAGE(AD100:AD102))^4-1,"")</f>
        <v/>
      </c>
      <c r="AF105" s="10" t="n">
        <v>94.89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94.79170000000001</v>
      </c>
      <c r="AK105" s="12">
        <f>IF(COUNT(AJ100:AJ105)=6,(AVERAGE(AJ103:AJ105)/AVERAGE(AJ100:AJ102))^4-1,"")</f>
        <v/>
      </c>
      <c r="AL105" s="10" t="n">
        <v>105.55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105.1818</v>
      </c>
      <c r="AQ105" s="12">
        <f>IF(COUNT(AP100:AP105)=6,(AVERAGE(AP103:AP105)/AVERAGE(AP100:AP102))^4-1,"")</f>
        <v/>
      </c>
      <c r="AR105" s="10" t="n">
        <v>96.20999999999999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96.1182</v>
      </c>
      <c r="AW105" s="12">
        <f>IF(COUNT(AV100:AV105)=6,(AVERAGE(AV103:AV105)/AVERAGE(AV100:AV102))^4-1,"")</f>
        <v/>
      </c>
    </row>
    <row r="106">
      <c r="A106" s="9" t="n">
        <v>45078</v>
      </c>
      <c r="B106" s="10" t="n">
        <v>95.59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95.35939999999999</v>
      </c>
      <c r="G106" s="12">
        <f>IF(COUNT(F101:F106)=6,(AVERAGE(F104:F106)/AVERAGE(F101:F103))^4-1,"")</f>
        <v/>
      </c>
      <c r="H106" s="10" t="n">
        <v>94.48999999999999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94.15819999999999</v>
      </c>
      <c r="M106" s="12">
        <f>IF(COUNT(L101:L106)=6,(AVERAGE(L104:L106)/AVERAGE(L101:L103))^4-1,"")</f>
        <v/>
      </c>
      <c r="N106" s="10" t="n">
        <v>94.58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94.294</v>
      </c>
      <c r="S106" s="12">
        <f>IF(COUNT(R101:R106)=6,(AVERAGE(R104:R106)/AVERAGE(R101:R103))^4-1,"")</f>
        <v/>
      </c>
      <c r="T106" s="10" t="n">
        <v>98.34999999999999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98.40560000000001</v>
      </c>
      <c r="Y106" s="12">
        <f>IF(COUNT(X101:X106)=6,(AVERAGE(X104:X106)/AVERAGE(X101:X103))^4-1,"")</f>
        <v/>
      </c>
      <c r="Z106" s="10" t="n">
        <v>92.45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91.9221</v>
      </c>
      <c r="AE106" s="12">
        <f>IF(COUNT(AD101:AD106)=6,(AVERAGE(AD104:AD106)/AVERAGE(AD101:AD103))^4-1,"")</f>
        <v/>
      </c>
      <c r="AF106" s="10" t="n">
        <v>94.98999999999999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95.2016</v>
      </c>
      <c r="AK106" s="12">
        <f>IF(COUNT(AJ101:AJ106)=6,(AVERAGE(AJ104:AJ106)/AVERAGE(AJ101:AJ103))^4-1,"")</f>
        <v/>
      </c>
      <c r="AL106" s="10" t="n">
        <v>105.33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105.8222</v>
      </c>
      <c r="AQ106" s="12">
        <f>IF(COUNT(AP101:AP106)=6,(AVERAGE(AP104:AP106)/AVERAGE(AP101:AP103))^4-1,"")</f>
        <v/>
      </c>
      <c r="AR106" s="10" t="n">
        <v>96.47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96.7889</v>
      </c>
      <c r="AW106" s="12">
        <f>IF(COUNT(AV101:AV106)=6,(AVERAGE(AV104:AV106)/AVERAGE(AV101:AV103))^4-1,"")</f>
        <v/>
      </c>
    </row>
    <row r="107">
      <c r="A107" s="9" t="n">
        <v>45108</v>
      </c>
      <c r="B107" s="10" t="n">
        <v>96.05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95.5258</v>
      </c>
      <c r="G107" s="12">
        <f>IF(COUNT(F102:F107)=6,(AVERAGE(F105:F107)/AVERAGE(F102:F104))^4-1,"")</f>
        <v/>
      </c>
      <c r="H107" s="10" t="n">
        <v>95.13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94.55249999999999</v>
      </c>
      <c r="M107" s="12">
        <f>IF(COUNT(L102:L107)=6,(AVERAGE(L105:L107)/AVERAGE(L102:L104))^4-1,"")</f>
        <v/>
      </c>
      <c r="N107" s="10" t="n">
        <v>95.09999999999999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94.5493</v>
      </c>
      <c r="S107" s="12">
        <f>IF(COUNT(R102:R107)=6,(AVERAGE(R105:R107)/AVERAGE(R102:R104))^4-1,"")</f>
        <v/>
      </c>
      <c r="T107" s="10" t="n">
        <v>98.03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98.2769</v>
      </c>
      <c r="Y107" s="12">
        <f>IF(COUNT(X102:X107)=6,(AVERAGE(X105:X107)/AVERAGE(X102:X104))^4-1,"")</f>
        <v/>
      </c>
      <c r="Z107" s="10" t="n">
        <v>93.81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92.4562</v>
      </c>
      <c r="AE107" s="12">
        <f>IF(COUNT(AD102:AD107)=6,(AVERAGE(AD105:AD107)/AVERAGE(AD102:AD104))^4-1,"")</f>
        <v/>
      </c>
      <c r="AF107" s="10" t="n">
        <v>94.98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95.1407</v>
      </c>
      <c r="AK107" s="12">
        <f>IF(COUNT(AJ102:AJ107)=6,(AVERAGE(AJ105:AJ107)/AVERAGE(AJ102:AJ104))^4-1,"")</f>
        <v/>
      </c>
      <c r="AL107" s="10" t="n">
        <v>105.25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105.0205</v>
      </c>
      <c r="AQ107" s="12">
        <f>IF(COUNT(AP102:AP107)=6,(AVERAGE(AP105:AP107)/AVERAGE(AP102:AP104))^4-1,"")</f>
        <v/>
      </c>
      <c r="AR107" s="10" t="n">
        <v>97.52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97.0121</v>
      </c>
      <c r="AW107" s="12">
        <f>IF(COUNT(AV102:AV107)=6,(AVERAGE(AV105:AV107)/AVERAGE(AV102:AV104))^4-1,"")</f>
        <v/>
      </c>
    </row>
    <row r="108">
      <c r="A108" s="9" t="n">
        <v>45139</v>
      </c>
      <c r="B108" s="10" t="n">
        <v>96.40000000000001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96.0116</v>
      </c>
      <c r="G108" s="12">
        <f>IF(COUNT(F103:F108)=6,(AVERAGE(F106:F108)/AVERAGE(F103:F105))^4-1,"")</f>
        <v/>
      </c>
      <c r="H108" s="10" t="n">
        <v>95.38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94.943</v>
      </c>
      <c r="M108" s="12">
        <f>IF(COUNT(L103:L108)=6,(AVERAGE(L106:L108)/AVERAGE(L103:L105))^4-1,"")</f>
        <v/>
      </c>
      <c r="N108" s="10" t="n">
        <v>95.28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94.8592</v>
      </c>
      <c r="S108" s="12">
        <f>IF(COUNT(R103:R108)=6,(AVERAGE(R106:R108)/AVERAGE(R103:R105))^4-1,"")</f>
        <v/>
      </c>
      <c r="T108" s="10" t="n">
        <v>98.51000000000001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98.70310000000001</v>
      </c>
      <c r="Y108" s="12">
        <f>IF(COUNT(X103:X108)=6,(AVERAGE(X106:X108)/AVERAGE(X103:X105))^4-1,"")</f>
        <v/>
      </c>
      <c r="Z108" s="10" t="n">
        <v>94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92.9151</v>
      </c>
      <c r="AE108" s="12">
        <f>IF(COUNT(AD103:AD108)=6,(AVERAGE(AD106:AD108)/AVERAGE(AD103:AD105))^4-1,"")</f>
        <v/>
      </c>
      <c r="AF108" s="10" t="n">
        <v>94.86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95.16849999999999</v>
      </c>
      <c r="AK108" s="12">
        <f>IF(COUNT(AJ103:AJ108)=6,(AVERAGE(AJ106:AJ108)/AVERAGE(AJ103:AJ105))^4-1,"")</f>
        <v/>
      </c>
      <c r="AL108" s="10" t="n">
        <v>107.25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107.0833</v>
      </c>
      <c r="AQ108" s="12">
        <f>IF(COUNT(AP103:AP108)=6,(AVERAGE(AP106:AP108)/AVERAGE(AP103:AP105))^4-1,"")</f>
        <v/>
      </c>
      <c r="AR108" s="10" t="n">
        <v>98.23999999999999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98.0587</v>
      </c>
      <c r="AW108" s="12">
        <f>IF(COUNT(AV103:AV108)=6,(AVERAGE(AV106:AV108)/AVERAGE(AV103:AV105))^4-1,"")</f>
        <v/>
      </c>
    </row>
    <row r="109">
      <c r="A109" s="9" t="n">
        <v>45170</v>
      </c>
      <c r="B109" s="10" t="n">
        <v>96.54000000000001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96.1525</v>
      </c>
      <c r="G109" s="12">
        <f>IF(COUNT(F104:F109)=6,(AVERAGE(F107:F109)/AVERAGE(F104:F106))^4-1,"")</f>
        <v/>
      </c>
      <c r="H109" s="10" t="n">
        <v>95.39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94.9871</v>
      </c>
      <c r="M109" s="12">
        <f>IF(COUNT(L104:L109)=6,(AVERAGE(L107:L109)/AVERAGE(L104:L106))^4-1,"")</f>
        <v/>
      </c>
      <c r="N109" s="10" t="n">
        <v>95.36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95.0175</v>
      </c>
      <c r="S109" s="12">
        <f>IF(COUNT(R104:R109)=6,(AVERAGE(R107:R109)/AVERAGE(R104:R106))^4-1,"")</f>
        <v/>
      </c>
      <c r="T109" s="10" t="n">
        <v>99.12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98.9986</v>
      </c>
      <c r="Y109" s="12">
        <f>IF(COUNT(X104:X109)=6,(AVERAGE(X107:X109)/AVERAGE(X104:X106))^4-1,"")</f>
        <v/>
      </c>
      <c r="Z109" s="10" t="n">
        <v>93.62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93.1833</v>
      </c>
      <c r="AE109" s="12">
        <f>IF(COUNT(AD104:AD109)=6,(AVERAGE(AD107:AD109)/AVERAGE(AD104:AD106))^4-1,"")</f>
        <v/>
      </c>
      <c r="AF109" s="10" t="n">
        <v>95.23999999999999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95.4405</v>
      </c>
      <c r="AK109" s="12">
        <f>IF(COUNT(AJ104:AJ109)=6,(AVERAGE(AJ107:AJ109)/AVERAGE(AJ104:AJ106))^4-1,"")</f>
        <v/>
      </c>
      <c r="AL109" s="10" t="n">
        <v>108.04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109.8116</v>
      </c>
      <c r="AQ109" s="12">
        <f>IF(COUNT(AP104:AP109)=6,(AVERAGE(AP107:AP109)/AVERAGE(AP104:AP106))^4-1,"")</f>
        <v/>
      </c>
      <c r="AR109" s="10" t="n">
        <v>98.69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98.8648</v>
      </c>
      <c r="AW109" s="12">
        <f>IF(COUNT(AV104:AV109)=6,(AVERAGE(AV107:AV109)/AVERAGE(AV104:AV106))^4-1,"")</f>
        <v/>
      </c>
    </row>
    <row r="110">
      <c r="A110" s="9" t="n">
        <v>45200</v>
      </c>
      <c r="B110" s="10" t="n">
        <v>96.40000000000001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96.12990000000001</v>
      </c>
      <c r="G110" s="12">
        <f>IF(COUNT(F105:F110)=6,(AVERAGE(F108:F110)/AVERAGE(F105:F107))^4-1,"")</f>
        <v/>
      </c>
      <c r="H110" s="10" t="n">
        <v>95.43000000000001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95.0453</v>
      </c>
      <c r="M110" s="12">
        <f>IF(COUNT(L105:L110)=6,(AVERAGE(L108:L110)/AVERAGE(L105:L107))^4-1,"")</f>
        <v/>
      </c>
      <c r="N110" s="10" t="n">
        <v>95.40000000000001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95.0277</v>
      </c>
      <c r="S110" s="12">
        <f>IF(COUNT(R105:R110)=6,(AVERAGE(R108:R110)/AVERAGE(R105:R107))^4-1,"")</f>
        <v/>
      </c>
      <c r="T110" s="10" t="n">
        <v>98.98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98.8677</v>
      </c>
      <c r="Y110" s="12">
        <f>IF(COUNT(X105:X110)=6,(AVERAGE(X108:X110)/AVERAGE(X105:X107))^4-1,"")</f>
        <v/>
      </c>
      <c r="Z110" s="10" t="n">
        <v>93.45999999999999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93.2084</v>
      </c>
      <c r="AE110" s="12">
        <f>IF(COUNT(AD105:AD110)=6,(AVERAGE(AD108:AD110)/AVERAGE(AD105:AD107))^4-1,"")</f>
        <v/>
      </c>
      <c r="AF110" s="10" t="n">
        <v>95.27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95.4491</v>
      </c>
      <c r="AK110" s="12">
        <f>IF(COUNT(AJ105:AJ110)=6,(AVERAGE(AJ108:AJ110)/AVERAGE(AJ105:AJ107))^4-1,"")</f>
        <v/>
      </c>
      <c r="AL110" s="10" t="n">
        <v>106.05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106.5823</v>
      </c>
      <c r="AQ110" s="12">
        <f>IF(COUNT(AP105:AP110)=6,(AVERAGE(AP108:AP110)/AVERAGE(AP105:AP107))^4-1,"")</f>
        <v/>
      </c>
      <c r="AR110" s="10" t="n">
        <v>98.2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98.19540000000001</v>
      </c>
      <c r="AW110" s="12">
        <f>IF(COUNT(AV105:AV110)=6,(AVERAGE(AV108:AV110)/AVERAGE(AV105:AV107))^4-1,"")</f>
        <v/>
      </c>
    </row>
    <row r="111">
      <c r="A111" s="9" t="n">
        <v>45231</v>
      </c>
      <c r="B111" s="10" t="n">
        <v>95.75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96.2773</v>
      </c>
      <c r="G111" s="12">
        <f>IF(COUNT(F106:F111)=6,(AVERAGE(F109:F111)/AVERAGE(F106:F108))^4-1,"")</f>
        <v/>
      </c>
      <c r="H111" s="10" t="n">
        <v>94.72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95.18729999999999</v>
      </c>
      <c r="M111" s="12">
        <f>IF(COUNT(L106:L111)=6,(AVERAGE(L109:L111)/AVERAGE(L106:L108))^4-1,"")</f>
        <v/>
      </c>
      <c r="N111" s="10" t="n">
        <v>94.91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95.4286</v>
      </c>
      <c r="S111" s="12">
        <f>IF(COUNT(R106:R111)=6,(AVERAGE(R109:R111)/AVERAGE(R106:R108))^4-1,"")</f>
        <v/>
      </c>
      <c r="T111" s="10" t="n">
        <v>98.77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98.7394</v>
      </c>
      <c r="Y111" s="12">
        <f>IF(COUNT(X106:X111)=6,(AVERAGE(X109:X111)/AVERAGE(X106:X108))^4-1,"")</f>
        <v/>
      </c>
      <c r="Z111" s="10" t="n">
        <v>92.33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93.2927</v>
      </c>
      <c r="AE111" s="12">
        <f>IF(COUNT(AD106:AD111)=6,(AVERAGE(AD109:AD111)/AVERAGE(AD106:AD108))^4-1,"")</f>
        <v/>
      </c>
      <c r="AF111" s="10" t="n">
        <v>95.73999999999999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95.8914</v>
      </c>
      <c r="AK111" s="12">
        <f>IF(COUNT(AJ106:AJ111)=6,(AVERAGE(AJ109:AJ111)/AVERAGE(AJ106:AJ108))^4-1,"")</f>
        <v/>
      </c>
      <c r="AL111" s="10" t="n">
        <v>103.89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104.5439</v>
      </c>
      <c r="AQ111" s="12">
        <f>IF(COUNT(AP106:AP111)=6,(AVERAGE(AP109:AP111)/AVERAGE(AP106:AP108))^4-1,"")</f>
        <v/>
      </c>
      <c r="AR111" s="10" t="n">
        <v>96.8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97.49169999999999</v>
      </c>
      <c r="AW111" s="12">
        <f>IF(COUNT(AV106:AV111)=6,(AVERAGE(AV109:AV111)/AVERAGE(AV106:AV108))^4-1,"")</f>
        <v/>
      </c>
    </row>
    <row r="112">
      <c r="A112" s="9" t="n">
        <v>45261</v>
      </c>
      <c r="B112" s="10" t="n">
        <v>95.94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96.22499999999999</v>
      </c>
      <c r="G112" s="12">
        <f>IF(COUNT(F107:F112)=6,(AVERAGE(F110:F112)/AVERAGE(F107:F109))^4-1,"")</f>
        <v/>
      </c>
      <c r="H112" s="10" t="n">
        <v>95.23999999999999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95.4198</v>
      </c>
      <c r="M112" s="12">
        <f>IF(COUNT(L107:L112)=6,(AVERAGE(L110:L112)/AVERAGE(L107:L109))^4-1,"")</f>
        <v/>
      </c>
      <c r="N112" s="10" t="n">
        <v>95.33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95.5834</v>
      </c>
      <c r="S112" s="12">
        <f>IF(COUNT(R107:R112)=6,(AVERAGE(R110:R112)/AVERAGE(R107:R109))^4-1,"")</f>
        <v/>
      </c>
      <c r="T112" s="10" t="n">
        <v>98.39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98.7111</v>
      </c>
      <c r="Y112" s="12">
        <f>IF(COUNT(X107:X112)=6,(AVERAGE(X110:X112)/AVERAGE(X107:X109))^4-1,"")</f>
        <v/>
      </c>
      <c r="Z112" s="10" t="n">
        <v>93.16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93.5772</v>
      </c>
      <c r="AE112" s="12">
        <f>IF(COUNT(AD107:AD112)=6,(AVERAGE(AD110:AD112)/AVERAGE(AD107:AD109))^4-1,"")</f>
        <v/>
      </c>
      <c r="AF112" s="10" t="n">
        <v>95.72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95.9101</v>
      </c>
      <c r="AK112" s="12">
        <f>IF(COUNT(AJ107:AJ112)=6,(AVERAGE(AJ110:AJ112)/AVERAGE(AJ107:AJ109))^4-1,"")</f>
        <v/>
      </c>
      <c r="AL112" s="10" t="n">
        <v>101.75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103.9417</v>
      </c>
      <c r="AQ112" s="12">
        <f>IF(COUNT(AP107:AP112)=6,(AVERAGE(AP110:AP112)/AVERAGE(AP107:AP109))^4-1,"")</f>
        <v/>
      </c>
      <c r="AR112" s="10" t="n">
        <v>97.02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97.5321</v>
      </c>
      <c r="AW112" s="12">
        <f>IF(COUNT(AV107:AV112)=6,(AVERAGE(AV110:AV112)/AVERAGE(AV107:AV109))^4-1,"")</f>
        <v/>
      </c>
    </row>
    <row r="113">
      <c r="A113" s="9" t="n">
        <v>45292</v>
      </c>
      <c r="B113" s="10" t="n">
        <v>95.8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96.6039</v>
      </c>
      <c r="G113" s="12">
        <f>IF(COUNT(F108:F113)=6,(AVERAGE(F111:F113)/AVERAGE(F108:F110))^4-1,"")</f>
        <v/>
      </c>
      <c r="H113" s="10" t="n">
        <v>94.69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95.6019</v>
      </c>
      <c r="M113" s="12">
        <f>IF(COUNT(L108:L113)=6,(AVERAGE(L111:L113)/AVERAGE(L108:L110))^4-1,"")</f>
        <v/>
      </c>
      <c r="N113" s="10" t="n">
        <v>95.04000000000001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95.83320000000001</v>
      </c>
      <c r="S113" s="12">
        <f>IF(COUNT(R108:R113)=6,(AVERAGE(R111:R113)/AVERAGE(R108:R110))^4-1,"")</f>
        <v/>
      </c>
      <c r="T113" s="10" t="n">
        <v>98.54000000000001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98.9556</v>
      </c>
      <c r="Y113" s="12">
        <f>IF(COUNT(X108:X113)=6,(AVERAGE(X111:X113)/AVERAGE(X108:X110))^4-1,"")</f>
        <v/>
      </c>
      <c r="Z113" s="10" t="n">
        <v>92.69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93.8336</v>
      </c>
      <c r="AE113" s="12">
        <f>IF(COUNT(AD108:AD113)=6,(AVERAGE(AD111:AD113)/AVERAGE(AD108:AD110))^4-1,"")</f>
        <v/>
      </c>
      <c r="AF113" s="10" t="n">
        <v>96.63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96.37869999999999</v>
      </c>
      <c r="AK113" s="12">
        <f>IF(COUNT(AJ108:AJ113)=6,(AVERAGE(AJ111:AJ113)/AVERAGE(AJ108:AJ110))^4-1,"")</f>
        <v/>
      </c>
      <c r="AL113" s="10" t="n">
        <v>102.96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102.8476</v>
      </c>
      <c r="AQ113" s="12">
        <f>IF(COUNT(AP108:AP113)=6,(AVERAGE(AP111:AP113)/AVERAGE(AP108:AP110))^4-1,"")</f>
        <v/>
      </c>
      <c r="AR113" s="10" t="n">
        <v>96.23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96.89870000000001</v>
      </c>
      <c r="AW113" s="12">
        <f>IF(COUNT(AV108:AV113)=6,(AVERAGE(AV111:AV113)/AVERAGE(AV108:AV110))^4-1,"")</f>
        <v/>
      </c>
    </row>
    <row r="114">
      <c r="A114" s="9" t="n">
        <v>45323</v>
      </c>
      <c r="B114" s="10" t="n">
        <v>96.42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96.9425</v>
      </c>
      <c r="G114" s="12">
        <f>IF(COUNT(F109:F114)=6,(AVERAGE(F112:F114)/AVERAGE(F109:F111))^4-1,"")</f>
        <v/>
      </c>
      <c r="H114" s="10" t="n">
        <v>95.48999999999999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96.1014</v>
      </c>
      <c r="M114" s="12">
        <f>IF(COUNT(L109:L114)=6,(AVERAGE(L112:L114)/AVERAGE(L109:L111))^4-1,"")</f>
        <v/>
      </c>
      <c r="N114" s="10" t="n">
        <v>95.68000000000001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96.1919</v>
      </c>
      <c r="S114" s="12">
        <f>IF(COUNT(R109:R114)=6,(AVERAGE(R112:R114)/AVERAGE(R109:R111))^4-1,"")</f>
        <v/>
      </c>
      <c r="T114" s="10" t="n">
        <v>98.84999999999999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99.0436</v>
      </c>
      <c r="Y114" s="12">
        <f>IF(COUNT(X109:X114)=6,(AVERAGE(X112:X114)/AVERAGE(X109:X111))^4-1,"")</f>
        <v/>
      </c>
      <c r="Z114" s="10" t="n">
        <v>93.67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94.40770000000001</v>
      </c>
      <c r="AE114" s="12">
        <f>IF(COUNT(AD109:AD114)=6,(AVERAGE(AD112:AD114)/AVERAGE(AD109:AD111))^4-1,"")</f>
        <v/>
      </c>
      <c r="AF114" s="10" t="n">
        <v>96.56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96.2718</v>
      </c>
      <c r="AK114" s="12">
        <f>IF(COUNT(AJ109:AJ114)=6,(AVERAGE(AJ112:AJ114)/AVERAGE(AJ109:AJ111))^4-1,"")</f>
        <v/>
      </c>
      <c r="AL114" s="10" t="n">
        <v>103.4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102.0846</v>
      </c>
      <c r="AQ114" s="12">
        <f>IF(COUNT(AP109:AP114)=6,(AVERAGE(AP112:AP114)/AVERAGE(AP109:AP111))^4-1,"")</f>
        <v/>
      </c>
      <c r="AR114" s="10" t="n">
        <v>97.12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97.2761</v>
      </c>
      <c r="AW114" s="12">
        <f>IF(COUNT(AV109:AV114)=6,(AVERAGE(AV112:AV114)/AVERAGE(AV109:AV111))^4-1,"")</f>
        <v/>
      </c>
    </row>
    <row r="115">
      <c r="A115" s="9" t="n">
        <v>45352</v>
      </c>
      <c r="B115" s="10" t="n">
        <v>97.04000000000001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97.0986</v>
      </c>
      <c r="G115" s="12">
        <f>IF(COUNT(F110:F115)=6,(AVERAGE(F113:F115)/AVERAGE(F110:F112))^4-1,"")</f>
        <v/>
      </c>
      <c r="H115" s="10" t="n">
        <v>96.37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96.5692</v>
      </c>
      <c r="M115" s="12">
        <f>IF(COUNT(L110:L115)=6,(AVERAGE(L113:L115)/AVERAGE(L110:L112))^4-1,"")</f>
        <v/>
      </c>
      <c r="N115" s="10" t="n">
        <v>96.39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96.5371</v>
      </c>
      <c r="S115" s="12">
        <f>IF(COUNT(R110:R115)=6,(AVERAGE(R113:R115)/AVERAGE(R110:R112))^4-1,"")</f>
        <v/>
      </c>
      <c r="T115" s="10" t="n">
        <v>99.05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98.74290000000001</v>
      </c>
      <c r="Y115" s="12">
        <f>IF(COUNT(X110:X115)=6,(AVERAGE(X113:X115)/AVERAGE(X110:X112))^4-1,"")</f>
        <v/>
      </c>
      <c r="Z115" s="10" t="n">
        <v>94.75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95.12260000000001</v>
      </c>
      <c r="AE115" s="12">
        <f>IF(COUNT(AD110:AD115)=6,(AVERAGE(AD113:AD115)/AVERAGE(AD110:AD112))^4-1,"")</f>
        <v/>
      </c>
      <c r="AF115" s="10" t="n">
        <v>96.47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96.24720000000001</v>
      </c>
      <c r="AK115" s="12">
        <f>IF(COUNT(AJ110:AJ115)=6,(AVERAGE(AJ113:AJ115)/AVERAGE(AJ110:AJ112))^4-1,"")</f>
        <v/>
      </c>
      <c r="AL115" s="10" t="n">
        <v>103.16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101.9122</v>
      </c>
      <c r="AQ115" s="12">
        <f>IF(COUNT(AP110:AP115)=6,(AVERAGE(AP113:AP115)/AVERAGE(AP110:AP112))^4-1,"")</f>
        <v/>
      </c>
      <c r="AR115" s="10" t="n">
        <v>98.25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97.648</v>
      </c>
      <c r="AW115" s="12">
        <f>IF(COUNT(AV110:AV115)=6,(AVERAGE(AV113:AV115)/AVERAGE(AV110:AV112))^4-1,"")</f>
        <v/>
      </c>
    </row>
    <row r="116">
      <c r="A116" s="9" t="n">
        <v>45383</v>
      </c>
      <c r="B116" s="10" t="n">
        <v>97.62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97.3424</v>
      </c>
      <c r="G116" s="12">
        <f>IF(COUNT(F111:F116)=6,(AVERAGE(F114:F116)/AVERAGE(F111:F113))^4-1,"")</f>
        <v/>
      </c>
      <c r="H116" s="10" t="n">
        <v>96.73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96.6277</v>
      </c>
      <c r="M116" s="12">
        <f>IF(COUNT(L111:L116)=6,(AVERAGE(L114:L116)/AVERAGE(L111:L113))^4-1,"")</f>
        <v/>
      </c>
      <c r="N116" s="10" t="n">
        <v>96.78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96.65819999999999</v>
      </c>
      <c r="S116" s="12">
        <f>IF(COUNT(R111:R116)=6,(AVERAGE(R114:R116)/AVERAGE(R111:R113))^4-1,"")</f>
        <v/>
      </c>
      <c r="T116" s="10" t="n">
        <v>99.73999999999999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99.2165</v>
      </c>
      <c r="Y116" s="12">
        <f>IF(COUNT(X111:X116)=6,(AVERAGE(X114:X116)/AVERAGE(X111:X113))^4-1,"")</f>
        <v/>
      </c>
      <c r="Z116" s="10" t="n">
        <v>95.22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95.1955</v>
      </c>
      <c r="AE116" s="12">
        <f>IF(COUNT(AD111:AD116)=6,(AVERAGE(AD114:AD116)/AVERAGE(AD111:AD113))^4-1,"")</f>
        <v/>
      </c>
      <c r="AF116" s="10" t="n">
        <v>97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96.51909999999999</v>
      </c>
      <c r="AK116" s="12">
        <f>IF(COUNT(AJ111:AJ116)=6,(AVERAGE(AJ114:AJ116)/AVERAGE(AJ111:AJ113))^4-1,"")</f>
        <v/>
      </c>
      <c r="AL116" s="10" t="n">
        <v>105.56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103.2184</v>
      </c>
      <c r="AQ116" s="12">
        <f>IF(COUNT(AP111:AP116)=6,(AVERAGE(AP114:AP116)/AVERAGE(AP111:AP113))^4-1,"")</f>
        <v/>
      </c>
      <c r="AR116" s="10" t="n">
        <v>98.91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97.65049999999999</v>
      </c>
      <c r="AW116" s="12">
        <f>IF(COUNT(AV111:AV116)=6,(AVERAGE(AV114:AV116)/AVERAGE(AV111:AV113))^4-1,"")</f>
        <v/>
      </c>
    </row>
    <row r="117">
      <c r="A117" s="9" t="n">
        <v>45413</v>
      </c>
      <c r="B117" s="10" t="n">
        <v>97.83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97.6382</v>
      </c>
      <c r="G117" s="12">
        <f>IF(COUNT(F112:F117)=6,(AVERAGE(F115:F117)/AVERAGE(F112:F114))^4-1,"")</f>
        <v/>
      </c>
      <c r="H117" s="10" t="n">
        <v>97.20999999999999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97.035</v>
      </c>
      <c r="M117" s="12">
        <f>IF(COUNT(L112:L117)=6,(AVERAGE(L115:L117)/AVERAGE(L112:L114))^4-1,"")</f>
        <v/>
      </c>
      <c r="N117" s="10" t="n">
        <v>97.15000000000001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96.9567</v>
      </c>
      <c r="S117" s="12">
        <f>IF(COUNT(R112:R117)=6,(AVERAGE(R115:R117)/AVERAGE(R112:R114))^4-1,"")</f>
        <v/>
      </c>
      <c r="T117" s="10" t="n">
        <v>99.37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99.07170000000001</v>
      </c>
      <c r="Y117" s="12">
        <f>IF(COUNT(X112:X117)=6,(AVERAGE(X115:X117)/AVERAGE(X112:X114))^4-1,"")</f>
        <v/>
      </c>
      <c r="Z117" s="10" t="n">
        <v>96.08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95.9975</v>
      </c>
      <c r="AE117" s="12">
        <f>IF(COUNT(AD112:AD117)=6,(AVERAGE(AD115:AD117)/AVERAGE(AD112:AD114))^4-1,"")</f>
        <v/>
      </c>
      <c r="AF117" s="10" t="n">
        <v>96.87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96.7799</v>
      </c>
      <c r="AK117" s="12">
        <f>IF(COUNT(AJ112:AJ117)=6,(AVERAGE(AJ115:AJ117)/AVERAGE(AJ112:AJ114))^4-1,"")</f>
        <v/>
      </c>
      <c r="AL117" s="10" t="n">
        <v>104.23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103.9001</v>
      </c>
      <c r="AQ117" s="12">
        <f>IF(COUNT(AP112:AP117)=6,(AVERAGE(AP115:AP117)/AVERAGE(AP112:AP114))^4-1,"")</f>
        <v/>
      </c>
      <c r="AR117" s="10" t="n">
        <v>98.88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98.76390000000001</v>
      </c>
      <c r="AW117" s="12">
        <f>IF(COUNT(AV112:AV117)=6,(AVERAGE(AV115:AV117)/AVERAGE(AV112:AV114))^4-1,"")</f>
        <v/>
      </c>
    </row>
    <row r="118">
      <c r="A118" s="9" t="n">
        <v>45444</v>
      </c>
      <c r="B118" s="10" t="n">
        <v>98.03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97.8466</v>
      </c>
      <c r="G118" s="12">
        <f>IF(COUNT(F113:F118)=6,(AVERAGE(F116:F118)/AVERAGE(F113:F115))^4-1,"")</f>
        <v/>
      </c>
      <c r="H118" s="10" t="n">
        <v>97.58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97.2847</v>
      </c>
      <c r="M118" s="12">
        <f>IF(COUNT(L113:L118)=6,(AVERAGE(L116:L118)/AVERAGE(L113:L115))^4-1,"")</f>
        <v/>
      </c>
      <c r="N118" s="10" t="n">
        <v>97.51000000000001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97.2581</v>
      </c>
      <c r="S118" s="12">
        <f>IF(COUNT(R113:R118)=6,(AVERAGE(R116:R118)/AVERAGE(R113:R115))^4-1,"")</f>
        <v/>
      </c>
      <c r="T118" s="10" t="n">
        <v>99.16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99.2527</v>
      </c>
      <c r="Y118" s="12">
        <f>IF(COUNT(X113:X118)=6,(AVERAGE(X116:X118)/AVERAGE(X113:X115))^4-1,"")</f>
        <v/>
      </c>
      <c r="Z118" s="10" t="n">
        <v>96.73999999999999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96.25709999999999</v>
      </c>
      <c r="AE118" s="12">
        <f>IF(COUNT(AD113:AD118)=6,(AVERAGE(AD116:AD118)/AVERAGE(AD113:AD115))^4-1,"")</f>
        <v/>
      </c>
      <c r="AF118" s="10" t="n">
        <v>97.16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97.41849999999999</v>
      </c>
      <c r="AK118" s="12">
        <f>IF(COUNT(AJ113:AJ118)=6,(AVERAGE(AJ116:AJ118)/AVERAGE(AJ113:AJ115))^4-1,"")</f>
        <v/>
      </c>
      <c r="AL118" s="10" t="n">
        <v>102.99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103.6943</v>
      </c>
      <c r="AQ118" s="12">
        <f>IF(COUNT(AP113:AP118)=6,(AVERAGE(AP116:AP118)/AVERAGE(AP113:AP115))^4-1,"")</f>
        <v/>
      </c>
      <c r="AR118" s="10" t="n">
        <v>98.29000000000001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98.7166</v>
      </c>
      <c r="AW118" s="12">
        <f>IF(COUNT(AV113:AV118)=6,(AVERAGE(AV116:AV118)/AVERAGE(AV113:AV115))^4-1,"")</f>
        <v/>
      </c>
    </row>
    <row r="119">
      <c r="A119" s="9" t="n">
        <v>45474</v>
      </c>
      <c r="B119" s="10" t="n">
        <v>98.52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98.0463</v>
      </c>
      <c r="G119" s="12">
        <f>IF(COUNT(F114:F119)=6,(AVERAGE(F117:F119)/AVERAGE(F114:F116))^4-1,"")</f>
        <v/>
      </c>
      <c r="H119" s="10" t="n">
        <v>98.19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97.627</v>
      </c>
      <c r="M119" s="12">
        <f>IF(COUNT(L114:L119)=6,(AVERAGE(L117:L119)/AVERAGE(L114:L116))^4-1,"")</f>
        <v/>
      </c>
      <c r="N119" s="10" t="n">
        <v>98.03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97.5406</v>
      </c>
      <c r="S119" s="12">
        <f>IF(COUNT(R114:R119)=6,(AVERAGE(R117:R119)/AVERAGE(R114:R116))^4-1,"")</f>
        <v/>
      </c>
      <c r="T119" s="10" t="n">
        <v>98.95999999999999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99.15689999999999</v>
      </c>
      <c r="Y119" s="12">
        <f>IF(COUNT(X114:X119)=6,(AVERAGE(X117:X119)/AVERAGE(X114:X116))^4-1,"")</f>
        <v/>
      </c>
      <c r="Z119" s="10" t="n">
        <v>98.03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96.7734</v>
      </c>
      <c r="AE119" s="12">
        <f>IF(COUNT(AD114:AD119)=6,(AVERAGE(AD117:AD119)/AVERAGE(AD114:AD116))^4-1,"")</f>
        <v/>
      </c>
      <c r="AF119" s="10" t="n">
        <v>97.27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97.45950000000001</v>
      </c>
      <c r="AK119" s="12">
        <f>IF(COUNT(AJ114:AJ119)=6,(AVERAGE(AJ117:AJ119)/AVERAGE(AJ114:AJ116))^4-1,"")</f>
        <v/>
      </c>
      <c r="AL119" s="10" t="n">
        <v>103.26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102.8976</v>
      </c>
      <c r="AQ119" s="12">
        <f>IF(COUNT(AP114:AP119)=6,(AVERAGE(AP117:AP119)/AVERAGE(AP114:AP116))^4-1,"")</f>
        <v/>
      </c>
      <c r="AR119" s="10" t="n">
        <v>99.19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98.6263</v>
      </c>
      <c r="AW119" s="12">
        <f>IF(COUNT(AV114:AV119)=6,(AVERAGE(AV117:AV119)/AVERAGE(AV114:AV116))^4-1,"")</f>
        <v/>
      </c>
    </row>
    <row r="120">
      <c r="A120" s="9" t="n">
        <v>45505</v>
      </c>
      <c r="B120" s="10" t="n">
        <v>98.42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98.0818</v>
      </c>
      <c r="G120" s="12">
        <f>IF(COUNT(F115:F120)=6,(AVERAGE(F118:F120)/AVERAGE(F115:F117))^4-1,"")</f>
        <v/>
      </c>
      <c r="H120" s="10" t="n">
        <v>98.25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97.83969999999999</v>
      </c>
      <c r="M120" s="12">
        <f>IF(COUNT(L115:L120)=6,(AVERAGE(L118:L120)/AVERAGE(L115:L117))^4-1,"")</f>
        <v/>
      </c>
      <c r="N120" s="10" t="n">
        <v>98.06999999999999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97.7166</v>
      </c>
      <c r="S120" s="12">
        <f>IF(COUNT(R115:R120)=6,(AVERAGE(R118:R120)/AVERAGE(R115:R117))^4-1,"")</f>
        <v/>
      </c>
      <c r="T120" s="10" t="n">
        <v>98.65000000000001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98.79170000000001</v>
      </c>
      <c r="Y120" s="12">
        <f>IF(COUNT(X115:X120)=6,(AVERAGE(X118:X120)/AVERAGE(X115:X117))^4-1,"")</f>
        <v/>
      </c>
      <c r="Z120" s="10" t="n">
        <v>98.17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97.19159999999999</v>
      </c>
      <c r="AE120" s="12">
        <f>IF(COUNT(AD115:AD120)=6,(AVERAGE(AD118:AD120)/AVERAGE(AD115:AD117))^4-1,"")</f>
        <v/>
      </c>
      <c r="AF120" s="10" t="n">
        <v>97.25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97.5622</v>
      </c>
      <c r="AK120" s="12">
        <f>IF(COUNT(AJ115:AJ120)=6,(AVERAGE(AJ118:AJ120)/AVERAGE(AJ115:AJ117))^4-1,"")</f>
        <v/>
      </c>
      <c r="AL120" s="10" t="n">
        <v>101.81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101.4259</v>
      </c>
      <c r="AQ120" s="12">
        <f>IF(COUNT(AP115:AP120)=6,(AVERAGE(AP118:AP120)/AVERAGE(AP115:AP117))^4-1,"")</f>
        <v/>
      </c>
      <c r="AR120" s="10" t="n">
        <v>98.36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98.1952</v>
      </c>
      <c r="AW120" s="12">
        <f>IF(COUNT(AV115:AV120)=6,(AVERAGE(AV118:AV120)/AVERAGE(AV115:AV117))^4-1,"")</f>
        <v/>
      </c>
    </row>
    <row r="121">
      <c r="A121" s="9" t="n">
        <v>45536</v>
      </c>
      <c r="B121" s="10" t="n">
        <v>98.34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97.9722</v>
      </c>
      <c r="G121" s="12">
        <f>IF(COUNT(F116:F121)=6,(AVERAGE(F119:F121)/AVERAGE(F116:F118))^4-1,"")</f>
        <v/>
      </c>
      <c r="H121" s="10" t="n">
        <v>98.3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97.9374</v>
      </c>
      <c r="M121" s="12">
        <f>IF(COUNT(L116:L121)=6,(AVERAGE(L119:L121)/AVERAGE(L116:L118))^4-1,"")</f>
        <v/>
      </c>
      <c r="N121" s="10" t="n">
        <v>98.19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97.88420000000001</v>
      </c>
      <c r="S121" s="12">
        <f>IF(COUNT(R116:R121)=6,(AVERAGE(R119:R121)/AVERAGE(R116:R118))^4-1,"")</f>
        <v/>
      </c>
      <c r="T121" s="10" t="n">
        <v>98.84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98.7246</v>
      </c>
      <c r="Y121" s="12">
        <f>IF(COUNT(X116:X121)=6,(AVERAGE(X119:X121)/AVERAGE(X116:X118))^4-1,"")</f>
        <v/>
      </c>
      <c r="Z121" s="10" t="n">
        <v>97.78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97.3827</v>
      </c>
      <c r="AE121" s="12">
        <f>IF(COUNT(AD116:AD121)=6,(AVERAGE(AD119:AD121)/AVERAGE(AD116:AD118))^4-1,"")</f>
        <v/>
      </c>
      <c r="AF121" s="10" t="n">
        <v>97.65000000000001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97.8467</v>
      </c>
      <c r="AK121" s="12">
        <f>IF(COUNT(AJ116:AJ121)=6,(AVERAGE(AJ119:AJ121)/AVERAGE(AJ116:AJ118))^4-1,"")</f>
        <v/>
      </c>
      <c r="AL121" s="10" t="n">
        <v>99.94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101.7223</v>
      </c>
      <c r="AQ121" s="12">
        <f>IF(COUNT(AP116:AP121)=6,(AVERAGE(AP119:AP121)/AVERAGE(AP116:AP118))^4-1,"")</f>
        <v/>
      </c>
      <c r="AR121" s="10" t="n">
        <v>97.34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97.51049999999999</v>
      </c>
      <c r="AW121" s="12">
        <f>IF(COUNT(AV116:AV121)=6,(AVERAGE(AV119:AV121)/AVERAGE(AV116:AV118))^4-1,"")</f>
        <v/>
      </c>
    </row>
    <row r="122">
      <c r="A122" s="9" t="n">
        <v>45566</v>
      </c>
      <c r="B122" s="10" t="n">
        <v>98.68000000000001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98.4255</v>
      </c>
      <c r="G122" s="12">
        <f>IF(COUNT(F117:F122)=6,(AVERAGE(F120:F122)/AVERAGE(F117:F119))^4-1,"")</f>
        <v/>
      </c>
      <c r="H122" s="10" t="n">
        <v>98.54000000000001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98.1769</v>
      </c>
      <c r="M122" s="12">
        <f>IF(COUNT(L117:L122)=6,(AVERAGE(L120:L122)/AVERAGE(L117:L119))^4-1,"")</f>
        <v/>
      </c>
      <c r="N122" s="10" t="n">
        <v>98.52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98.146</v>
      </c>
      <c r="S122" s="12">
        <f>IF(COUNT(R117:R122)=6,(AVERAGE(R120:R122)/AVERAGE(R117:R119))^4-1,"")</f>
        <v/>
      </c>
      <c r="T122" s="10" t="n">
        <v>99.37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99.285</v>
      </c>
      <c r="Y122" s="12">
        <f>IF(COUNT(X117:X122)=6,(AVERAGE(X120:X122)/AVERAGE(X117:X119))^4-1,"")</f>
        <v/>
      </c>
      <c r="Z122" s="10" t="n">
        <v>97.91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97.6378</v>
      </c>
      <c r="AE122" s="12">
        <f>IF(COUNT(AD117:AD122)=6,(AVERAGE(AD120:AD122)/AVERAGE(AD117:AD119))^4-1,"")</f>
        <v/>
      </c>
      <c r="AF122" s="10" t="n">
        <v>98.43000000000001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98.57470000000001</v>
      </c>
      <c r="AK122" s="12">
        <f>IF(COUNT(AJ117:AJ122)=6,(AVERAGE(AJ120:AJ122)/AVERAGE(AJ117:AJ119))^4-1,"")</f>
        <v/>
      </c>
      <c r="AL122" s="10" t="n">
        <v>100.34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101.0104</v>
      </c>
      <c r="AQ122" s="12">
        <f>IF(COUNT(AP117:AP122)=6,(AVERAGE(AP120:AP122)/AVERAGE(AP117:AP119))^4-1,"")</f>
        <v/>
      </c>
      <c r="AR122" s="10" t="n">
        <v>98.14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98.17910000000001</v>
      </c>
      <c r="AW122" s="12">
        <f>IF(COUNT(AV117:AV122)=6,(AVERAGE(AV120:AV122)/AVERAGE(AV117:AV119))^4-1,"")</f>
        <v/>
      </c>
    </row>
    <row r="123">
      <c r="A123" s="9" t="n">
        <v>45597</v>
      </c>
      <c r="B123" s="10" t="n">
        <v>98.06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98.58750000000001</v>
      </c>
      <c r="G123" s="12">
        <f>IF(COUNT(F118:F123)=6,(AVERAGE(F121:F123)/AVERAGE(F118:F120))^4-1,"")</f>
        <v/>
      </c>
      <c r="H123" s="10" t="n">
        <v>97.69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98.1444</v>
      </c>
      <c r="M123" s="12">
        <f>IF(COUNT(L118:L123)=6,(AVERAGE(L121:L123)/AVERAGE(L118:L120))^4-1,"")</f>
        <v/>
      </c>
      <c r="N123" s="10" t="n">
        <v>97.84999999999999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98.3412</v>
      </c>
      <c r="S123" s="12">
        <f>IF(COUNT(R118:R123)=6,(AVERAGE(R121:R123)/AVERAGE(R118:R120))^4-1,"")</f>
        <v/>
      </c>
      <c r="T123" s="10" t="n">
        <v>99.45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99.4636</v>
      </c>
      <c r="Y123" s="12">
        <f>IF(COUNT(X118:X123)=6,(AVERAGE(X121:X123)/AVERAGE(X118:X120))^4-1,"")</f>
        <v/>
      </c>
      <c r="Z123" s="10" t="n">
        <v>96.47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97.4029</v>
      </c>
      <c r="AE123" s="12">
        <f>IF(COUNT(AD118:AD123)=6,(AVERAGE(AD121:AD123)/AVERAGE(AD118:AD120))^4-1,"")</f>
        <v/>
      </c>
      <c r="AF123" s="10" t="n">
        <v>98.56999999999999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98.68729999999999</v>
      </c>
      <c r="AK123" s="12">
        <f>IF(COUNT(AJ118:AJ123)=6,(AVERAGE(AJ121:AJ123)/AVERAGE(AJ118:AJ120))^4-1,"")</f>
        <v/>
      </c>
      <c r="AL123" s="10" t="n">
        <v>100.15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100.9869</v>
      </c>
      <c r="AQ123" s="12">
        <f>IF(COUNT(AP118:AP123)=6,(AVERAGE(AP121:AP123)/AVERAGE(AP118:AP120))^4-1,"")</f>
        <v/>
      </c>
      <c r="AR123" s="10" t="n">
        <v>97.19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98.0843</v>
      </c>
      <c r="AW123" s="12">
        <f>IF(COUNT(AV118:AV123)=6,(AVERAGE(AV121:AV123)/AVERAGE(AV118:AV120))^4-1,"")</f>
        <v/>
      </c>
    </row>
    <row r="124">
      <c r="A124" s="9" t="n">
        <v>45627</v>
      </c>
      <c r="B124" s="10" t="n">
        <v>98.66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98.9847</v>
      </c>
      <c r="G124" s="12">
        <f>IF(COUNT(F119:F124)=6,(AVERAGE(F122:F124)/AVERAGE(F119:F121))^4-1,"")</f>
        <v/>
      </c>
      <c r="H124" s="10" t="n">
        <v>98.45999999999999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98.66370000000001</v>
      </c>
      <c r="M124" s="12">
        <f>IF(COUNT(L119:L124)=6,(AVERAGE(L122:L124)/AVERAGE(L119:L121))^4-1,"")</f>
        <v/>
      </c>
      <c r="N124" s="10" t="n">
        <v>98.51000000000001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98.7775</v>
      </c>
      <c r="S124" s="12">
        <f>IF(COUNT(R119:R124)=6,(AVERAGE(R122:R124)/AVERAGE(R119:R121))^4-1,"")</f>
        <v/>
      </c>
      <c r="T124" s="10" t="n">
        <v>99.69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100.0874</v>
      </c>
      <c r="Y124" s="12">
        <f>IF(COUNT(X119:X124)=6,(AVERAGE(X122:X124)/AVERAGE(X119:X121))^4-1,"")</f>
        <v/>
      </c>
      <c r="Z124" s="10" t="n">
        <v>97.5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97.9517</v>
      </c>
      <c r="AE124" s="12">
        <f>IF(COUNT(AD119:AD124)=6,(AVERAGE(AD122:AD124)/AVERAGE(AD119:AD121))^4-1,"")</f>
        <v/>
      </c>
      <c r="AF124" s="10" t="n">
        <v>98.77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98.9781</v>
      </c>
      <c r="AK124" s="12">
        <f>IF(COUNT(AJ119:AJ124)=6,(AVERAGE(AJ122:AJ124)/AVERAGE(AJ119:AJ121))^4-1,"")</f>
        <v/>
      </c>
      <c r="AL124" s="10" t="n">
        <v>100.24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102.7021</v>
      </c>
      <c r="AQ124" s="12">
        <f>IF(COUNT(AP119:AP124)=6,(AVERAGE(AP122:AP124)/AVERAGE(AP119:AP121))^4-1,"")</f>
        <v/>
      </c>
      <c r="AR124" s="10" t="n">
        <v>98.37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99.018</v>
      </c>
      <c r="AW124" s="12">
        <f>IF(COUNT(AV119:AV124)=6,(AVERAGE(AV122:AV124)/AVERAGE(AV119:AV121))^4-1,"")</f>
        <v/>
      </c>
    </row>
    <row r="125">
      <c r="A125" s="9" t="n">
        <v>45658</v>
      </c>
      <c r="B125" s="10" t="n">
        <v>98.47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99.23739999999999</v>
      </c>
      <c r="G125" s="12">
        <f>IF(COUNT(F120:F125)=6,(AVERAGE(F123:F125)/AVERAGE(F120:F122))^4-1,"")</f>
        <v/>
      </c>
      <c r="H125" s="10" t="n">
        <v>98.09999999999999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98.95269999999999</v>
      </c>
      <c r="M125" s="12">
        <f>IF(COUNT(L120:L125)=6,(AVERAGE(L123:L125)/AVERAGE(L120:L122))^4-1,"")</f>
        <v/>
      </c>
      <c r="N125" s="10" t="n">
        <v>98.17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98.9036</v>
      </c>
      <c r="S125" s="12">
        <f>IF(COUNT(R120:R125)=6,(AVERAGE(R123:R125)/AVERAGE(R120:R122))^4-1,"")</f>
        <v/>
      </c>
      <c r="T125" s="10" t="n">
        <v>99.43000000000001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99.8635</v>
      </c>
      <c r="Y125" s="12">
        <f>IF(COUNT(X120:X125)=6,(AVERAGE(X123:X125)/AVERAGE(X120:X122))^4-1,"")</f>
        <v/>
      </c>
      <c r="Z125" s="10" t="n">
        <v>97.39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98.4652</v>
      </c>
      <c r="AE125" s="12">
        <f>IF(COUNT(AD120:AD125)=6,(AVERAGE(AD123:AD125)/AVERAGE(AD120:AD122))^4-1,"")</f>
        <v/>
      </c>
      <c r="AF125" s="10" t="n">
        <v>98.51000000000001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98.2619</v>
      </c>
      <c r="AK125" s="12">
        <f>IF(COUNT(AJ120:AJ125)=6,(AVERAGE(AJ123:AJ125)/AVERAGE(AJ120:AJ122))^4-1,"")</f>
        <v/>
      </c>
      <c r="AL125" s="10" t="n">
        <v>101.6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101.7183</v>
      </c>
      <c r="AQ125" s="12">
        <f>IF(COUNT(AP120:AP125)=6,(AVERAGE(AP123:AP125)/AVERAGE(AP120:AP122))^4-1,"")</f>
        <v/>
      </c>
      <c r="AR125" s="10" t="n">
        <v>99.19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99.9603</v>
      </c>
      <c r="AW125" s="12">
        <f>IF(COUNT(AV120:AV125)=6,(AVERAGE(AV123:AV125)/AVERAGE(AV120:AV122))^4-1,"")</f>
        <v/>
      </c>
    </row>
    <row r="126">
      <c r="A126" s="9" t="n">
        <v>45689</v>
      </c>
      <c r="B126" s="10" t="n">
        <v>98.95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99.45820000000001</v>
      </c>
      <c r="G126" s="12">
        <f>IF(COUNT(F121:F126)=6,(AVERAGE(F124:F126)/AVERAGE(F121:F123))^4-1,"")</f>
        <v/>
      </c>
      <c r="H126" s="10" t="n">
        <v>98.48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99.0583</v>
      </c>
      <c r="M126" s="12">
        <f>IF(COUNT(L121:L126)=6,(AVERAGE(L124:L126)/AVERAGE(L121:L123))^4-1,"")</f>
        <v/>
      </c>
      <c r="N126" s="10" t="n">
        <v>98.65000000000001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99.12730000000001</v>
      </c>
      <c r="S126" s="12">
        <f>IF(COUNT(R121:R126)=6,(AVERAGE(R124:R126)/AVERAGE(R121:R123))^4-1,"")</f>
        <v/>
      </c>
      <c r="T126" s="10" t="n">
        <v>99.76000000000001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99.9794</v>
      </c>
      <c r="Y126" s="12">
        <f>IF(COUNT(X121:X126)=6,(AVERAGE(X124:X126)/AVERAGE(X121:X123))^4-1,"")</f>
        <v/>
      </c>
      <c r="Z126" s="10" t="n">
        <v>98.03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98.7192</v>
      </c>
      <c r="AE126" s="12">
        <f>IF(COUNT(AD121:AD126)=6,(AVERAGE(AD124:AD126)/AVERAGE(AD121:AD123))^4-1,"")</f>
        <v/>
      </c>
      <c r="AF126" s="10" t="n">
        <v>99.40000000000001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99.12520000000001</v>
      </c>
      <c r="AK126" s="12">
        <f>IF(COUNT(AJ121:AJ126)=6,(AVERAGE(AJ124:AJ126)/AVERAGE(AJ121:AJ123))^4-1,"")</f>
        <v/>
      </c>
      <c r="AL126" s="10" t="n">
        <v>102.08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100.6667</v>
      </c>
      <c r="AQ126" s="12">
        <f>IF(COUNT(AP121:AP126)=6,(AVERAGE(AP124:AP126)/AVERAGE(AP121:AP123))^4-1,"")</f>
        <v/>
      </c>
      <c r="AR126" s="10" t="n">
        <v>99.53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99.7025</v>
      </c>
      <c r="AW126" s="12">
        <f>IF(COUNT(AV121:AV126)=6,(AVERAGE(AV124:AV126)/AVERAGE(AV121:AV123))^4-1,"")</f>
        <v/>
      </c>
    </row>
    <row r="127">
      <c r="A127" s="9" t="n">
        <v>45717</v>
      </c>
      <c r="B127" s="10" t="n">
        <v>99.31999999999999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99.29859999999999</v>
      </c>
      <c r="G127" s="12">
        <f>IF(COUNT(F122:F127)=6,(AVERAGE(F125:F127)/AVERAGE(F122:F124))^4-1,"")</f>
        <v/>
      </c>
      <c r="H127" s="10" t="n">
        <v>99.09999999999999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99.2603</v>
      </c>
      <c r="M127" s="12">
        <f>IF(COUNT(L122:L127)=6,(AVERAGE(L125:L127)/AVERAGE(L122:L124))^4-1,"")</f>
        <v/>
      </c>
      <c r="N127" s="10" t="n">
        <v>99.20999999999999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99.3078</v>
      </c>
      <c r="S127" s="12">
        <f>IF(COUNT(R122:R127)=6,(AVERAGE(R125:R127)/AVERAGE(R122:R124))^4-1,"")</f>
        <v/>
      </c>
      <c r="T127" s="10" t="n">
        <v>99.95999999999999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99.58920000000001</v>
      </c>
      <c r="Y127" s="12">
        <f>IF(COUNT(X122:X127)=6,(AVERAGE(X125:X127)/AVERAGE(X122:X124))^4-1,"")</f>
        <v/>
      </c>
      <c r="Z127" s="10" t="n">
        <v>98.59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98.8933</v>
      </c>
      <c r="AE127" s="12">
        <f>IF(COUNT(AD122:AD127)=6,(AVERAGE(AD125:AD127)/AVERAGE(AD122:AD124))^4-1,"")</f>
        <v/>
      </c>
      <c r="AF127" s="10" t="n">
        <v>99.69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99.45820000000001</v>
      </c>
      <c r="AK127" s="12">
        <f>IF(COUNT(AJ122:AJ127)=6,(AVERAGE(AJ125:AJ127)/AVERAGE(AJ122:AJ124))^4-1,"")</f>
        <v/>
      </c>
      <c r="AL127" s="10" t="n">
        <v>100.47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98.9705</v>
      </c>
      <c r="AQ127" s="12">
        <f>IF(COUNT(AP122:AP127)=6,(AVERAGE(AP125:AP127)/AVERAGE(AP122:AP124))^4-1,"")</f>
        <v/>
      </c>
      <c r="AR127" s="10" t="n">
        <v>99.3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98.4744</v>
      </c>
      <c r="AW127" s="12">
        <f>IF(COUNT(AV122:AV127)=6,(AVERAGE(AV125:AV127)/AVERAGE(AV122:AV124))^4-1,"")</f>
        <v/>
      </c>
    </row>
    <row r="128">
      <c r="A128" s="9" t="n">
        <v>45748</v>
      </c>
      <c r="B128" s="10" t="n">
        <v>99.8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99.4469</v>
      </c>
      <c r="G128" s="12">
        <f>IF(COUNT(F123:F128)=6,(AVERAGE(F126:F128)/AVERAGE(F123:F125))^4-1,"")</f>
        <v/>
      </c>
      <c r="H128" s="10" t="n">
        <v>99.73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99.61879999999999</v>
      </c>
      <c r="M128" s="12">
        <f>IF(COUNT(L123:L128)=6,(AVERAGE(L126:L128)/AVERAGE(L123:L125))^4-1,"")</f>
        <v/>
      </c>
      <c r="N128" s="10" t="n">
        <v>99.78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99.63</v>
      </c>
      <c r="S128" s="12">
        <f>IF(COUNT(R123:R128)=6,(AVERAGE(R126:R128)/AVERAGE(R123:R125))^4-1,"")</f>
        <v/>
      </c>
      <c r="T128" s="10" t="n">
        <v>100.04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99.43689999999999</v>
      </c>
      <c r="Y128" s="12">
        <f>IF(COUNT(X123:X128)=6,(AVERAGE(X126:X128)/AVERAGE(X123:X125))^4-1,"")</f>
        <v/>
      </c>
      <c r="Z128" s="10" t="n">
        <v>99.52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99.4584</v>
      </c>
      <c r="AE128" s="12">
        <f>IF(COUNT(AD123:AD128)=6,(AVERAGE(AD126:AD128)/AVERAGE(AD123:AD125))^4-1,"")</f>
        <v/>
      </c>
      <c r="AF128" s="10" t="n">
        <v>100.03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99.5091</v>
      </c>
      <c r="AK128" s="12">
        <f>IF(COUNT(AJ123:AJ128)=6,(AVERAGE(AJ126:AJ128)/AVERAGE(AJ123:AJ125))^4-1,"")</f>
        <v/>
      </c>
      <c r="AL128" s="10" t="n">
        <v>99.97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97.264</v>
      </c>
      <c r="AQ128" s="12">
        <f>IF(COUNT(AP123:AP128)=6,(AVERAGE(AP126:AP128)/AVERAGE(AP123:AP125))^4-1,"")</f>
        <v/>
      </c>
      <c r="AR128" s="10" t="n">
        <v>100.3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98.7346</v>
      </c>
      <c r="AW128" s="12">
        <f>IF(COUNT(AV123:AV128)=6,(AVERAGE(AV126:AV128)/AVERAGE(AV123:AV125))^4-1,"")</f>
        <v/>
      </c>
    </row>
    <row r="129">
      <c r="A129" s="9" t="n">
        <v>45778</v>
      </c>
      <c r="B129" s="10" t="n">
        <v>99.88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99.6694</v>
      </c>
      <c r="G129" s="12">
        <f>IF(COUNT(F124:F129)=6,(AVERAGE(F127:F129)/AVERAGE(F124:F126))^4-1,"")</f>
        <v/>
      </c>
      <c r="H129" s="10" t="n">
        <v>99.86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99.6743</v>
      </c>
      <c r="M129" s="12">
        <f>IF(COUNT(L124:L129)=6,(AVERAGE(L127:L129)/AVERAGE(L124:L126))^4-1,"")</f>
        <v/>
      </c>
      <c r="N129" s="10" t="n">
        <v>99.91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99.69589999999999</v>
      </c>
      <c r="S129" s="12">
        <f>IF(COUNT(R124:R129)=6,(AVERAGE(R127:R129)/AVERAGE(R124:R126))^4-1,"")</f>
        <v/>
      </c>
      <c r="T129" s="10" t="n">
        <v>100.04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99.7525</v>
      </c>
      <c r="Y129" s="12">
        <f>IF(COUNT(X124:X129)=6,(AVERAGE(X127:X129)/AVERAGE(X124:X126))^4-1,"")</f>
        <v/>
      </c>
      <c r="Z129" s="10" t="n">
        <v>99.7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99.5581</v>
      </c>
      <c r="AE129" s="12">
        <f>IF(COUNT(AD124:AD129)=6,(AVERAGE(AD127:AD129)/AVERAGE(AD124:AD126))^4-1,"")</f>
        <v/>
      </c>
      <c r="AF129" s="10" t="n">
        <v>100.14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100.0568</v>
      </c>
      <c r="AK129" s="12">
        <f>IF(COUNT(AJ124:AJ129)=6,(AVERAGE(AJ127:AJ129)/AVERAGE(AJ124:AJ126))^4-1,"")</f>
        <v/>
      </c>
      <c r="AL129" s="10" t="n">
        <v>99.54000000000001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99.25409999999999</v>
      </c>
      <c r="AQ129" s="12">
        <f>IF(COUNT(AP124:AP129)=6,(AVERAGE(AP127:AP129)/AVERAGE(AP124:AP126))^4-1,"")</f>
        <v/>
      </c>
      <c r="AR129" s="10" t="n">
        <v>99.63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99.4802</v>
      </c>
      <c r="AW129" s="12">
        <f>IF(COUNT(AV124:AV129)=6,(AVERAGE(AV127:AV129)/AVERAGE(AV124:AV126))^4-1,"")</f>
        <v/>
      </c>
    </row>
    <row r="130">
      <c r="A130" s="9" t="n">
        <v>45809</v>
      </c>
      <c r="B130" s="10" t="n">
        <v>99.97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99.8403</v>
      </c>
      <c r="G130" s="12">
        <f>IF(COUNT(F125:F130)=6,(AVERAGE(F128:F130)/AVERAGE(F125:F127))^4-1,"")</f>
        <v/>
      </c>
      <c r="H130" s="10" t="n">
        <v>100.07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99.81740000000001</v>
      </c>
      <c r="M130" s="12">
        <f>IF(COUNT(L125:L130)=6,(AVERAGE(L128:L130)/AVERAGE(L125:L127))^4-1,"")</f>
        <v/>
      </c>
      <c r="N130" s="10" t="n">
        <v>100.02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99.8087</v>
      </c>
      <c r="S130" s="12">
        <f>IF(COUNT(R125:R130)=6,(AVERAGE(R128:R130)/AVERAGE(R125:R127))^4-1,"")</f>
        <v/>
      </c>
      <c r="T130" s="10" t="n">
        <v>99.79000000000001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99.9216</v>
      </c>
      <c r="Y130" s="12">
        <f>IF(COUNT(X125:X130)=6,(AVERAGE(X128:X130)/AVERAGE(X125:X127))^4-1,"")</f>
        <v/>
      </c>
      <c r="Z130" s="10" t="n">
        <v>100.18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99.7527</v>
      </c>
      <c r="AE130" s="12">
        <f>IF(COUNT(AD125:AD130)=6,(AVERAGE(AD128:AD130)/AVERAGE(AD125:AD127))^4-1,"")</f>
        <v/>
      </c>
      <c r="AF130" s="10" t="n">
        <v>99.78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100.0875</v>
      </c>
      <c r="AK130" s="12">
        <f>IF(COUNT(AJ125:AJ130)=6,(AVERAGE(AJ128:AJ130)/AVERAGE(AJ125:AJ127))^4-1,"")</f>
        <v/>
      </c>
      <c r="AL130" s="10" t="n">
        <v>99.47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100.3625</v>
      </c>
      <c r="AQ130" s="12">
        <f>IF(COUNT(AP125:AP130)=6,(AVERAGE(AP128:AP130)/AVERAGE(AP125:AP127))^4-1,"")</f>
        <v/>
      </c>
      <c r="AR130" s="10" t="n">
        <v>99.86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100.3879</v>
      </c>
      <c r="AW130" s="12">
        <f>IF(COUNT(AV125:AV130)=6,(AVERAGE(AV128:AV130)/AVERAGE(AV125:AV127))^4-1,"")</f>
        <v/>
      </c>
    </row>
    <row r="131">
      <c r="A131" s="9" t="n">
        <v>45839</v>
      </c>
      <c r="B131" s="10" t="n">
        <v>100.35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99.9341</v>
      </c>
      <c r="G131" s="12">
        <f>IF(COUNT(F126:F131)=6,(AVERAGE(F129:F131)/AVERAGE(F126:F128))^4-1,"")</f>
        <v/>
      </c>
      <c r="H131" s="10" t="n">
        <v>100.49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99.9464</v>
      </c>
      <c r="M131" s="12">
        <f>IF(COUNT(L126:L131)=6,(AVERAGE(L129:L131)/AVERAGE(L126:L128))^4-1,"")</f>
        <v/>
      </c>
      <c r="N131" s="10" t="n">
        <v>100.4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99.9808</v>
      </c>
      <c r="S131" s="12">
        <f>IF(COUNT(R126:R131)=6,(AVERAGE(R129:R131)/AVERAGE(R126:R128))^4-1,"")</f>
        <v/>
      </c>
      <c r="T131" s="10" t="n">
        <v>99.81999999999999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99.9662</v>
      </c>
      <c r="Y131" s="12">
        <f>IF(COUNT(X126:X131)=6,(AVERAGE(X129:X131)/AVERAGE(X126:X128))^4-1,"")</f>
        <v/>
      </c>
      <c r="Z131" s="10" t="n">
        <v>100.95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99.8237</v>
      </c>
      <c r="AE131" s="12">
        <f>IF(COUNT(AD126:AD131)=6,(AVERAGE(AD129:AD131)/AVERAGE(AD126:AD128))^4-1,"")</f>
        <v/>
      </c>
      <c r="AF131" s="10" t="n">
        <v>100.01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100.232</v>
      </c>
      <c r="AK131" s="12">
        <f>IF(COUNT(AJ126:AJ131)=6,(AVERAGE(AJ129:AJ131)/AVERAGE(AJ126:AJ128))^4-1,"")</f>
        <v/>
      </c>
      <c r="AL131" s="10" t="n">
        <v>99.8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99.30800000000001</v>
      </c>
      <c r="AQ131" s="12">
        <f>IF(COUNT(AP126:AP131)=6,(AVERAGE(AP129:AP131)/AVERAGE(AP126:AP128))^4-1,"")</f>
        <v/>
      </c>
      <c r="AR131" s="10" t="n">
        <v>100.31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99.6867</v>
      </c>
      <c r="AW131" s="12">
        <f>IF(COUNT(AV126:AV131)=6,(AVERAGE(AV129:AV131)/AVERAGE(AV126:AV128))^4-1,"")</f>
        <v/>
      </c>
    </row>
    <row r="132">
      <c r="A132" s="9" t="n">
        <v>45870</v>
      </c>
      <c r="B132" s="10" t="n">
        <v>100.42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100.1355</v>
      </c>
      <c r="G132" s="12">
        <f>IF(COUNT(F127:F132)=6,(AVERAGE(F130:F132)/AVERAGE(F127:F129))^4-1,"")</f>
        <v/>
      </c>
      <c r="H132" s="10" t="n">
        <v>100.57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100.189</v>
      </c>
      <c r="M132" s="12">
        <f>IF(COUNT(L127:L132)=6,(AVERAGE(L130:L132)/AVERAGE(L127:L129))^4-1,"")</f>
        <v/>
      </c>
      <c r="N132" s="10" t="n">
        <v>100.52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100.2415</v>
      </c>
      <c r="S132" s="12">
        <f>IF(COUNT(R127:R132)=6,(AVERAGE(R130:R132)/AVERAGE(R127:R129))^4-1,"")</f>
        <v/>
      </c>
      <c r="T132" s="10" t="n">
        <v>99.81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99.9054</v>
      </c>
      <c r="Y132" s="12">
        <f>IF(COUNT(X127:X132)=6,(AVERAGE(X130:X132)/AVERAGE(X127:X129))^4-1,"")</f>
        <v/>
      </c>
      <c r="Z132" s="10" t="n">
        <v>101.12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100.2751</v>
      </c>
      <c r="AE132" s="12">
        <f>IF(COUNT(AD127:AD132)=6,(AVERAGE(AD130:AD132)/AVERAGE(AD127:AD129))^4-1,"")</f>
        <v/>
      </c>
      <c r="AF132" s="10" t="n">
        <v>100.3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100.6193</v>
      </c>
      <c r="AK132" s="12">
        <f>IF(COUNT(AJ127:AJ132)=6,(AVERAGE(AJ130:AJ132)/AVERAGE(AJ127:AJ129))^4-1,"")</f>
        <v/>
      </c>
      <c r="AL132" s="10" t="n">
        <v>99.43000000000001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98.8258</v>
      </c>
      <c r="AQ132" s="12">
        <f>IF(COUNT(AP127:AP132)=6,(AVERAGE(AP130:AP132)/AVERAGE(AP127:AP129))^4-1,"")</f>
        <v/>
      </c>
      <c r="AR132" s="10" t="n">
        <v>99.81999999999999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99.6725</v>
      </c>
      <c r="AW132" s="12">
        <f>IF(COUNT(AV127:AV132)=6,(AVERAGE(AV130:AV132)/AVERAGE(AV127:AV129))^4-1,"")</f>
        <v/>
      </c>
    </row>
    <row r="133">
      <c r="A133" s="9" t="n">
        <v>45901</v>
      </c>
      <c r="B133" s="10" t="n">
        <v>100.65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100.3028</v>
      </c>
      <c r="G133" s="12">
        <f>IF(COUNT(F128:F133)=6,(AVERAGE(F131:F133)/AVERAGE(F128:F130))^4-1,"")</f>
        <v/>
      </c>
      <c r="H133" s="10" t="n">
        <v>100.85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100.5288</v>
      </c>
      <c r="M133" s="12">
        <f>IF(COUNT(L128:L133)=6,(AVERAGE(L131:L133)/AVERAGE(L128:L130))^4-1,"")</f>
        <v/>
      </c>
      <c r="N133" s="10" t="n">
        <v>100.78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100.5152</v>
      </c>
      <c r="S133" s="12">
        <f>IF(COUNT(R128:R133)=6,(AVERAGE(R131:R133)/AVERAGE(R128:R130))^4-1,"")</f>
        <v/>
      </c>
      <c r="T133" s="10" t="n">
        <v>100.21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100.1017</v>
      </c>
      <c r="Y133" s="12">
        <f>IF(COUNT(X128:X133)=6,(AVERAGE(X131:X133)/AVERAGE(X128:X130))^4-1,"")</f>
        <v/>
      </c>
      <c r="Z133" s="10" t="n">
        <v>101.14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100.7853</v>
      </c>
      <c r="AE133" s="12">
        <f>IF(COUNT(AD128:AD133)=6,(AVERAGE(AD131:AD133)/AVERAGE(AD128:AD130))^4-1,"")</f>
        <v/>
      </c>
      <c r="AF133" s="10" t="n">
        <v>100.51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100.7043</v>
      </c>
      <c r="AK133" s="12">
        <f>IF(COUNT(AJ128:AJ133)=6,(AVERAGE(AJ131:AJ133)/AVERAGE(AJ128:AJ130))^4-1,"")</f>
        <v/>
      </c>
      <c r="AL133" s="10" t="n">
        <v>99.22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101.1059</v>
      </c>
      <c r="AQ133" s="12">
        <f>IF(COUNT(AP128:AP133)=6,(AVERAGE(AP131:AP133)/AVERAGE(AP128:AP130))^4-1,"")</f>
        <v/>
      </c>
      <c r="AR133" s="10" t="n">
        <v>99.75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99.9203</v>
      </c>
      <c r="AW133" s="12">
        <f>IF(COUNT(AV128:AV133)=6,(AVERAGE(AV131:AV133)/AVERAGE(AV128:AV130))^4-1,"")</f>
        <v/>
      </c>
    </row>
    <row r="134">
      <c r="A134" s="9" t="n">
        <v>45931</v>
      </c>
      <c r="B134" s="10" t="n">
        <v>100.95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100.7133</v>
      </c>
      <c r="G134" s="12">
        <f>IF(COUNT(F129:F134)=6,(AVERAGE(F132:F134)/AVERAGE(F129:F131))^4-1,"")</f>
        <v/>
      </c>
      <c r="H134" s="10" t="n">
        <v>101.23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100.8908</v>
      </c>
      <c r="M134" s="12">
        <f>IF(COUNT(L129:L134)=6,(AVERAGE(L132:L134)/AVERAGE(L129:L131))^4-1,"")</f>
        <v/>
      </c>
      <c r="N134" s="10" t="n">
        <v>101.1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100.7292</v>
      </c>
      <c r="S134" s="12">
        <f>IF(COUNT(R129:R134)=6,(AVERAGE(R132:R134)/AVERAGE(R129:R131))^4-1,"")</f>
        <v/>
      </c>
      <c r="T134" s="10" t="n">
        <v>100.47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100.4125</v>
      </c>
      <c r="Y134" s="12">
        <f>IF(COUNT(X129:X134)=6,(AVERAGE(X132:X134)/AVERAGE(X129:X131))^4-1,"")</f>
        <v/>
      </c>
      <c r="Z134" s="10" t="n">
        <v>101.51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101.212</v>
      </c>
      <c r="AE134" s="12">
        <f>IF(COUNT(AD129:AD134)=6,(AVERAGE(AD132:AD134)/AVERAGE(AD129:AD131))^4-1,"")</f>
        <v/>
      </c>
      <c r="AF134" s="10" t="n">
        <v>100.48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100.5829</v>
      </c>
      <c r="AK134" s="12">
        <f>IF(COUNT(AJ129:AJ134)=6,(AVERAGE(AJ132:AJ134)/AVERAGE(AJ129:AJ131))^4-1,"")</f>
        <v/>
      </c>
      <c r="AL134" s="10" t="n">
        <v>99.45999999999999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100.2954</v>
      </c>
      <c r="AQ134" s="12">
        <f>IF(COUNT(AP129:AP134)=6,(AVERAGE(AP132:AP134)/AVERAGE(AP129:AP131))^4-1,"")</f>
        <v/>
      </c>
      <c r="AR134" s="10" t="n">
        <v>100.77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100.8603</v>
      </c>
      <c r="AW134" s="12">
        <f>IF(COUNT(AV129:AV134)=6,(AVERAGE(AV132:AV134)/AVERAGE(AV129:AV131))^4-1,"")</f>
        <v/>
      </c>
    </row>
    <row r="135">
      <c r="A135" s="9" t="n">
        <v>45962</v>
      </c>
      <c r="B135" s="10" t="n">
        <v>100.56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101.0865</v>
      </c>
      <c r="G135" s="12">
        <f>IF(COUNT(F130:F135)=6,(AVERAGE(F133:F135)/AVERAGE(F130:F132))^4-1,"")</f>
        <v/>
      </c>
      <c r="H135" s="10" t="n">
        <v>100.61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101.0532</v>
      </c>
      <c r="M135" s="12">
        <f>IF(COUNT(L130:L135)=6,(AVERAGE(L133:L135)/AVERAGE(L130:L132))^4-1,"")</f>
        <v/>
      </c>
      <c r="N135" s="10" t="n">
        <v>100.61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101.0684</v>
      </c>
      <c r="S135" s="12">
        <f>IF(COUNT(R130:R135)=6,(AVERAGE(R133:R135)/AVERAGE(R130:R132))^4-1,"")</f>
        <v/>
      </c>
      <c r="T135" s="10" t="n">
        <v>100.54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100.5989</v>
      </c>
      <c r="Y135" s="12">
        <f>IF(COUNT(X130:X135)=6,(AVERAGE(X133:X135)/AVERAGE(X130:X132))^4-1,"")</f>
        <v/>
      </c>
      <c r="Z135" s="10" t="n">
        <v>100.57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101.4713</v>
      </c>
      <c r="AE135" s="12">
        <f>IF(COUNT(AD130:AD135)=6,(AVERAGE(AD133:AD135)/AVERAGE(AD130:AD132))^4-1,"")</f>
        <v/>
      </c>
      <c r="AF135" s="10" t="n">
        <v>100.6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100.6771</v>
      </c>
      <c r="AK135" s="12">
        <f>IF(COUNT(AJ130:AJ135)=6,(AVERAGE(AJ133:AJ135)/AVERAGE(AJ130:AJ132))^4-1,"")</f>
        <v/>
      </c>
      <c r="AL135" s="10" t="n">
        <v>100.05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101.1032</v>
      </c>
      <c r="AQ135" s="12">
        <f>IF(COUNT(AP130:AP135)=6,(AVERAGE(AP133:AP135)/AVERAGE(AP130:AP132))^4-1,"")</f>
        <v/>
      </c>
      <c r="AR135" s="10" t="n">
        <v>100.56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101.7055</v>
      </c>
      <c r="AW135" s="12">
        <f>IF(COUNT(AV130:AV135)=6,(AVERAGE(AV133:AV135)/AVERAGE(AV130:AV132))^4-1,"")</f>
        <v/>
      </c>
    </row>
    <row r="136">
      <c r="A136" s="9" t="n">
        <v>45992</v>
      </c>
      <c r="B136" s="10" t="n">
        <v>100.67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101.0349</v>
      </c>
      <c r="G136" s="12">
        <f>IF(COUNT(F131:F136)=6,(AVERAGE(F134:F136)/AVERAGE(F131:F133))^4-1,"")</f>
        <v/>
      </c>
      <c r="H136" s="10" t="n">
        <v>100.91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101.1384</v>
      </c>
      <c r="M136" s="12">
        <f>IF(COUNT(L131:L136)=6,(AVERAGE(L134:L136)/AVERAGE(L131:L133))^4-1,"")</f>
        <v/>
      </c>
      <c r="N136" s="10" t="n">
        <v>100.84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101.1177</v>
      </c>
      <c r="S136" s="12">
        <f>IF(COUNT(R131:R136)=6,(AVERAGE(R134:R136)/AVERAGE(R131:R133))^4-1,"")</f>
        <v/>
      </c>
      <c r="T136" s="10" t="n">
        <v>100.13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100.6006</v>
      </c>
      <c r="Y136" s="12">
        <f>IF(COUNT(X131:X136)=6,(AVERAGE(X134:X136)/AVERAGE(X131:X133))^4-1,"")</f>
        <v/>
      </c>
      <c r="Z136" s="10" t="n">
        <v>101.29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101.7752</v>
      </c>
      <c r="AE136" s="12">
        <f>IF(COUNT(AD131:AD136)=6,(AVERAGE(AD134:AD136)/AVERAGE(AD131:AD133))^4-1,"")</f>
        <v/>
      </c>
      <c r="AF136" s="10" t="n">
        <v>100.56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100.7832</v>
      </c>
      <c r="AK136" s="12">
        <f>IF(COUNT(AJ131:AJ136)=6,(AVERAGE(AJ134:AJ136)/AVERAGE(AJ131:AJ133))^4-1,"")</f>
        <v/>
      </c>
      <c r="AL136" s="10" t="n">
        <v>98.92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101.6293</v>
      </c>
      <c r="AQ136" s="12">
        <f>IF(COUNT(AP131:AP136)=6,(AVERAGE(AP134:AP136)/AVERAGE(AP131:AP133))^4-1,"")</f>
        <v/>
      </c>
      <c r="AR136" s="10" t="n">
        <v>100.98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101.7821</v>
      </c>
      <c r="AW136" s="12">
        <f>IF(COUNT(AV131:AV136)=6,(AVERAGE(AV134:AV136)/AVERAGE(AV131:AV133))^4-1,"")</f>
        <v/>
      </c>
    </row>
    <row r="137">
      <c r="A137" s="9" t="n">
        <v>46023</v>
      </c>
      <c r="B137" s="10" t="n">
        <v>100.56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101.2829</v>
      </c>
      <c r="G137" s="12">
        <f>IF(COUNT(F132:F137)=6,(AVERAGE(F135:F137)/AVERAGE(F132:F134))^4-1,"")</f>
        <v/>
      </c>
      <c r="H137" s="10" t="n">
        <v>100.48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101.2618</v>
      </c>
      <c r="M137" s="12">
        <f>IF(COUNT(L132:L137)=6,(AVERAGE(L135:L137)/AVERAGE(L132:L134))^4-1,"")</f>
        <v/>
      </c>
      <c r="N137" s="10" t="n">
        <v>100.64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101.3042</v>
      </c>
      <c r="S137" s="12">
        <f>IF(COUNT(R132:R137)=6,(AVERAGE(R135:R137)/AVERAGE(R132:R134))^4-1,"")</f>
        <v/>
      </c>
      <c r="T137" s="10" t="n">
        <v>100.32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100.7693</v>
      </c>
      <c r="Y137" s="12">
        <f>IF(COUNT(X132:X137)=6,(AVERAGE(X135:X137)/AVERAGE(X132:X134))^4-1,"")</f>
        <v/>
      </c>
      <c r="Z137" s="10" t="n">
        <v>100.84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101.8241</v>
      </c>
      <c r="AE137" s="12">
        <f>IF(COUNT(AD132:AD137)=6,(AVERAGE(AD135:AD137)/AVERAGE(AD132:AD134))^4-1,"")</f>
        <v/>
      </c>
      <c r="AF137" s="10" t="n">
        <v>101.4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101.1556</v>
      </c>
      <c r="AK137" s="12">
        <f>IF(COUNT(AJ132:AJ137)=6,(AVERAGE(AJ135:AJ137)/AVERAGE(AJ132:AJ134))^4-1,"")</f>
        <v/>
      </c>
      <c r="AL137" s="10" t="n">
        <v>99.67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100.0354</v>
      </c>
      <c r="AQ137" s="12">
        <f>IF(COUNT(AP132:AP137)=6,(AVERAGE(AP135:AP137)/AVERAGE(AP132:AP134))^4-1,"")</f>
        <v/>
      </c>
      <c r="AR137" s="10" t="n">
        <v>101.22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102.0925</v>
      </c>
      <c r="AW137" s="12">
        <f>IF(COUNT(AV132:AV137)=6,(AVERAGE(AV135:AV137)/AVERAGE(AV132:AV134))^4-1,"")</f>
        <v/>
      </c>
    </row>
    <row r="138">
      <c r="A138" s="9" t="n">
        <v>46054</v>
      </c>
      <c r="B138" s="10" t="n">
        <v>100.94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101.4287</v>
      </c>
      <c r="G138" s="12">
        <f>IF(COUNT(F133:F138)=6,(AVERAGE(F136:F138)/AVERAGE(F133:F135))^4-1,"")</f>
        <v/>
      </c>
      <c r="H138" s="10" t="n">
        <v>100.94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101.4817</v>
      </c>
      <c r="M138" s="12">
        <f>IF(COUNT(L133:L138)=6,(AVERAGE(L136:L138)/AVERAGE(L133:L135))^4-1,"")</f>
        <v/>
      </c>
      <c r="N138" s="10" t="n">
        <v>101.05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101.4861</v>
      </c>
      <c r="S138" s="12">
        <f>IF(COUNT(R133:R138)=6,(AVERAGE(R136:R138)/AVERAGE(R133:R135))^4-1,"")</f>
        <v/>
      </c>
      <c r="T138" s="10" t="n">
        <v>100.5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100.7455</v>
      </c>
      <c r="Y138" s="12">
        <f>IF(COUNT(X133:X138)=6,(AVERAGE(X136:X138)/AVERAGE(X133:X135))^4-1,"")</f>
        <v/>
      </c>
      <c r="Z138" s="10" t="n">
        <v>101.44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102.0687</v>
      </c>
      <c r="AE138" s="12">
        <f>IF(COUNT(AD133:AD138)=6,(AVERAGE(AD136:AD138)/AVERAGE(AD133:AD135))^4-1,"")</f>
        <v/>
      </c>
      <c r="AF138" s="10" t="n">
        <v>101.53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101.2742</v>
      </c>
      <c r="AK138" s="12">
        <f>IF(COUNT(AJ133:AJ138)=6,(AVERAGE(AJ136:AJ138)/AVERAGE(AJ133:AJ135))^4-1,"")</f>
        <v/>
      </c>
      <c r="AL138" s="10" t="n">
        <v>99.79000000000001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98.3125</v>
      </c>
      <c r="AQ138" s="12">
        <f>IF(COUNT(AP133:AP138)=6,(AVERAGE(AP136:AP138)/AVERAGE(AP133:AP135))^4-1,"")</f>
        <v/>
      </c>
      <c r="AR138" s="10" t="n">
        <v>101.73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101.9272</v>
      </c>
      <c r="AW138" s="12">
        <f>IF(COUNT(AV133:AV138)=6,(AVERAGE(AV136:AV138)/AVERAGE(AV133:AV135))^4-1,"")</f>
        <v/>
      </c>
    </row>
    <row r="139">
      <c r="A139" s="9" t="n">
        <v>46082</v>
      </c>
      <c r="B139" s="10" t="n">
        <v>102.1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101.9916</v>
      </c>
      <c r="G139" s="12">
        <f>IF(COUNT(F134:F139)=6,(AVERAGE(F137:F139)/AVERAGE(F134:F136))^4-1,"")</f>
        <v/>
      </c>
      <c r="H139" s="10" t="n">
        <v>101.61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101.7265</v>
      </c>
      <c r="M139" s="12">
        <f>IF(COUNT(L134:L139)=6,(AVERAGE(L137:L139)/AVERAGE(L134:L136))^4-1,"")</f>
        <v/>
      </c>
      <c r="N139" s="10" t="n">
        <v>101.64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101.6821</v>
      </c>
      <c r="S139" s="12">
        <f>IF(COUNT(R134:R139)=6,(AVERAGE(R137:R139)/AVERAGE(R134:R136))^4-1,"")</f>
        <v/>
      </c>
      <c r="T139" s="10" t="n">
        <v>102.13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101.6877</v>
      </c>
      <c r="Y139" s="12">
        <f>IF(COUNT(X134:X139)=6,(AVERAGE(X137:X139)/AVERAGE(X134:X136))^4-1,"")</f>
        <v/>
      </c>
      <c r="Z139" s="10" t="n">
        <v>102.08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102.3044</v>
      </c>
      <c r="AE139" s="12">
        <f>IF(COUNT(AD134:AD139)=6,(AVERAGE(AD137:AD139)/AVERAGE(AD134:AD136))^4-1,"")</f>
        <v/>
      </c>
      <c r="AF139" s="10" t="n">
        <v>101.77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101.5301</v>
      </c>
      <c r="AK139" s="12">
        <f>IF(COUNT(AJ134:AJ139)=6,(AVERAGE(AJ137:AJ139)/AVERAGE(AJ134:AJ136))^4-1,"")</f>
        <v/>
      </c>
      <c r="AL139" s="10" t="n">
        <v>106.75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104.868</v>
      </c>
      <c r="AQ139" s="12">
        <f>IF(COUNT(AP134:AP139)=6,(AVERAGE(AP137:AP139)/AVERAGE(AP134:AP136))^4-1,"")</f>
        <v/>
      </c>
      <c r="AR139" s="10" t="n">
        <v>105.95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104.8367</v>
      </c>
      <c r="AW139" s="12">
        <f>IF(COUNT(AV134:AV139)=6,(AVERAGE(AV137:AV139)/AVERAGE(AV134:AV136))^4-1,"")</f>
        <v/>
      </c>
    </row>
    <row r="140">
      <c r="A140" s="9" t="n">
        <v>46113</v>
      </c>
      <c r="B140" s="10" t="n">
        <v>102.66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102.2231</v>
      </c>
      <c r="G140" s="12">
        <f>IF(COUNT(F135:F140)=6,(AVERAGE(F138:F140)/AVERAGE(F135:F137))^4-1,"")</f>
        <v/>
      </c>
      <c r="H140" s="10" t="n">
        <v>102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101.8804</v>
      </c>
      <c r="M140" s="12">
        <f>IF(COUNT(L135:L140)=6,(AVERAGE(L138:L140)/AVERAGE(L135:L137))^4-1,"")</f>
        <v/>
      </c>
      <c r="N140" s="10" t="n">
        <v>102.04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101.86</v>
      </c>
      <c r="S140" s="12">
        <f>IF(COUNT(R135:R140)=6,(AVERAGE(R138:R140)/AVERAGE(R135:R137))^4-1,"")</f>
        <v/>
      </c>
      <c r="T140" s="10" t="n">
        <v>102.77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102.0639</v>
      </c>
      <c r="Y140" s="12">
        <f>IF(COUNT(X135:X140)=6,(AVERAGE(X138:X140)/AVERAGE(X135:X137))^4-1,"")</f>
        <v/>
      </c>
      <c r="Z140" s="10" t="n">
        <v>102.55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102.4491</v>
      </c>
      <c r="AE140" s="12">
        <f>IF(COUNT(AD135:AD140)=6,(AVERAGE(AD138:AD140)/AVERAGE(AD135:AD137))^4-1,"")</f>
        <v/>
      </c>
      <c r="AF140" s="10" t="n">
        <v>102.23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101.6731</v>
      </c>
      <c r="AK140" s="12">
        <f>IF(COUNT(AJ135:AJ140)=6,(AVERAGE(AJ138:AJ140)/AVERAGE(AJ135:AJ137))^4-1,"")</f>
        <v/>
      </c>
      <c r="AL140" s="10" t="n">
        <v>108.88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105.393</v>
      </c>
      <c r="AQ140" s="12">
        <f>IF(COUNT(AP135:AP140)=6,(AVERAGE(AP138:AP140)/AVERAGE(AP135:AP137))^4-1,"")</f>
        <v/>
      </c>
      <c r="AR140" s="10" t="n">
        <v>107.43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105.4372</v>
      </c>
      <c r="AW140" s="12">
        <f>IF(COUNT(AV135:AV140)=6,(AVERAGE(AV138:AV140)/AVERAGE(AV135:AV137))^4-1,"")</f>
        <v/>
      </c>
    </row>
    <row r="141">
      <c r="A141" s="9" t="n">
        <v>46143</v>
      </c>
      <c r="B141" s="10" t="n">
        <v>102.54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102.3069</v>
      </c>
      <c r="G141" s="12">
        <f>IF(COUNT(F136:F141)=6,(AVERAGE(F139:F141)/AVERAGE(F136:F138))^4-1,"")</f>
        <v/>
      </c>
      <c r="H141" s="10" t="n">
        <v>102.41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102.2116</v>
      </c>
      <c r="M141" s="12">
        <f>IF(COUNT(L136:L141)=6,(AVERAGE(L139:L141)/AVERAGE(L136:L138))^4-1,"")</f>
        <v/>
      </c>
      <c r="N141" s="10" t="n">
        <v>102.28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102.0446</v>
      </c>
      <c r="S141" s="12">
        <f>IF(COUNT(R136:R141)=6,(AVERAGE(R139:R141)/AVERAGE(R136:R138))^4-1,"")</f>
        <v/>
      </c>
      <c r="T141" s="10" t="n">
        <v>102.1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101.8206</v>
      </c>
      <c r="Y141" s="12">
        <f>IF(COUNT(X136:X141)=6,(AVERAGE(X139:X141)/AVERAGE(X136:X138))^4-1,"")</f>
        <v/>
      </c>
      <c r="Z141" s="10" t="n">
        <v>103.04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102.8317</v>
      </c>
      <c r="AE141" s="12">
        <f>IF(COUNT(AD136:AD141)=6,(AVERAGE(AD139:AD141)/AVERAGE(AD136:AD138))^4-1,"")</f>
        <v/>
      </c>
      <c r="AF141" s="10" t="n">
        <v>101.69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101.6123</v>
      </c>
      <c r="AK141" s="12">
        <f>IF(COUNT(AJ136:AJ141)=6,(AVERAGE(AJ139:AJ141)/AVERAGE(AJ136:AJ138))^4-1,"")</f>
        <v/>
      </c>
      <c r="AL141" s="10" t="n">
        <v>105.06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104.79</v>
      </c>
      <c r="AQ141" s="12">
        <f>IF(COUNT(AP136:AP141)=6,(AVERAGE(AP139:AP141)/AVERAGE(AP136:AP138))^4-1,"")</f>
        <v/>
      </c>
      <c r="AR141" s="10" t="n">
        <v>105.85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105.6444</v>
      </c>
      <c r="AW141" s="12">
        <f>IF(COUNT(AV136:AV141)=6,(AVERAGE(AV139:AV141)/AVERAGE(AV136:AV138))^4-1,"")</f>
        <v/>
      </c>
    </row>
    <row r="142">
      <c r="A142" s="9" t="n">
        <v>46174</v>
      </c>
      <c r="B142" s="10" t="n">
        <v>102.32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102.2512</v>
      </c>
      <c r="G142" s="12">
        <f>IF(COUNT(F137:F142)=6,(AVERAGE(F140:F142)/AVERAGE(F137:F139))^4-1,"")</f>
        <v/>
      </c>
      <c r="H142" s="10" t="n">
        <v>102.58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102.3742</v>
      </c>
      <c r="M142" s="12">
        <f>IF(COUNT(L137:L142)=6,(AVERAGE(L140:L142)/AVERAGE(L137:L139))^4-1,"")</f>
        <v/>
      </c>
      <c r="N142" s="10" t="n">
        <v>102.34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102.1758</v>
      </c>
      <c r="S142" s="12">
        <f>IF(COUNT(R137:R142)=6,(AVERAGE(R140:R142)/AVERAGE(R137:R139))^4-1,"")</f>
        <v/>
      </c>
      <c r="T142" s="10" t="n">
        <v>101.27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101.4471</v>
      </c>
      <c r="Y142" s="12">
        <f>IF(COUNT(X137:X142)=6,(AVERAGE(X140:X142)/AVERAGE(X137:X139))^4-1,"")</f>
        <v/>
      </c>
      <c r="Z142" s="10" t="n">
        <v>103.51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103.1436</v>
      </c>
      <c r="AE142" s="12">
        <f>IF(COUNT(AD137:AD142)=6,(AVERAGE(AD140:AD142)/AVERAGE(AD137:AD139))^4-1,"")</f>
        <v/>
      </c>
      <c r="AF142" s="10" t="n">
        <v>101.2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101.5533</v>
      </c>
      <c r="AK142" s="12">
        <f>IF(COUNT(AJ137:AJ142)=6,(AVERAGE(AJ140:AJ142)/AVERAGE(AJ137:AJ139))^4-1,"")</f>
        <v/>
      </c>
      <c r="AL142" s="10" t="n">
        <v>102.11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103.2522</v>
      </c>
      <c r="AQ142" s="12">
        <f>IF(COUNT(AP137:AP142)=6,(AVERAGE(AP140:AP142)/AVERAGE(AP137:AP139))^4-1,"")</f>
        <v/>
      </c>
      <c r="AR142" s="10" t="n">
        <v>104.67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105.3162</v>
      </c>
      <c r="AW142" s="12">
        <f>IF(COUNT(AV137:AV142)=6,(AVERAGE(AV140:AV142)/AVERAGE(AV137:AV139))^4-1,"")</f>
        <v/>
      </c>
    </row>
    <row r="143">
      <c r="A143" s="9" t="n">
        <v>46204</v>
      </c>
      <c r="B143" s="10" t="n">
        <v>103.2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102.8426</v>
      </c>
      <c r="G143" s="12">
        <f>IF(COUNT(F138:F143)=6,(AVERAGE(F141:F143)/AVERAGE(F138:F140))^4-1,"")</f>
        <v/>
      </c>
      <c r="H143" s="10" t="n">
        <v>103.13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102.6059</v>
      </c>
      <c r="M143" s="12">
        <f>IF(COUNT(L138:L143)=6,(AVERAGE(L141:L143)/AVERAGE(L138:L140))^4-1,"")</f>
        <v/>
      </c>
      <c r="N143" s="10" t="n">
        <v>102.8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102.4572</v>
      </c>
      <c r="S143" s="12">
        <f>IF(COUNT(R138:R143)=6,(AVERAGE(R141:R143)/AVERAGE(R138:R140))^4-1,"")</f>
        <v/>
      </c>
      <c r="T143" s="10" t="n">
        <v>102.25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102.3465</v>
      </c>
      <c r="Y143" s="12">
        <f>IF(COUNT(X138:X143)=6,(AVERAGE(X141:X143)/AVERAGE(X138:X140))^4-1,"")</f>
        <v/>
      </c>
      <c r="Z143" s="10" t="n">
        <v>104.27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103.2857</v>
      </c>
      <c r="AE143" s="12">
        <f>IF(COUNT(AD138:AD143)=6,(AVERAGE(AD141:AD143)/AVERAGE(AD138:AD140))^4-1,"")</f>
        <v/>
      </c>
      <c r="AF143" s="10" t="n">
        <v>101.3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101.5549</v>
      </c>
      <c r="AK143" s="12">
        <f>IF(COUNT(AJ138:AJ143)=6,(AVERAGE(AJ141:AJ143)/AVERAGE(AJ138:AJ140))^4-1,"")</f>
        <v/>
      </c>
      <c r="AL143" s="10" t="n">
        <v>107.12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106.4324</v>
      </c>
      <c r="AQ143" s="12">
        <f>IF(COUNT(AP138:AP143)=6,(AVERAGE(AP141:AP143)/AVERAGE(AP138:AP140))^4-1,"")</f>
        <v/>
      </c>
      <c r="AR143" s="10" t="n">
        <v>107.84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107.1071</v>
      </c>
      <c r="AW143" s="12">
        <f>IF(COUNT(AV138:AV143)=6,(AVERAGE(AV141:AV143)/AVERAGE(AV138:AV140))^4-1,"")</f>
        <v/>
      </c>
    </row>
    <row r="144">
      <c r="A144" s="9" t="n">
        <v>46235</v>
      </c>
      <c r="B144" s="10" t="n">
        <v>103.36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103.131</v>
      </c>
      <c r="G144" s="12">
        <f>IF(COUNT(F139:F144)=6,(AVERAGE(F142:F144)/AVERAGE(F139:F141))^4-1,"")</f>
        <v/>
      </c>
      <c r="H144" s="10" t="n">
        <v>103.16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102.8092</v>
      </c>
      <c r="M144" s="12">
        <f>IF(COUNT(L139:L144)=6,(AVERAGE(L142:L144)/AVERAGE(L139:L141))^4-1,"")</f>
        <v/>
      </c>
      <c r="N144" s="10" t="n">
        <v>102.82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102.6231</v>
      </c>
      <c r="S144" s="12">
        <f>IF(COUNT(R139:R144)=6,(AVERAGE(R142:R144)/AVERAGE(R139:R141))^4-1,"")</f>
        <v/>
      </c>
      <c r="T144" s="10" t="n">
        <v>102.74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102.7921</v>
      </c>
      <c r="Y144" s="12">
        <f>IF(COUNT(X139:X144)=6,(AVERAGE(X142:X144)/AVERAGE(X139:X141))^4-1,"")</f>
        <v/>
      </c>
      <c r="Z144" s="10" t="n">
        <v>104.06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103.3643</v>
      </c>
      <c r="AE144" s="12">
        <f>IF(COUNT(AD139:AD144)=6,(AVERAGE(AD142:AD144)/AVERAGE(AD139:AD141))^4-1,"")</f>
        <v/>
      </c>
      <c r="AF144" s="10" t="n">
        <v>101.22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101.5419</v>
      </c>
      <c r="AK144" s="12">
        <f>IF(COUNT(AJ139:AJ144)=6,(AVERAGE(AJ142:AJ144)/AVERAGE(AJ139:AJ141))^4-1,"")</f>
        <v/>
      </c>
      <c r="AL144" s="10" t="n">
        <v>108.74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107.8205</v>
      </c>
      <c r="AQ144" s="12">
        <f>IF(COUNT(AP139:AP144)=6,(AVERAGE(AP142:AP144)/AVERAGE(AP139:AP141))^4-1,"")</f>
        <v/>
      </c>
      <c r="AR144" s="10" t="n">
        <v>107.92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107.7866</v>
      </c>
      <c r="AW144" s="12">
        <f>IF(COUNT(AV139:AV144)=6,(AVERAGE(AV142:AV144)/AVERAGE(AV139:AV141))^4-1,"")</f>
        <v/>
      </c>
    </row>
    <row r="145">
      <c r="A145" s="9" t="n">
        <v>46266</v>
      </c>
      <c r="B145" s="10" t="n">
        <v>103.93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103.602</v>
      </c>
      <c r="G145" s="12">
        <f>IF(COUNT(F140:F145)=6,(AVERAGE(F143:F145)/AVERAGE(F140:F142))^4-1,"")</f>
        <v/>
      </c>
      <c r="H145" s="10" t="n">
        <v>103.4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103.1191</v>
      </c>
      <c r="M145" s="12">
        <f>IF(COUNT(L140:L145)=6,(AVERAGE(L143:L145)/AVERAGE(L140:L142))^4-1,"")</f>
        <v/>
      </c>
      <c r="N145" s="10" t="n">
        <v>103.08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102.86</v>
      </c>
      <c r="S145" s="12">
        <f>IF(COUNT(R140:R145)=6,(AVERAGE(R143:R145)/AVERAGE(R140:R142))^4-1,"")</f>
        <v/>
      </c>
      <c r="T145" s="10" t="n">
        <v>103.89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103.7875</v>
      </c>
      <c r="Y145" s="12">
        <f>IF(COUNT(X140:X145)=6,(AVERAGE(X143:X145)/AVERAGE(X140:X142))^4-1,"")</f>
        <v/>
      </c>
      <c r="Z145" s="10" t="n">
        <v>103.98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103.6704</v>
      </c>
      <c r="AE145" s="12">
        <f>IF(COUNT(AD140:AD145)=6,(AVERAGE(AD143:AD145)/AVERAGE(AD140:AD142))^4-1,"")</f>
        <v/>
      </c>
      <c r="AF145" s="10" t="n">
        <v>101.58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101.7699</v>
      </c>
      <c r="AK145" s="12">
        <f>IF(COUNT(AJ140:AJ145)=6,(AVERAGE(AJ143:AJ145)/AVERAGE(AJ140:AJ142))^4-1,"")</f>
        <v/>
      </c>
      <c r="AL145" s="10" t="n">
        <v>112.47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114.7082</v>
      </c>
      <c r="AQ145" s="12">
        <f>IF(COUNT(AP140:AP145)=6,(AVERAGE(AP143:AP145)/AVERAGE(AP140:AP142))^4-1,"")</f>
        <v/>
      </c>
      <c r="AR145" s="10" t="n">
        <v>109.51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109.6844</v>
      </c>
      <c r="AW145" s="12">
        <f>IF(COUNT(AV140:AV145)=6,(AVERAGE(AV143:AV145)/AVERAGE(AV140:AV142))^4-1,"")</f>
        <v/>
      </c>
    </row>
  </sheetData>
  <mergeCells count="8">
    <mergeCell ref="B3:G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Francia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  <c r="AX3" s="5" t="inlineStr">
        <is>
          <t>CPI nazionale - IPC (INSEE)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  <c r="AX4" s="5" t="inlineStr">
        <is>
          <t>Indice fonte</t>
        </is>
      </c>
      <c r="AY4" s="5" t="inlineStr">
        <is>
          <t>Base gen20=100</t>
        </is>
      </c>
      <c r="AZ4" s="5" t="inlineStr">
        <is>
          <t>m/m</t>
        </is>
      </c>
      <c r="BA4" s="5" t="inlineStr">
        <is>
          <t>a/a</t>
        </is>
      </c>
      <c r="BB4" s="5" t="inlineStr">
        <is>
          <t>Indice SA</t>
        </is>
      </c>
      <c r="BC4" s="5" t="inlineStr">
        <is>
          <t>3m/3m ann.</t>
        </is>
      </c>
    </row>
    <row r="5">
      <c r="A5" s="9" t="n">
        <v>42005</v>
      </c>
      <c r="B5" s="10" t="n">
        <v>79.31999999999999</v>
      </c>
      <c r="C5" s="11">
        <f>IF(ISNUMBER(B5),B5/B$65*100,"")</f>
        <v/>
      </c>
      <c r="D5" s="12" t="n"/>
      <c r="E5" s="12" t="n"/>
      <c r="F5" s="11" t="n">
        <v>79.7422</v>
      </c>
      <c r="G5" s="12" t="n"/>
      <c r="H5" s="10" t="n">
        <v>84.05</v>
      </c>
      <c r="I5" s="11">
        <f>IF(ISNUMBER(H5),H5/H$65*100,"")</f>
        <v/>
      </c>
      <c r="J5" s="12" t="n"/>
      <c r="K5" s="12" t="n"/>
      <c r="L5" s="11" t="n">
        <v>84.80929999999999</v>
      </c>
      <c r="M5" s="12" t="n"/>
      <c r="N5" s="10" t="n">
        <v>81.02</v>
      </c>
      <c r="O5" s="11">
        <f>IF(ISNUMBER(N5),N5/N$65*100,"")</f>
        <v/>
      </c>
      <c r="P5" s="12" t="n"/>
      <c r="Q5" s="12" t="n"/>
      <c r="R5" s="11" t="n">
        <v>81.63079999999999</v>
      </c>
      <c r="S5" s="12" t="n"/>
      <c r="T5" s="10" t="n">
        <v>77.91</v>
      </c>
      <c r="U5" s="11">
        <f>IF(ISNUMBER(T5),T5/T$65*100,"")</f>
        <v/>
      </c>
      <c r="V5" s="12" t="n"/>
      <c r="W5" s="12" t="n"/>
      <c r="X5" s="11" t="n">
        <v>78.3698</v>
      </c>
      <c r="Y5" s="12" t="n"/>
      <c r="Z5" s="10" t="n">
        <v>81.69</v>
      </c>
      <c r="AA5" s="11">
        <f>IF(ISNUMBER(Z5),Z5/Z$65*100,"")</f>
        <v/>
      </c>
      <c r="AB5" s="12" t="n"/>
      <c r="AC5" s="12" t="n"/>
      <c r="AD5" s="11" t="n">
        <v>82.03189999999999</v>
      </c>
      <c r="AE5" s="12" t="n"/>
      <c r="AF5" s="10" t="n">
        <v>71.68000000000001</v>
      </c>
      <c r="AG5" s="11">
        <f>IF(ISNUMBER(AF5),AF5/AF$65*100,"")</f>
        <v/>
      </c>
      <c r="AH5" s="12" t="n"/>
      <c r="AI5" s="12" t="n"/>
      <c r="AJ5" s="11" t="n">
        <v>71.76139999999999</v>
      </c>
      <c r="AK5" s="12" t="n"/>
      <c r="AL5" s="10" t="n">
        <v>65.45</v>
      </c>
      <c r="AM5" s="11">
        <f>IF(ISNUMBER(AL5),AL5/AL$65*100,"")</f>
        <v/>
      </c>
      <c r="AN5" s="12" t="n"/>
      <c r="AO5" s="12" t="n"/>
      <c r="AP5" s="11" t="n">
        <v>65.1026</v>
      </c>
      <c r="AQ5" s="12" t="n"/>
      <c r="AR5" s="10" t="n">
        <v>77.55</v>
      </c>
      <c r="AS5" s="11">
        <f>IF(ISNUMBER(AR5),AR5/AR$65*100,"")</f>
        <v/>
      </c>
      <c r="AT5" s="12" t="n"/>
      <c r="AU5" s="12" t="n"/>
      <c r="AV5" s="11" t="n">
        <v>77.57129999999999</v>
      </c>
      <c r="AW5" s="12" t="n"/>
      <c r="AX5" s="10" t="n">
        <v>81.73999999999999</v>
      </c>
      <c r="AY5" s="11">
        <f>IF(ISNUMBER(AX5),AX5/AX$65*100,"")</f>
        <v/>
      </c>
      <c r="AZ5" s="12" t="n"/>
      <c r="BA5" s="12" t="n"/>
      <c r="BB5" s="11" t="n">
        <v>82.13800000000001</v>
      </c>
      <c r="BC5" s="12" t="n"/>
    </row>
    <row r="6">
      <c r="A6" s="9" t="n">
        <v>42036</v>
      </c>
      <c r="B6" s="10" t="n">
        <v>79.90000000000001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80.24639999999999</v>
      </c>
      <c r="G6" s="12" t="n"/>
      <c r="H6" s="10" t="n">
        <v>84.66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85.2362</v>
      </c>
      <c r="M6" s="12" t="n"/>
      <c r="N6" s="10" t="n">
        <v>81.51000000000001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81.9699</v>
      </c>
      <c r="S6" s="12" t="n"/>
      <c r="T6" s="10" t="n">
        <v>78.63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79.11239999999999</v>
      </c>
      <c r="Y6" s="12" t="n"/>
      <c r="Z6" s="10" t="n">
        <v>82.08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82.2127</v>
      </c>
      <c r="AE6" s="12" t="n"/>
      <c r="AF6" s="10" t="n">
        <v>71.8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71.8248</v>
      </c>
      <c r="AK6" s="12" t="n"/>
      <c r="AL6" s="10" t="n">
        <v>66.77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66.1481</v>
      </c>
      <c r="AQ6" s="12" t="n"/>
      <c r="AR6" s="10" t="n">
        <v>78.52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78.5292</v>
      </c>
      <c r="AW6" s="12" t="n"/>
      <c r="AX6" s="10" t="n">
        <v>82.28</v>
      </c>
      <c r="AY6" s="11">
        <f>IF(ISNUMBER(AX6),AX6/AX$65*100,"")</f>
        <v/>
      </c>
      <c r="AZ6" s="12">
        <f>IF(AND(ISNUMBER(AX6),ISNUMBER(AX5)),AX6/AX5-1,"")</f>
        <v/>
      </c>
      <c r="BA6" s="12" t="n"/>
      <c r="BB6" s="11" t="n">
        <v>82.6007</v>
      </c>
      <c r="BC6" s="12" t="n"/>
    </row>
    <row r="7">
      <c r="A7" s="9" t="n">
        <v>42064</v>
      </c>
      <c r="B7" s="10" t="n">
        <v>80.5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80.283</v>
      </c>
      <c r="G7" s="12" t="n"/>
      <c r="H7" s="10" t="n">
        <v>85.41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85.2568</v>
      </c>
      <c r="M7" s="12" t="n"/>
      <c r="N7" s="10" t="n">
        <v>82.09999999999999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81.9436</v>
      </c>
      <c r="S7" s="12" t="n"/>
      <c r="T7" s="10" t="n">
        <v>79.67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79.25490000000001</v>
      </c>
      <c r="Y7" s="12" t="n"/>
      <c r="Z7" s="10" t="n">
        <v>82.09999999999999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82.21299999999999</v>
      </c>
      <c r="AE7" s="12" t="n"/>
      <c r="AF7" s="10" t="n">
        <v>71.95999999999999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71.81140000000001</v>
      </c>
      <c r="AK7" s="12" t="n"/>
      <c r="AL7" s="10" t="n">
        <v>67.42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66.9173</v>
      </c>
      <c r="AQ7" s="12" t="n"/>
      <c r="AR7" s="10" t="n">
        <v>79.06999999999999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79.18980000000001</v>
      </c>
      <c r="AW7" s="12" t="n"/>
      <c r="AX7" s="10" t="n">
        <v>82.81999999999999</v>
      </c>
      <c r="AY7" s="11">
        <f>IF(ISNUMBER(AX7),AX7/AX$65*100,"")</f>
        <v/>
      </c>
      <c r="AZ7" s="12">
        <f>IF(AND(ISNUMBER(AX7),ISNUMBER(AX6)),AX7/AX6-1,"")</f>
        <v/>
      </c>
      <c r="BA7" s="12" t="n"/>
      <c r="BB7" s="11" t="n">
        <v>82.619</v>
      </c>
      <c r="BC7" s="12" t="n"/>
    </row>
    <row r="8">
      <c r="A8" s="9" t="n">
        <v>42095</v>
      </c>
      <c r="B8" s="10" t="n">
        <v>80.61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80.38200000000001</v>
      </c>
      <c r="G8" s="12" t="n"/>
      <c r="H8" s="10" t="n">
        <v>85.55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85.3019</v>
      </c>
      <c r="M8" s="12" t="n"/>
      <c r="N8" s="10" t="n">
        <v>82.20999999999999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82.0043</v>
      </c>
      <c r="S8" s="12" t="n"/>
      <c r="T8" s="10" t="n">
        <v>79.77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79.3313</v>
      </c>
      <c r="Y8" s="12" t="n"/>
      <c r="Z8" s="10" t="n">
        <v>82.22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82.2171</v>
      </c>
      <c r="AE8" s="12" t="n"/>
      <c r="AF8" s="10" t="n">
        <v>71.97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71.88379999999999</v>
      </c>
      <c r="AK8" s="12" t="n"/>
      <c r="AL8" s="10" t="n">
        <v>67.55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67.0617</v>
      </c>
      <c r="AQ8" s="12" t="n"/>
      <c r="AR8" s="10" t="n">
        <v>79.51000000000001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79.0869</v>
      </c>
      <c r="AW8" s="12" t="n"/>
      <c r="AX8" s="10" t="n">
        <v>82.91</v>
      </c>
      <c r="AY8" s="11">
        <f>IF(ISNUMBER(AX8),AX8/AX$65*100,"")</f>
        <v/>
      </c>
      <c r="AZ8" s="12">
        <f>IF(AND(ISNUMBER(AX8),ISNUMBER(AX7)),AX8/AX7-1,"")</f>
        <v/>
      </c>
      <c r="BA8" s="12" t="n"/>
      <c r="BB8" s="11" t="n">
        <v>82.7075</v>
      </c>
      <c r="BC8" s="12" t="n"/>
    </row>
    <row r="9">
      <c r="A9" s="9" t="n">
        <v>42125</v>
      </c>
      <c r="B9" s="10" t="n">
        <v>80.81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80.52290000000001</v>
      </c>
      <c r="G9" s="12" t="n"/>
      <c r="H9" s="10" t="n">
        <v>85.72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85.4362</v>
      </c>
      <c r="M9" s="12" t="n"/>
      <c r="N9" s="10" t="n">
        <v>82.41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82.0716</v>
      </c>
      <c r="S9" s="12" t="n"/>
      <c r="T9" s="10" t="n">
        <v>80.01000000000001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79.46980000000001</v>
      </c>
      <c r="Y9" s="12" t="n"/>
      <c r="Z9" s="10" t="n">
        <v>82.37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82.3986</v>
      </c>
      <c r="AE9" s="12" t="n"/>
      <c r="AF9" s="10" t="n">
        <v>72.26000000000001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71.84699999999999</v>
      </c>
      <c r="AK9" s="12" t="n"/>
      <c r="AL9" s="10" t="n">
        <v>67.78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67.61539999999999</v>
      </c>
      <c r="AQ9" s="12" t="n"/>
      <c r="AR9" s="10" t="n">
        <v>79.77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79.75579999999999</v>
      </c>
      <c r="AW9" s="12" t="n"/>
      <c r="AX9" s="10" t="n">
        <v>83.11</v>
      </c>
      <c r="AY9" s="11">
        <f>IF(ISNUMBER(AX9),AX9/AX$65*100,"")</f>
        <v/>
      </c>
      <c r="AZ9" s="12">
        <f>IF(AND(ISNUMBER(AX9),ISNUMBER(AX8)),AX9/AX8-1,"")</f>
        <v/>
      </c>
      <c r="BA9" s="12" t="n"/>
      <c r="BB9" s="11" t="n">
        <v>82.84610000000001</v>
      </c>
      <c r="BC9" s="12" t="n"/>
    </row>
    <row r="10">
      <c r="A10" s="9" t="n">
        <v>42156</v>
      </c>
      <c r="B10" s="10" t="n">
        <v>80.76000000000001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80.4922</v>
      </c>
      <c r="G10" s="12">
        <f>IF(COUNT(F5:F10)=6,(AVERAGE(F8:F10)/AVERAGE(F5:F7))^4-1,"")</f>
        <v/>
      </c>
      <c r="H10" s="10" t="n">
        <v>85.73999999999999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85.4246</v>
      </c>
      <c r="M10" s="12">
        <f>IF(COUNT(L5:L10)=6,(AVERAGE(L8:L10)/AVERAGE(L5:L7))^4-1,"")</f>
        <v/>
      </c>
      <c r="N10" s="10" t="n">
        <v>82.38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82.0823</v>
      </c>
      <c r="S10" s="12">
        <f>IF(COUNT(R5:R10)=6,(AVERAGE(R8:R10)/AVERAGE(R5:R7))^4-1,"")</f>
        <v/>
      </c>
      <c r="T10" s="10" t="n">
        <v>79.73999999999999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79.34050000000001</v>
      </c>
      <c r="Y10" s="12">
        <f>IF(COUNT(X5:X10)=6,(AVERAGE(X8:X10)/AVERAGE(X5:X7))^4-1,"")</f>
        <v/>
      </c>
      <c r="Z10" s="10" t="n">
        <v>82.61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82.5111</v>
      </c>
      <c r="AE10" s="12">
        <f>IF(COUNT(AD5:AD10)=6,(AVERAGE(AD8:AD10)/AVERAGE(AD5:AD7))^4-1,"")</f>
        <v/>
      </c>
      <c r="AF10" s="10" t="n">
        <v>72.11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71.8927</v>
      </c>
      <c r="AK10" s="12">
        <f>IF(COUNT(AJ5:AJ10)=6,(AVERAGE(AJ8:AJ10)/AVERAGE(AJ5:AJ7))^4-1,"")</f>
        <v/>
      </c>
      <c r="AL10" s="10" t="n">
        <v>67.45999999999999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67.45910000000001</v>
      </c>
      <c r="AQ10" s="12">
        <f>IF(COUNT(AP5:AP10)=6,(AVERAGE(AP8:AP10)/AVERAGE(AP5:AP7))^4-1,"")</f>
        <v/>
      </c>
      <c r="AR10" s="10" t="n">
        <v>79.81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79.6735</v>
      </c>
      <c r="AW10" s="12">
        <f>IF(COUNT(AV5:AV10)=6,(AVERAGE(AV8:AV10)/AVERAGE(AV5:AV7))^4-1,"")</f>
        <v/>
      </c>
      <c r="AX10" s="10" t="n">
        <v>83.05</v>
      </c>
      <c r="AY10" s="11">
        <f>IF(ISNUMBER(AX10),AX10/AX$65*100,"")</f>
        <v/>
      </c>
      <c r="AZ10" s="12">
        <f>IF(AND(ISNUMBER(AX10),ISNUMBER(AX9)),AX10/AX9-1,"")</f>
        <v/>
      </c>
      <c r="BA10" s="12" t="n"/>
      <c r="BB10" s="11" t="n">
        <v>82.8027</v>
      </c>
      <c r="BC10" s="12">
        <f>IF(COUNT(BB5:BB10)=6,(AVERAGE(BB8:BB10)/AVERAGE(BB5:BB7))^4-1,"")</f>
        <v/>
      </c>
    </row>
    <row r="11">
      <c r="A11" s="9" t="n">
        <v>42186</v>
      </c>
      <c r="B11" s="10" t="n">
        <v>80.36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80.44110000000001</v>
      </c>
      <c r="G11" s="12">
        <f>IF(COUNT(F6:F11)=6,(AVERAGE(F9:F11)/AVERAGE(F6:F8))^4-1,"")</f>
        <v/>
      </c>
      <c r="H11" s="10" t="n">
        <v>85.40000000000001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85.477</v>
      </c>
      <c r="M11" s="12">
        <f>IF(COUNT(L6:L11)=6,(AVERAGE(L9:L11)/AVERAGE(L6:L8))^4-1,"")</f>
        <v/>
      </c>
      <c r="N11" s="10" t="n">
        <v>82.04000000000001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82.102</v>
      </c>
      <c r="S11" s="12">
        <f>IF(COUNT(R6:R11)=6,(AVERAGE(R9:R11)/AVERAGE(R6:R8))^4-1,"")</f>
        <v/>
      </c>
      <c r="T11" s="10" t="n">
        <v>78.22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79.1116</v>
      </c>
      <c r="Y11" s="12">
        <f>IF(COUNT(X6:X11)=6,(AVERAGE(X9:X11)/AVERAGE(X6:X8))^4-1,"")</f>
        <v/>
      </c>
      <c r="Z11" s="10" t="n">
        <v>83.70999999999999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82.726</v>
      </c>
      <c r="AE11" s="12">
        <f>IF(COUNT(AD6:AD11)=6,(AVERAGE(AD9:AD11)/AVERAGE(AD6:AD8))^4-1,"")</f>
        <v/>
      </c>
      <c r="AF11" s="10" t="n">
        <v>71.77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71.7744</v>
      </c>
      <c r="AK11" s="12">
        <f>IF(COUNT(AJ6:AJ11)=6,(AVERAGE(AJ9:AJ11)/AVERAGE(AJ6:AJ8))^4-1,"")</f>
        <v/>
      </c>
      <c r="AL11" s="10" t="n">
        <v>66.67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66.9624</v>
      </c>
      <c r="AQ11" s="12">
        <f>IF(COUNT(AP6:AP11)=6,(AVERAGE(AP9:AP11)/AVERAGE(AP6:AP8))^4-1,"")</f>
        <v/>
      </c>
      <c r="AR11" s="10" t="n">
        <v>80.7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79.8145</v>
      </c>
      <c r="AW11" s="12">
        <f>IF(COUNT(AV6:AV11)=6,(AVERAGE(AV9:AV11)/AVERAGE(AV6:AV8))^4-1,"")</f>
        <v/>
      </c>
      <c r="AX11" s="10" t="n">
        <v>82.7</v>
      </c>
      <c r="AY11" s="11">
        <f>IF(ISNUMBER(AX11),AX11/AX$65*100,"")</f>
        <v/>
      </c>
      <c r="AZ11" s="12">
        <f>IF(AND(ISNUMBER(AX11),ISNUMBER(AX10)),AX11/AX10-1,"")</f>
        <v/>
      </c>
      <c r="BA11" s="12" t="n"/>
      <c r="BB11" s="11" t="n">
        <v>82.7589</v>
      </c>
      <c r="BC11" s="12">
        <f>IF(COUNT(BB6:BB11)=6,(AVERAGE(BB9:BB11)/AVERAGE(BB6:BB8))^4-1,"")</f>
        <v/>
      </c>
    </row>
    <row r="12">
      <c r="A12" s="9" t="n">
        <v>42217</v>
      </c>
      <c r="B12" s="10" t="n">
        <v>80.65000000000001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80.4267</v>
      </c>
      <c r="G12" s="12">
        <f>IF(COUNT(F7:F12)=6,(AVERAGE(F10:F12)/AVERAGE(F7:F9))^4-1,"")</f>
        <v/>
      </c>
      <c r="H12" s="10" t="n">
        <v>86.06999999999999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85.6216</v>
      </c>
      <c r="M12" s="12">
        <f>IF(COUNT(L7:L12)=6,(AVERAGE(L10:L12)/AVERAGE(L7:L9))^4-1,"")</f>
        <v/>
      </c>
      <c r="N12" s="10" t="n">
        <v>82.52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82.20959999999999</v>
      </c>
      <c r="S12" s="12">
        <f>IF(COUNT(R7:R12)=6,(AVERAGE(R10:R12)/AVERAGE(R7:R9))^4-1,"")</f>
        <v/>
      </c>
      <c r="T12" s="10" t="n">
        <v>78.59999999999999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79.0295</v>
      </c>
      <c r="Y12" s="12">
        <f>IF(COUNT(X7:X12)=6,(AVERAGE(X10:X12)/AVERAGE(X7:X9))^4-1,"")</f>
        <v/>
      </c>
      <c r="Z12" s="10" t="n">
        <v>83.89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82.8424</v>
      </c>
      <c r="AE12" s="12">
        <f>IF(COUNT(AD7:AD12)=6,(AVERAGE(AD10:AD12)/AVERAGE(AD7:AD9))^4-1,"")</f>
        <v/>
      </c>
      <c r="AF12" s="10" t="n">
        <v>71.70999999999999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71.9181</v>
      </c>
      <c r="AK12" s="12">
        <f>IF(COUNT(AJ7:AJ12)=6,(AVERAGE(AJ10:AJ12)/AVERAGE(AJ7:AJ9))^4-1,"")</f>
        <v/>
      </c>
      <c r="AL12" s="10" t="n">
        <v>65.45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65.8409</v>
      </c>
      <c r="AQ12" s="12">
        <f>IF(COUNT(AP7:AP12)=6,(AVERAGE(AP10:AP12)/AVERAGE(AP7:AP9))^4-1,"")</f>
        <v/>
      </c>
      <c r="AR12" s="10" t="n">
        <v>79.59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78.8921</v>
      </c>
      <c r="AW12" s="12">
        <f>IF(COUNT(AV7:AV12)=6,(AVERAGE(AV10:AV12)/AVERAGE(AV7:AV9))^4-1,"")</f>
        <v/>
      </c>
      <c r="AX12" s="10" t="n">
        <v>82.97</v>
      </c>
      <c r="AY12" s="11">
        <f>IF(ISNUMBER(AX12),AX12/AX$65*100,"")</f>
        <v/>
      </c>
      <c r="AZ12" s="12">
        <f>IF(AND(ISNUMBER(AX12),ISNUMBER(AX11)),AX12/AX11-1,"")</f>
        <v/>
      </c>
      <c r="BA12" s="12" t="n"/>
      <c r="BB12" s="11" t="n">
        <v>82.73690000000001</v>
      </c>
      <c r="BC12" s="12">
        <f>IF(COUNT(BB7:BB12)=6,(AVERAGE(BB10:BB12)/AVERAGE(BB7:BB9))^4-1,"")</f>
        <v/>
      </c>
    </row>
    <row r="13">
      <c r="A13" s="9" t="n">
        <v>42248</v>
      </c>
      <c r="B13" s="10" t="n">
        <v>80.36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80.4323</v>
      </c>
      <c r="G13" s="12">
        <f>IF(COUNT(F8:F13)=6,(AVERAGE(F11:F13)/AVERAGE(F8:F10))^4-1,"")</f>
        <v/>
      </c>
      <c r="H13" s="10" t="n">
        <v>85.61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85.55500000000001</v>
      </c>
      <c r="M13" s="12">
        <f>IF(COUNT(L8:L13)=6,(AVERAGE(L11:L13)/AVERAGE(L8:L10))^4-1,"")</f>
        <v/>
      </c>
      <c r="N13" s="10" t="n">
        <v>82.27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82.2895</v>
      </c>
      <c r="S13" s="12">
        <f>IF(COUNT(R8:R13)=6,(AVERAGE(R11:R13)/AVERAGE(R8:R10))^4-1,"")</f>
        <v/>
      </c>
      <c r="T13" s="10" t="n">
        <v>79.18000000000001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79.10339999999999</v>
      </c>
      <c r="Y13" s="12">
        <f>IF(COUNT(X8:X13)=6,(AVERAGE(X11:X13)/AVERAGE(X8:X10))^4-1,"")</f>
        <v/>
      </c>
      <c r="Z13" s="10" t="n">
        <v>82.41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82.6755</v>
      </c>
      <c r="AE13" s="12">
        <f>IF(COUNT(AD8:AD13)=6,(AVERAGE(AD11:AD13)/AVERAGE(AD8:AD10))^4-1,"")</f>
        <v/>
      </c>
      <c r="AF13" s="10" t="n">
        <v>72.03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72.2247</v>
      </c>
      <c r="AK13" s="12">
        <f>IF(COUNT(AJ8:AJ13)=6,(AVERAGE(AJ11:AJ13)/AVERAGE(AJ8:AJ10))^4-1,"")</f>
        <v/>
      </c>
      <c r="AL13" s="10" t="n">
        <v>64.79000000000001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65.11020000000001</v>
      </c>
      <c r="AQ13" s="12">
        <f>IF(COUNT(AP8:AP13)=6,(AVERAGE(AP11:AP13)/AVERAGE(AP8:AP10))^4-1,"")</f>
        <v/>
      </c>
      <c r="AR13" s="10" t="n">
        <v>77.81999999999999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78.2347</v>
      </c>
      <c r="AW13" s="12">
        <f>IF(COUNT(AV8:AV13)=6,(AVERAGE(AV11:AV13)/AVERAGE(AV8:AV10))^4-1,"")</f>
        <v/>
      </c>
      <c r="AX13" s="10" t="n">
        <v>82.64</v>
      </c>
      <c r="AY13" s="11">
        <f>IF(ISNUMBER(AX13),AX13/AX$65*100,"")</f>
        <v/>
      </c>
      <c r="AZ13" s="12">
        <f>IF(AND(ISNUMBER(AX13),ISNUMBER(AX12)),AX13/AX12-1,"")</f>
        <v/>
      </c>
      <c r="BA13" s="12" t="n"/>
      <c r="BB13" s="11" t="n">
        <v>82.70659999999999</v>
      </c>
      <c r="BC13" s="12">
        <f>IF(COUNT(BB8:BB13)=6,(AVERAGE(BB11:BB13)/AVERAGE(BB8:BB10))^4-1,"")</f>
        <v/>
      </c>
    </row>
    <row r="14">
      <c r="A14" s="9" t="n">
        <v>42278</v>
      </c>
      <c r="B14" s="10" t="n">
        <v>80.42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80.494</v>
      </c>
      <c r="G14" s="12">
        <f>IF(COUNT(F9:F14)=6,(AVERAGE(F12:F14)/AVERAGE(F9:F11))^4-1,"")</f>
        <v/>
      </c>
      <c r="H14" s="10" t="n">
        <v>85.61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85.65170000000001</v>
      </c>
      <c r="M14" s="12">
        <f>IF(COUNT(L9:L14)=6,(AVERAGE(L12:L14)/AVERAGE(L9:L11))^4-1,"")</f>
        <v/>
      </c>
      <c r="N14" s="10" t="n">
        <v>82.34999999999999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82.4169</v>
      </c>
      <c r="S14" s="12">
        <f>IF(COUNT(R9:R14)=6,(AVERAGE(R12:R14)/AVERAGE(R9:R11))^4-1,"")</f>
        <v/>
      </c>
      <c r="T14" s="10" t="n">
        <v>79.33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79.1602</v>
      </c>
      <c r="Y14" s="12">
        <f>IF(COUNT(X9:X14)=6,(AVERAGE(X12:X14)/AVERAGE(X9:X11))^4-1,"")</f>
        <v/>
      </c>
      <c r="Z14" s="10" t="n">
        <v>82.38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82.7908</v>
      </c>
      <c r="AE14" s="12">
        <f>IF(COUNT(AD9:AD14)=6,(AVERAGE(AD12:AD14)/AVERAGE(AD9:AD11))^4-1,"")</f>
        <v/>
      </c>
      <c r="AF14" s="10" t="n">
        <v>72.34999999999999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72.5127</v>
      </c>
      <c r="AK14" s="12">
        <f>IF(COUNT(AJ9:AJ14)=6,(AVERAGE(AJ12:AJ14)/AVERAGE(AJ9:AJ11))^4-1,"")</f>
        <v/>
      </c>
      <c r="AL14" s="10" t="n">
        <v>64.8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64.9303</v>
      </c>
      <c r="AQ14" s="12">
        <f>IF(COUNT(AP9:AP14)=6,(AVERAGE(AP12:AP14)/AVERAGE(AP9:AP11))^4-1,"")</f>
        <v/>
      </c>
      <c r="AR14" s="10" t="n">
        <v>78.09999999999999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78.3925</v>
      </c>
      <c r="AW14" s="12">
        <f>IF(COUNT(AV9:AV14)=6,(AVERAGE(AV12:AV14)/AVERAGE(AV9:AV11))^4-1,"")</f>
        <v/>
      </c>
      <c r="AX14" s="10" t="n">
        <v>82.68000000000001</v>
      </c>
      <c r="AY14" s="11">
        <f>IF(ISNUMBER(AX14),AX14/AX$65*100,"")</f>
        <v/>
      </c>
      <c r="AZ14" s="12">
        <f>IF(AND(ISNUMBER(AX14),ISNUMBER(AX13)),AX14/AX13-1,"")</f>
        <v/>
      </c>
      <c r="BA14" s="12" t="n"/>
      <c r="BB14" s="11" t="n">
        <v>82.7589</v>
      </c>
      <c r="BC14" s="12">
        <f>IF(COUNT(BB9:BB14)=6,(AVERAGE(BB12:BB14)/AVERAGE(BB9:BB11))^4-1,"")</f>
        <v/>
      </c>
    </row>
    <row r="15">
      <c r="A15" s="9" t="n">
        <v>42309</v>
      </c>
      <c r="B15" s="10" t="n">
        <v>80.26000000000001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80.4477</v>
      </c>
      <c r="G15" s="12">
        <f>IF(COUNT(F10:F15)=6,(AVERAGE(F13:F15)/AVERAGE(F10:F12))^4-1,"")</f>
        <v/>
      </c>
      <c r="H15" s="10" t="n">
        <v>85.45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85.6514</v>
      </c>
      <c r="M15" s="12">
        <f>IF(COUNT(L10:L15)=6,(AVERAGE(L13:L15)/AVERAGE(L10:L12))^4-1,"")</f>
        <v/>
      </c>
      <c r="N15" s="10" t="n">
        <v>82.2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82.38039999999999</v>
      </c>
      <c r="S15" s="12">
        <f>IF(COUNT(R10:R15)=6,(AVERAGE(R13:R15)/AVERAGE(R10:R12))^4-1,"")</f>
        <v/>
      </c>
      <c r="T15" s="10" t="n">
        <v>79.19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79.0185</v>
      </c>
      <c r="Y15" s="12">
        <f>IF(COUNT(X10:X15)=6,(AVERAGE(X13:X15)/AVERAGE(X10:X12))^4-1,"")</f>
        <v/>
      </c>
      <c r="Z15" s="10" t="n">
        <v>82.16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82.8182</v>
      </c>
      <c r="AE15" s="12">
        <f>IF(COUNT(AD10:AD15)=6,(AVERAGE(AD13:AD15)/AVERAGE(AD10:AD12))^4-1,"")</f>
        <v/>
      </c>
      <c r="AF15" s="10" t="n">
        <v>72.20999999999999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72.328</v>
      </c>
      <c r="AK15" s="12">
        <f>IF(COUNT(AJ10:AJ15)=6,(AVERAGE(AJ13:AJ15)/AVERAGE(AJ10:AJ12))^4-1,"")</f>
        <v/>
      </c>
      <c r="AL15" s="10" t="n">
        <v>64.5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64.6605</v>
      </c>
      <c r="AQ15" s="12">
        <f>IF(COUNT(AP10:AP15)=6,(AVERAGE(AP13:AP15)/AVERAGE(AP10:AP12))^4-1,"")</f>
        <v/>
      </c>
      <c r="AR15" s="10" t="n">
        <v>77.48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78.316</v>
      </c>
      <c r="AW15" s="12">
        <f>IF(COUNT(AV10:AV15)=6,(AVERAGE(AV13:AV15)/AVERAGE(AV10:AV12))^4-1,"")</f>
        <v/>
      </c>
      <c r="AX15" s="10" t="n">
        <v>82.53</v>
      </c>
      <c r="AY15" s="11">
        <f>IF(ISNUMBER(AX15),AX15/AX$65*100,"")</f>
        <v/>
      </c>
      <c r="AZ15" s="12">
        <f>IF(AND(ISNUMBER(AX15),ISNUMBER(AX14)),AX15/AX14-1,"")</f>
        <v/>
      </c>
      <c r="BA15" s="12" t="n"/>
      <c r="BB15" s="11" t="n">
        <v>82.7079</v>
      </c>
      <c r="BC15" s="12">
        <f>IF(COUNT(BB10:BB15)=6,(AVERAGE(BB13:BB15)/AVERAGE(BB10:BB12))^4-1,"")</f>
        <v/>
      </c>
    </row>
    <row r="16">
      <c r="A16" s="9" t="n">
        <v>42339</v>
      </c>
      <c r="B16" s="10" t="n">
        <v>80.44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80.48650000000001</v>
      </c>
      <c r="G16" s="12">
        <f>IF(COUNT(F11:F16)=6,(AVERAGE(F14:F16)/AVERAGE(F11:F13))^4-1,"")</f>
        <v/>
      </c>
      <c r="H16" s="10" t="n">
        <v>85.93000000000001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85.8142</v>
      </c>
      <c r="M16" s="12">
        <f>IF(COUNT(L11:L16)=6,(AVERAGE(L14:L16)/AVERAGE(L11:L13))^4-1,"")</f>
        <v/>
      </c>
      <c r="N16" s="10" t="n">
        <v>82.5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82.45740000000001</v>
      </c>
      <c r="S16" s="12">
        <f>IF(COUNT(R11:R16)=6,(AVERAGE(R14:R16)/AVERAGE(R11:R13))^4-1,"")</f>
        <v/>
      </c>
      <c r="T16" s="10" t="n">
        <v>79.09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78.9624</v>
      </c>
      <c r="Y16" s="12">
        <f>IF(COUNT(X11:X16)=6,(AVERAGE(X14:X16)/AVERAGE(X11:X13))^4-1,"")</f>
        <v/>
      </c>
      <c r="Z16" s="10" t="n">
        <v>82.73999999999999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82.9813</v>
      </c>
      <c r="AE16" s="12">
        <f>IF(COUNT(AD11:AD16)=6,(AVERAGE(AD14:AD16)/AVERAGE(AD11:AD13))^4-1,"")</f>
        <v/>
      </c>
      <c r="AF16" s="10" t="n">
        <v>72.01000000000001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72.1454</v>
      </c>
      <c r="AK16" s="12">
        <f>IF(COUNT(AJ11:AJ16)=6,(AVERAGE(AJ14:AJ16)/AVERAGE(AJ11:AJ13))^4-1,"")</f>
        <v/>
      </c>
      <c r="AL16" s="10" t="n">
        <v>63.74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64.2946</v>
      </c>
      <c r="AQ16" s="12">
        <f>IF(COUNT(AP11:AP16)=6,(AVERAGE(AP14:AP16)/AVERAGE(AP11:AP13))^4-1,"")</f>
        <v/>
      </c>
      <c r="AR16" s="10" t="n">
        <v>77.81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78.22620000000001</v>
      </c>
      <c r="AW16" s="12">
        <f>IF(COUNT(AV11:AV16)=6,(AVERAGE(AV14:AV16)/AVERAGE(AV11:AV13))^4-1,"")</f>
        <v/>
      </c>
      <c r="AX16" s="10" t="n">
        <v>82.70999999999999</v>
      </c>
      <c r="AY16" s="11">
        <f>IF(ISNUMBER(AX16),AX16/AX$65*100,"")</f>
        <v/>
      </c>
      <c r="AZ16" s="12">
        <f>IF(AND(ISNUMBER(AX16),ISNUMBER(AX15)),AX16/AX15-1,"")</f>
        <v/>
      </c>
      <c r="BA16" s="12" t="n"/>
      <c r="BB16" s="11" t="n">
        <v>82.7564</v>
      </c>
      <c r="BC16" s="12">
        <f>IF(COUNT(BB11:BB16)=6,(AVERAGE(BB14:BB16)/AVERAGE(BB11:BB13))^4-1,"")</f>
        <v/>
      </c>
    </row>
    <row r="17">
      <c r="A17" s="9" t="n">
        <v>42370</v>
      </c>
      <c r="B17" s="10" t="n">
        <v>79.58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79.9868</v>
      </c>
      <c r="G17" s="12">
        <f>IF(COUNT(F12:F17)=6,(AVERAGE(F15:F17)/AVERAGE(F12:F14))^4-1,"")</f>
        <v/>
      </c>
      <c r="H17" s="10" t="n">
        <v>84.78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85.5427</v>
      </c>
      <c r="M17" s="12">
        <f>IF(COUNT(L12:L17)=6,(AVERAGE(L15:L17)/AVERAGE(L12:L14))^4-1,"")</f>
        <v/>
      </c>
      <c r="N17" s="10" t="n">
        <v>81.62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82.2366</v>
      </c>
      <c r="S17" s="12">
        <f>IF(COUNT(R12:R17)=6,(AVERAGE(R15:R17)/AVERAGE(R12:R14))^4-1,"")</f>
        <v/>
      </c>
      <c r="T17" s="10" t="n">
        <v>77.69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78.1194</v>
      </c>
      <c r="Y17" s="12">
        <f>IF(COUNT(X12:X17)=6,(AVERAGE(X15:X17)/AVERAGE(X12:X14))^4-1,"")</f>
        <v/>
      </c>
      <c r="Z17" s="10" t="n">
        <v>82.56999999999999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82.9235</v>
      </c>
      <c r="AE17" s="12">
        <f>IF(COUNT(AD12:AD17)=6,(AVERAGE(AD15:AD17)/AVERAGE(AD12:AD14))^4-1,"")</f>
        <v/>
      </c>
      <c r="AF17" s="10" t="n">
        <v>71.95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72.02509999999999</v>
      </c>
      <c r="AK17" s="12">
        <f>IF(COUNT(AJ12:AJ17)=6,(AVERAGE(AJ15:AJ17)/AVERAGE(AJ12:AJ14))^4-1,"")</f>
        <v/>
      </c>
      <c r="AL17" s="10" t="n">
        <v>63.01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62.6712</v>
      </c>
      <c r="AQ17" s="12">
        <f>IF(COUNT(AP12:AP17)=6,(AVERAGE(AP15:AP17)/AVERAGE(AP12:AP14))^4-1,"")</f>
        <v/>
      </c>
      <c r="AR17" s="10" t="n">
        <v>76.93000000000001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76.93470000000001</v>
      </c>
      <c r="AW17" s="12">
        <f>IF(COUNT(AV12:AV17)=6,(AVERAGE(AV15:AV17)/AVERAGE(AV12:AV14))^4-1,"")</f>
        <v/>
      </c>
      <c r="AX17" s="10" t="n">
        <v>81.92</v>
      </c>
      <c r="AY17" s="11">
        <f>IF(ISNUMBER(AX17),AX17/AX$65*100,"")</f>
        <v/>
      </c>
      <c r="AZ17" s="12">
        <f>IF(AND(ISNUMBER(AX17),ISNUMBER(AX16)),AX17/AX16-1,"")</f>
        <v/>
      </c>
      <c r="BA17" s="12">
        <f>IF(AND(ISNUMBER(AX17),ISNUMBER(AX5)),AX17/AX5-1,"")</f>
        <v/>
      </c>
      <c r="BB17" s="11" t="n">
        <v>82.3066</v>
      </c>
      <c r="BC17" s="12">
        <f>IF(COUNT(BB12:BB17)=6,(AVERAGE(BB15:BB17)/AVERAGE(BB12:BB14))^4-1,"")</f>
        <v/>
      </c>
    </row>
    <row r="18">
      <c r="A18" s="9" t="n">
        <v>42401</v>
      </c>
      <c r="B18" s="10" t="n">
        <v>79.81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80.19280000000001</v>
      </c>
      <c r="G18" s="12">
        <f>IF(COUNT(F13:F18)=6,(AVERAGE(F16:F18)/AVERAGE(F13:F15))^4-1,"")</f>
        <v/>
      </c>
      <c r="H18" s="10" t="n">
        <v>85.23999999999999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85.8369</v>
      </c>
      <c r="M18" s="12">
        <f>IF(COUNT(L13:L18)=6,(AVERAGE(L16:L18)/AVERAGE(L13:L15))^4-1,"")</f>
        <v/>
      </c>
      <c r="N18" s="10" t="n">
        <v>81.97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82.44499999999999</v>
      </c>
      <c r="S18" s="12">
        <f>IF(COUNT(R13:R18)=6,(AVERAGE(R16:R18)/AVERAGE(R13:R15))^4-1,"")</f>
        <v/>
      </c>
      <c r="T18" s="10" t="n">
        <v>77.98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78.49299999999999</v>
      </c>
      <c r="Y18" s="12">
        <f>IF(COUNT(X13:X18)=6,(AVERAGE(X16:X18)/AVERAGE(X13:X15))^4-1,"")</f>
        <v/>
      </c>
      <c r="Z18" s="10" t="n">
        <v>82.73999999999999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82.9128</v>
      </c>
      <c r="AE18" s="12">
        <f>IF(COUNT(AD13:AD18)=6,(AVERAGE(AD16:AD18)/AVERAGE(AD13:AD15))^4-1,"")</f>
        <v/>
      </c>
      <c r="AF18" s="10" t="n">
        <v>71.93000000000001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71.9629</v>
      </c>
      <c r="AK18" s="12">
        <f>IF(COUNT(AJ13:AJ18)=6,(AVERAGE(AJ16:AJ18)/AVERAGE(AJ13:AJ15))^4-1,"")</f>
        <v/>
      </c>
      <c r="AL18" s="10" t="n">
        <v>62.4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61.8417</v>
      </c>
      <c r="AQ18" s="12">
        <f>IF(COUNT(AP13:AP18)=6,(AVERAGE(AP16:AP18)/AVERAGE(AP13:AP15))^4-1,"")</f>
        <v/>
      </c>
      <c r="AR18" s="10" t="n">
        <v>76.77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76.7921</v>
      </c>
      <c r="AW18" s="12">
        <f>IF(COUNT(AV13:AV18)=6,(AVERAGE(AV16:AV18)/AVERAGE(AV13:AV15))^4-1,"")</f>
        <v/>
      </c>
      <c r="AX18" s="10" t="n">
        <v>82.13</v>
      </c>
      <c r="AY18" s="11">
        <f>IF(ISNUMBER(AX18),AX18/AX$65*100,"")</f>
        <v/>
      </c>
      <c r="AZ18" s="12">
        <f>IF(AND(ISNUMBER(AX18),ISNUMBER(AX17)),AX18/AX17-1,"")</f>
        <v/>
      </c>
      <c r="BA18" s="12">
        <f>IF(AND(ISNUMBER(AX18),ISNUMBER(AX6)),AX18/AX6-1,"")</f>
        <v/>
      </c>
      <c r="BB18" s="11" t="n">
        <v>82.48350000000001</v>
      </c>
      <c r="BC18" s="12">
        <f>IF(COUNT(BB13:BB18)=6,(AVERAGE(BB16:BB18)/AVERAGE(BB13:BB15))^4-1,"")</f>
        <v/>
      </c>
    </row>
    <row r="19">
      <c r="A19" s="9" t="n">
        <v>42430</v>
      </c>
      <c r="B19" s="10" t="n">
        <v>80.43000000000001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80.25360000000001</v>
      </c>
      <c r="G19" s="12">
        <f>IF(COUNT(F14:F19)=6,(AVERAGE(F17:F19)/AVERAGE(F14:F16))^4-1,"")</f>
        <v/>
      </c>
      <c r="H19" s="10" t="n">
        <v>85.98999999999999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85.8703</v>
      </c>
      <c r="M19" s="12">
        <f>IF(COUNT(L14:L19)=6,(AVERAGE(L17:L19)/AVERAGE(L14:L16))^4-1,"")</f>
        <v/>
      </c>
      <c r="N19" s="10" t="n">
        <v>82.59999999999999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82.47410000000001</v>
      </c>
      <c r="S19" s="12">
        <f>IF(COUNT(R14:R19)=6,(AVERAGE(R17:R19)/AVERAGE(R14:R16))^4-1,"")</f>
        <v/>
      </c>
      <c r="T19" s="10" t="n">
        <v>78.98999999999999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78.617</v>
      </c>
      <c r="Y19" s="12">
        <f>IF(COUNT(X14:X19)=6,(AVERAGE(X17:X19)/AVERAGE(X14:X16))^4-1,"")</f>
        <v/>
      </c>
      <c r="Z19" s="10" t="n">
        <v>82.84999999999999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83.0187</v>
      </c>
      <c r="AE19" s="12">
        <f>IF(COUNT(AD14:AD19)=6,(AVERAGE(AD17:AD19)/AVERAGE(AD14:AD16))^4-1,"")</f>
        <v/>
      </c>
      <c r="AF19" s="10" t="n">
        <v>72.23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72.07980000000001</v>
      </c>
      <c r="AK19" s="12">
        <f>IF(COUNT(AJ14:AJ19)=6,(AVERAGE(AJ17:AJ19)/AVERAGE(AJ14:AJ16))^4-1,"")</f>
        <v/>
      </c>
      <c r="AL19" s="10" t="n">
        <v>62.92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62.6259</v>
      </c>
      <c r="AQ19" s="12">
        <f>IF(COUNT(AP14:AP19)=6,(AVERAGE(AP17:AP19)/AVERAGE(AP14:AP16))^4-1,"")</f>
        <v/>
      </c>
      <c r="AR19" s="10" t="n">
        <v>77.06999999999999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77.321</v>
      </c>
      <c r="AW19" s="12">
        <f>IF(COUNT(AV14:AV19)=6,(AVERAGE(AV17:AV19)/AVERAGE(AV14:AV16))^4-1,"")</f>
        <v/>
      </c>
      <c r="AX19" s="10" t="n">
        <v>82.7</v>
      </c>
      <c r="AY19" s="11">
        <f>IF(ISNUMBER(AX19),AX19/AX$65*100,"")</f>
        <v/>
      </c>
      <c r="AZ19" s="12">
        <f>IF(AND(ISNUMBER(AX19),ISNUMBER(AX18)),AX19/AX18-1,"")</f>
        <v/>
      </c>
      <c r="BA19" s="12">
        <f>IF(AND(ISNUMBER(AX19),ISNUMBER(AX7)),AX19/AX7-1,"")</f>
        <v/>
      </c>
      <c r="BB19" s="11" t="n">
        <v>82.5389</v>
      </c>
      <c r="BC19" s="12">
        <f>IF(COUNT(BB14:BB19)=6,(AVERAGE(BB17:BB19)/AVERAGE(BB14:BB16))^4-1,"")</f>
        <v/>
      </c>
    </row>
    <row r="20">
      <c r="A20" s="9" t="n">
        <v>42461</v>
      </c>
      <c r="B20" s="10" t="n">
        <v>80.51000000000001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80.3139</v>
      </c>
      <c r="G20" s="12">
        <f>IF(COUNT(F15:F20)=6,(AVERAGE(F18:F20)/AVERAGE(F15:F17))^4-1,"")</f>
        <v/>
      </c>
      <c r="H20" s="10" t="n">
        <v>86.08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85.83</v>
      </c>
      <c r="M20" s="12">
        <f>IF(COUNT(L15:L20)=6,(AVERAGE(L18:L20)/AVERAGE(L15:L17))^4-1,"")</f>
        <v/>
      </c>
      <c r="N20" s="10" t="n">
        <v>82.67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82.47</v>
      </c>
      <c r="S20" s="12">
        <f>IF(COUNT(R15:R20)=6,(AVERAGE(R18:R20)/AVERAGE(R15:R17))^4-1,"")</f>
        <v/>
      </c>
      <c r="T20" s="10" t="n">
        <v>78.95999999999999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78.5757</v>
      </c>
      <c r="Y20" s="12">
        <f>IF(COUNT(X15:X20)=6,(AVERAGE(X18:X20)/AVERAGE(X15:X17))^4-1,"")</f>
        <v/>
      </c>
      <c r="Z20" s="10" t="n">
        <v>83.08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83.0823</v>
      </c>
      <c r="AE20" s="12">
        <f>IF(COUNT(AD15:AD20)=6,(AVERAGE(AD18:AD20)/AVERAGE(AD15:AD17))^4-1,"")</f>
        <v/>
      </c>
      <c r="AF20" s="10" t="n">
        <v>72.23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72.1605</v>
      </c>
      <c r="AK20" s="12">
        <f>IF(COUNT(AJ15:AJ20)=6,(AVERAGE(AJ18:AJ20)/AVERAGE(AJ15:AJ17))^4-1,"")</f>
        <v/>
      </c>
      <c r="AL20" s="10" t="n">
        <v>63.09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62.7946</v>
      </c>
      <c r="AQ20" s="12">
        <f>IF(COUNT(AP15:AP20)=6,(AVERAGE(AP18:AP20)/AVERAGE(AP15:AP17))^4-1,"")</f>
        <v/>
      </c>
      <c r="AR20" s="10" t="n">
        <v>77.31999999999999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76.9388</v>
      </c>
      <c r="AW20" s="12">
        <f>IF(COUNT(AV15:AV20)=6,(AVERAGE(AV18:AV20)/AVERAGE(AV15:AV17))^4-1,"")</f>
        <v/>
      </c>
      <c r="AX20" s="10" t="n">
        <v>82.75</v>
      </c>
      <c r="AY20" s="11">
        <f>IF(ISNUMBER(AX20),AX20/AX$65*100,"")</f>
        <v/>
      </c>
      <c r="AZ20" s="12">
        <f>IF(AND(ISNUMBER(AX20),ISNUMBER(AX19)),AX20/AX19-1,"")</f>
        <v/>
      </c>
      <c r="BA20" s="12">
        <f>IF(AND(ISNUMBER(AX20),ISNUMBER(AX8)),AX20/AX8-1,"")</f>
        <v/>
      </c>
      <c r="BB20" s="11" t="n">
        <v>82.5778</v>
      </c>
      <c r="BC20" s="12">
        <f>IF(COUNT(BB15:BB20)=6,(AVERAGE(BB18:BB20)/AVERAGE(BB15:BB17))^4-1,"")</f>
        <v/>
      </c>
    </row>
    <row r="21">
      <c r="A21" s="9" t="n">
        <v>42491</v>
      </c>
      <c r="B21" s="10" t="n">
        <v>80.89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80.6096</v>
      </c>
      <c r="G21" s="12">
        <f>IF(COUNT(F16:F21)=6,(AVERAGE(F19:F21)/AVERAGE(F16:F18))^4-1,"")</f>
        <v/>
      </c>
      <c r="H21" s="10" t="n">
        <v>86.2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85.9332</v>
      </c>
      <c r="M21" s="12">
        <f>IF(COUNT(L16:L21)=6,(AVERAGE(L19:L21)/AVERAGE(L16:L18))^4-1,"")</f>
        <v/>
      </c>
      <c r="N21" s="10" t="n">
        <v>82.93000000000001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82.5804</v>
      </c>
      <c r="S21" s="12">
        <f>IF(COUNT(R16:R21)=6,(AVERAGE(R19:R21)/AVERAGE(R16:R18))^4-1,"")</f>
        <v/>
      </c>
      <c r="T21" s="10" t="n">
        <v>79.55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79.0116</v>
      </c>
      <c r="Y21" s="12">
        <f>IF(COUNT(X16:X21)=6,(AVERAGE(X19:X21)/AVERAGE(X16:X18))^4-1,"")</f>
        <v/>
      </c>
      <c r="Z21" s="10" t="n">
        <v>83.17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83.2008</v>
      </c>
      <c r="AE21" s="12">
        <f>IF(COUNT(AD16:AD21)=6,(AVERAGE(AD19:AD21)/AVERAGE(AD16:AD18))^4-1,"")</f>
        <v/>
      </c>
      <c r="AF21" s="10" t="n">
        <v>72.89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72.48350000000001</v>
      </c>
      <c r="AK21" s="12">
        <f>IF(COUNT(AJ16:AJ21)=6,(AVERAGE(AJ19:AJ21)/AVERAGE(AJ16:AJ18))^4-1,"")</f>
        <v/>
      </c>
      <c r="AL21" s="10" t="n">
        <v>64.40000000000001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64.1778</v>
      </c>
      <c r="AQ21" s="12">
        <f>IF(COUNT(AP16:AP21)=6,(AVERAGE(AP19:AP21)/AVERAGE(AP16:AP18))^4-1,"")</f>
        <v/>
      </c>
      <c r="AR21" s="10" t="n">
        <v>77.76000000000001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77.72410000000001</v>
      </c>
      <c r="AW21" s="12">
        <f>IF(COUNT(AV16:AV21)=6,(AVERAGE(AV19:AV21)/AVERAGE(AV16:AV18))^4-1,"")</f>
        <v/>
      </c>
      <c r="AX21" s="10" t="n">
        <v>83.09</v>
      </c>
      <c r="AY21" s="11">
        <f>IF(ISNUMBER(AX21),AX21/AX$65*100,"")</f>
        <v/>
      </c>
      <c r="AZ21" s="12">
        <f>IF(AND(ISNUMBER(AX21),ISNUMBER(AX20)),AX21/AX20-1,"")</f>
        <v/>
      </c>
      <c r="BA21" s="12">
        <f>IF(AND(ISNUMBER(AX21),ISNUMBER(AX9)),AX21/AX9-1,"")</f>
        <v/>
      </c>
      <c r="BB21" s="11" t="n">
        <v>82.8319</v>
      </c>
      <c r="BC21" s="12">
        <f>IF(COUNT(BB16:BB21)=6,(AVERAGE(BB19:BB21)/AVERAGE(BB16:BB18))^4-1,"")</f>
        <v/>
      </c>
    </row>
    <row r="22">
      <c r="A22" s="9" t="n">
        <v>42522</v>
      </c>
      <c r="B22" s="10" t="n">
        <v>81.01000000000001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80.73569999999999</v>
      </c>
      <c r="G22" s="12">
        <f>IF(COUNT(F17:F22)=6,(AVERAGE(F20:F22)/AVERAGE(F17:F19))^4-1,"")</f>
        <v/>
      </c>
      <c r="H22" s="10" t="n">
        <v>86.29000000000001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85.953</v>
      </c>
      <c r="M22" s="12">
        <f>IF(COUNT(L17:L22)=6,(AVERAGE(L20:L22)/AVERAGE(L17:L19))^4-1,"")</f>
        <v/>
      </c>
      <c r="N22" s="10" t="n">
        <v>82.89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82.5945</v>
      </c>
      <c r="S22" s="12">
        <f>IF(COUNT(R17:R22)=6,(AVERAGE(R20:R22)/AVERAGE(R17:R19))^4-1,"")</f>
        <v/>
      </c>
      <c r="T22" s="10" t="n">
        <v>79.55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79.14490000000001</v>
      </c>
      <c r="Y22" s="12">
        <f>IF(COUNT(X17:X22)=6,(AVERAGE(X20:X22)/AVERAGE(X17:X19))^4-1,"")</f>
        <v/>
      </c>
      <c r="Z22" s="10" t="n">
        <v>83.45999999999999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83.3569</v>
      </c>
      <c r="AE22" s="12">
        <f>IF(COUNT(AD17:AD22)=6,(AVERAGE(AD20:AD22)/AVERAGE(AD17:AD19))^4-1,"")</f>
        <v/>
      </c>
      <c r="AF22" s="10" t="n">
        <v>72.48999999999999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72.3197</v>
      </c>
      <c r="AK22" s="12">
        <f>IF(COUNT(AJ17:AJ22)=6,(AVERAGE(AJ20:AJ22)/AVERAGE(AJ17:AJ19))^4-1,"")</f>
        <v/>
      </c>
      <c r="AL22" s="10" t="n">
        <v>65.73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65.65770000000001</v>
      </c>
      <c r="AQ22" s="12">
        <f>IF(COUNT(AP17:AP22)=6,(AVERAGE(AP20:AP22)/AVERAGE(AP17:AP19))^4-1,"")</f>
        <v/>
      </c>
      <c r="AR22" s="10" t="n">
        <v>78.8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78.6508</v>
      </c>
      <c r="AW22" s="12">
        <f>IF(COUNT(AV17:AV22)=6,(AVERAGE(AV20:AV22)/AVERAGE(AV17:AV19))^4-1,"")</f>
        <v/>
      </c>
      <c r="AX22" s="10" t="n">
        <v>83.2</v>
      </c>
      <c r="AY22" s="11">
        <f>IF(ISNUMBER(AX22),AX22/AX$65*100,"")</f>
        <v/>
      </c>
      <c r="AZ22" s="12">
        <f>IF(AND(ISNUMBER(AX22),ISNUMBER(AX21)),AX22/AX21-1,"")</f>
        <v/>
      </c>
      <c r="BA22" s="12">
        <f>IF(AND(ISNUMBER(AX22),ISNUMBER(AX10)),AX22/AX10-1,"")</f>
        <v/>
      </c>
      <c r="BB22" s="11" t="n">
        <v>82.9474</v>
      </c>
      <c r="BC22" s="12">
        <f>IF(COUNT(BB17:BB22)=6,(AVERAGE(BB20:BB22)/AVERAGE(BB17:BB19))^4-1,"")</f>
        <v/>
      </c>
    </row>
    <row r="23">
      <c r="A23" s="9" t="n">
        <v>42552</v>
      </c>
      <c r="B23" s="10" t="n">
        <v>80.68000000000001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80.70189999999999</v>
      </c>
      <c r="G23" s="12">
        <f>IF(COUNT(F18:F23)=6,(AVERAGE(F21:F23)/AVERAGE(F18:F20))^4-1,"")</f>
        <v/>
      </c>
      <c r="H23" s="10" t="n">
        <v>85.91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85.9615</v>
      </c>
      <c r="M23" s="12">
        <f>IF(COUNT(L18:L23)=6,(AVERAGE(L21:L23)/AVERAGE(L18:L20))^4-1,"")</f>
        <v/>
      </c>
      <c r="N23" s="10" t="n">
        <v>82.63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82.66459999999999</v>
      </c>
      <c r="S23" s="12">
        <f>IF(COUNT(R18:R23)=6,(AVERAGE(R21:R23)/AVERAGE(R18:R20))^4-1,"")</f>
        <v/>
      </c>
      <c r="T23" s="10" t="n">
        <v>78.23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79.05800000000001</v>
      </c>
      <c r="Y23" s="12">
        <f>IF(COUNT(X18:X23)=6,(AVERAGE(X21:X23)/AVERAGE(X18:X20))^4-1,"")</f>
        <v/>
      </c>
      <c r="Z23" s="10" t="n">
        <v>84.43000000000001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83.39709999999999</v>
      </c>
      <c r="AE23" s="12">
        <f>IF(COUNT(AD18:AD23)=6,(AVERAGE(AD21:AD23)/AVERAGE(AD18:AD20))^4-1,"")</f>
        <v/>
      </c>
      <c r="AF23" s="10" t="n">
        <v>72.56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72.5488</v>
      </c>
      <c r="AK23" s="12">
        <f>IF(COUNT(AJ18:AJ23)=6,(AVERAGE(AJ21:AJ23)/AVERAGE(AJ18:AJ20))^4-1,"")</f>
        <v/>
      </c>
      <c r="AL23" s="10" t="n">
        <v>64.88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65.114</v>
      </c>
      <c r="AQ23" s="12">
        <f>IF(COUNT(AP18:AP23)=6,(AVERAGE(AP21:AP23)/AVERAGE(AP18:AP20))^4-1,"")</f>
        <v/>
      </c>
      <c r="AR23" s="10" t="n">
        <v>79.42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78.4777</v>
      </c>
      <c r="AW23" s="12">
        <f>IF(COUNT(AV18:AV23)=6,(AVERAGE(AV21:AV23)/AVERAGE(AV18:AV20))^4-1,"")</f>
        <v/>
      </c>
      <c r="AX23" s="10" t="n">
        <v>82.89</v>
      </c>
      <c r="AY23" s="11">
        <f>IF(ISNUMBER(AX23),AX23/AX$65*100,"")</f>
        <v/>
      </c>
      <c r="AZ23" s="12">
        <f>IF(AND(ISNUMBER(AX23),ISNUMBER(AX22)),AX23/AX22-1,"")</f>
        <v/>
      </c>
      <c r="BA23" s="12">
        <f>IF(AND(ISNUMBER(AX23),ISNUMBER(AX11)),AX23/AX11-1,"")</f>
        <v/>
      </c>
      <c r="BB23" s="11" t="n">
        <v>82.8951</v>
      </c>
      <c r="BC23" s="12">
        <f>IF(COUNT(BB18:BB23)=6,(AVERAGE(BB21:BB23)/AVERAGE(BB18:BB20))^4-1,"")</f>
        <v/>
      </c>
    </row>
    <row r="24">
      <c r="A24" s="9" t="n">
        <v>42583</v>
      </c>
      <c r="B24" s="10" t="n">
        <v>80.95999999999999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80.7012</v>
      </c>
      <c r="G24" s="12">
        <f>IF(COUNT(F19:F24)=6,(AVERAGE(F22:F24)/AVERAGE(F19:F21))^4-1,"")</f>
        <v/>
      </c>
      <c r="H24" s="10" t="n">
        <v>86.47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85.98860000000001</v>
      </c>
      <c r="M24" s="12">
        <f>IF(COUNT(L19:L24)=6,(AVERAGE(L22:L24)/AVERAGE(L19:L21))^4-1,"")</f>
        <v/>
      </c>
      <c r="N24" s="10" t="n">
        <v>83.06999999999999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82.715</v>
      </c>
      <c r="S24" s="12">
        <f>IF(COUNT(R19:R24)=6,(AVERAGE(R22:R24)/AVERAGE(R19:R21))^4-1,"")</f>
        <v/>
      </c>
      <c r="T24" s="10" t="n">
        <v>78.68000000000001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79.1032</v>
      </c>
      <c r="Y24" s="12">
        <f>IF(COUNT(X19:X24)=6,(AVERAGE(X22:X24)/AVERAGE(X19:X21))^4-1,"")</f>
        <v/>
      </c>
      <c r="Z24" s="10" t="n">
        <v>84.48999999999999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83.36109999999999</v>
      </c>
      <c r="AE24" s="12">
        <f>IF(COUNT(AD19:AD24)=6,(AVERAGE(AD22:AD24)/AVERAGE(AD19:AD21))^4-1,"")</f>
        <v/>
      </c>
      <c r="AF24" s="10" t="n">
        <v>72.67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72.79900000000001</v>
      </c>
      <c r="AK24" s="12">
        <f>IF(COUNT(AJ19:AJ24)=6,(AVERAGE(AJ22:AJ24)/AVERAGE(AJ19:AJ21))^4-1,"")</f>
        <v/>
      </c>
      <c r="AL24" s="10" t="n">
        <v>63.89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64.3207</v>
      </c>
      <c r="AQ24" s="12">
        <f>IF(COUNT(AP19:AP24)=6,(AVERAGE(AP22:AP24)/AVERAGE(AP19:AP21))^4-1,"")</f>
        <v/>
      </c>
      <c r="AR24" s="10" t="n">
        <v>78.62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77.9096</v>
      </c>
      <c r="AW24" s="12">
        <f>IF(COUNT(AV19:AV24)=6,(AVERAGE(AV22:AV24)/AVERAGE(AV19:AV21))^4-1,"")</f>
        <v/>
      </c>
      <c r="AX24" s="10" t="n">
        <v>83.16</v>
      </c>
      <c r="AY24" s="11">
        <f>IF(ISNUMBER(AX24),AX24/AX$65*100,"")</f>
        <v/>
      </c>
      <c r="AZ24" s="12">
        <f>IF(AND(ISNUMBER(AX24),ISNUMBER(AX23)),AX24/AX23-1,"")</f>
        <v/>
      </c>
      <c r="BA24" s="12">
        <f>IF(AND(ISNUMBER(AX24),ISNUMBER(AX12)),AX24/AX12-1,"")</f>
        <v/>
      </c>
      <c r="BB24" s="11" t="n">
        <v>82.8964</v>
      </c>
      <c r="BC24" s="12">
        <f>IF(COUNT(BB19:BB24)=6,(AVERAGE(BB22:BB24)/AVERAGE(BB19:BB21))^4-1,"")</f>
        <v/>
      </c>
    </row>
    <row r="25">
      <c r="A25" s="9" t="n">
        <v>42614</v>
      </c>
      <c r="B25" s="10" t="n">
        <v>80.77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80.8462</v>
      </c>
      <c r="G25" s="12">
        <f>IF(COUNT(F20:F25)=6,(AVERAGE(F23:F25)/AVERAGE(F20:F22))^4-1,"")</f>
        <v/>
      </c>
      <c r="H25" s="10" t="n">
        <v>86.2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86.1413</v>
      </c>
      <c r="M25" s="12">
        <f>IF(COUNT(L20:L25)=6,(AVERAGE(L23:L25)/AVERAGE(L20:L22))^4-1,"")</f>
        <v/>
      </c>
      <c r="N25" s="10" t="n">
        <v>82.78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82.7902</v>
      </c>
      <c r="S25" s="12">
        <f>IF(COUNT(R20:R25)=6,(AVERAGE(R23:R25)/AVERAGE(R20:R22))^4-1,"")</f>
        <v/>
      </c>
      <c r="T25" s="10" t="n">
        <v>79.19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79.1268</v>
      </c>
      <c r="Y25" s="12">
        <f>IF(COUNT(X20:X25)=6,(AVERAGE(X23:X25)/AVERAGE(X20:X22))^4-1,"")</f>
        <v/>
      </c>
      <c r="Z25" s="10" t="n">
        <v>83.37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83.62990000000001</v>
      </c>
      <c r="AE25" s="12">
        <f>IF(COUNT(AD20:AD25)=6,(AVERAGE(AD23:AD25)/AVERAGE(AD20:AD22))^4-1,"")</f>
        <v/>
      </c>
      <c r="AF25" s="10" t="n">
        <v>72.34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72.50620000000001</v>
      </c>
      <c r="AK25" s="12">
        <f>IF(COUNT(AJ20:AJ25)=6,(AVERAGE(AJ23:AJ25)/AVERAGE(AJ20:AJ22))^4-1,"")</f>
        <v/>
      </c>
      <c r="AL25" s="10" t="n">
        <v>64.42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64.7843</v>
      </c>
      <c r="AQ25" s="12">
        <f>IF(COUNT(AP20:AP25)=6,(AVERAGE(AP23:AP25)/AVERAGE(AP20:AP22))^4-1,"")</f>
        <v/>
      </c>
      <c r="AR25" s="10" t="n">
        <v>77.92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78.4235</v>
      </c>
      <c r="AW25" s="12">
        <f>IF(COUNT(AV20:AV25)=6,(AVERAGE(AV23:AV25)/AVERAGE(AV20:AV22))^4-1,"")</f>
        <v/>
      </c>
      <c r="AX25" s="10" t="n">
        <v>82.95999999999999</v>
      </c>
      <c r="AY25" s="11">
        <f>IF(ISNUMBER(AX25),AX25/AX$65*100,"")</f>
        <v/>
      </c>
      <c r="AZ25" s="12">
        <f>IF(AND(ISNUMBER(AX25),ISNUMBER(AX24)),AX25/AX24-1,"")</f>
        <v/>
      </c>
      <c r="BA25" s="12">
        <f>IF(AND(ISNUMBER(AX25),ISNUMBER(AX13)),AX25/AX13-1,"")</f>
        <v/>
      </c>
      <c r="BB25" s="11" t="n">
        <v>83.0262</v>
      </c>
      <c r="BC25" s="12">
        <f>IF(COUNT(BB20:BB25)=6,(AVERAGE(BB23:BB25)/AVERAGE(BB20:BB22))^4-1,"")</f>
        <v/>
      </c>
    </row>
    <row r="26">
      <c r="A26" s="9" t="n">
        <v>42644</v>
      </c>
      <c r="B26" s="10" t="n">
        <v>80.8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80.8643</v>
      </c>
      <c r="G26" s="12">
        <f>IF(COUNT(F21:F26)=6,(AVERAGE(F24:F26)/AVERAGE(F21:F23))^4-1,"")</f>
        <v/>
      </c>
      <c r="H26" s="10" t="n">
        <v>86.13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86.1567</v>
      </c>
      <c r="M26" s="12">
        <f>IF(COUNT(L21:L26)=6,(AVERAGE(L24:L26)/AVERAGE(L21:L23))^4-1,"")</f>
        <v/>
      </c>
      <c r="N26" s="10" t="n">
        <v>82.72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82.79000000000001</v>
      </c>
      <c r="S26" s="12">
        <f>IF(COUNT(R21:R26)=6,(AVERAGE(R24:R26)/AVERAGE(R21:R23))^4-1,"")</f>
        <v/>
      </c>
      <c r="T26" s="10" t="n">
        <v>79.34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79.1771</v>
      </c>
      <c r="Y26" s="12">
        <f>IF(COUNT(X21:X26)=6,(AVERAGE(X24:X26)/AVERAGE(X21:X23))^4-1,"")</f>
        <v/>
      </c>
      <c r="Z26" s="10" t="n">
        <v>83.23999999999999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83.6404</v>
      </c>
      <c r="AE26" s="12">
        <f>IF(COUNT(AD21:AD26)=6,(AVERAGE(AD24:AD26)/AVERAGE(AD21:AD23))^4-1,"")</f>
        <v/>
      </c>
      <c r="AF26" s="10" t="n">
        <v>72.3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72.4845</v>
      </c>
      <c r="AK26" s="12">
        <f>IF(COUNT(AJ21:AJ26)=6,(AVERAGE(AJ24:AJ26)/AVERAGE(AJ21:AJ23))^4-1,"")</f>
        <v/>
      </c>
      <c r="AL26" s="10" t="n">
        <v>65.19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65.27330000000001</v>
      </c>
      <c r="AQ26" s="12">
        <f>IF(COUNT(AP21:AP26)=6,(AVERAGE(AP24:AP26)/AVERAGE(AP21:AP23))^4-1,"")</f>
        <v/>
      </c>
      <c r="AR26" s="10" t="n">
        <v>78.44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78.69410000000001</v>
      </c>
      <c r="AW26" s="12">
        <f>IF(COUNT(AV21:AV26)=6,(AVERAGE(AV24:AV26)/AVERAGE(AV21:AV23))^4-1,"")</f>
        <v/>
      </c>
      <c r="AX26" s="10" t="n">
        <v>82.98</v>
      </c>
      <c r="AY26" s="11">
        <f>IF(ISNUMBER(AX26),AX26/AX$65*100,"")</f>
        <v/>
      </c>
      <c r="AZ26" s="12">
        <f>IF(AND(ISNUMBER(AX26),ISNUMBER(AX25)),AX26/AX25-1,"")</f>
        <v/>
      </c>
      <c r="BA26" s="12">
        <f>IF(AND(ISNUMBER(AX26),ISNUMBER(AX14)),AX26/AX14-1,"")</f>
        <v/>
      </c>
      <c r="BB26" s="11" t="n">
        <v>83.0562</v>
      </c>
      <c r="BC26" s="12">
        <f>IF(COUNT(BB21:BB26)=6,(AVERAGE(BB24:BB26)/AVERAGE(BB21:BB23))^4-1,"")</f>
        <v/>
      </c>
    </row>
    <row r="27">
      <c r="A27" s="9" t="n">
        <v>42675</v>
      </c>
      <c r="B27" s="10" t="n">
        <v>80.81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80.9997</v>
      </c>
      <c r="G27" s="12">
        <f>IF(COUNT(F22:F27)=6,(AVERAGE(F25:F27)/AVERAGE(F22:F24))^4-1,"")</f>
        <v/>
      </c>
      <c r="H27" s="10" t="n">
        <v>86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86.2086</v>
      </c>
      <c r="M27" s="12">
        <f>IF(COUNT(L22:L27)=6,(AVERAGE(L25:L27)/AVERAGE(L22:L24))^4-1,"")</f>
        <v/>
      </c>
      <c r="N27" s="10" t="n">
        <v>82.65000000000001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82.8421</v>
      </c>
      <c r="S27" s="12">
        <f>IF(COUNT(R22:R27)=6,(AVERAGE(R25:R27)/AVERAGE(R22:R24))^4-1,"")</f>
        <v/>
      </c>
      <c r="T27" s="10" t="n">
        <v>79.47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79.2838</v>
      </c>
      <c r="Y27" s="12">
        <f>IF(COUNT(X22:X27)=6,(AVERAGE(X25:X27)/AVERAGE(X22:X24))^4-1,"")</f>
        <v/>
      </c>
      <c r="Z27" s="10" t="n">
        <v>83.08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83.75449999999999</v>
      </c>
      <c r="AE27" s="12">
        <f>IF(COUNT(AD22:AD27)=6,(AVERAGE(AD25:AD27)/AVERAGE(AD22:AD24))^4-1,"")</f>
        <v/>
      </c>
      <c r="AF27" s="10" t="n">
        <v>72.40000000000001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72.5603</v>
      </c>
      <c r="AK27" s="12">
        <f>IF(COUNT(AJ22:AJ27)=6,(AVERAGE(AJ25:AJ27)/AVERAGE(AJ22:AJ24))^4-1,"")</f>
        <v/>
      </c>
      <c r="AL27" s="10" t="n">
        <v>65.78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65.8282</v>
      </c>
      <c r="AQ27" s="12">
        <f>IF(COUNT(AP22:AP27)=6,(AVERAGE(AP25:AP27)/AVERAGE(AP22:AP24))^4-1,"")</f>
        <v/>
      </c>
      <c r="AR27" s="10" t="n">
        <v>78.29000000000001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79.0857</v>
      </c>
      <c r="AW27" s="12">
        <f>IF(COUNT(AV22:AV27)=6,(AVERAGE(AV25:AV27)/AVERAGE(AV22:AV24))^4-1,"")</f>
        <v/>
      </c>
      <c r="AX27" s="10" t="n">
        <v>82.97</v>
      </c>
      <c r="AY27" s="11">
        <f>IF(ISNUMBER(AX27),AX27/AX$65*100,"")</f>
        <v/>
      </c>
      <c r="AZ27" s="12">
        <f>IF(AND(ISNUMBER(AX27),ISNUMBER(AX26)),AX27/AX26-1,"")</f>
        <v/>
      </c>
      <c r="BA27" s="12">
        <f>IF(AND(ISNUMBER(AX27),ISNUMBER(AX15)),AX27/AX15-1,"")</f>
        <v/>
      </c>
      <c r="BB27" s="11" t="n">
        <v>83.14360000000001</v>
      </c>
      <c r="BC27" s="12">
        <f>IF(COUNT(BB22:BB27)=6,(AVERAGE(BB25:BB27)/AVERAGE(BB22:BB24))^4-1,"")</f>
        <v/>
      </c>
    </row>
    <row r="28">
      <c r="A28" s="9" t="n">
        <v>42705</v>
      </c>
      <c r="B28" s="10" t="n">
        <v>81.09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81.17059999999999</v>
      </c>
      <c r="G28" s="12">
        <f>IF(COUNT(F23:F28)=6,(AVERAGE(F26:F28)/AVERAGE(F23:F25))^4-1,"")</f>
        <v/>
      </c>
      <c r="H28" s="10" t="n">
        <v>86.3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86.22190000000001</v>
      </c>
      <c r="M28" s="12">
        <f>IF(COUNT(L23:L28)=6,(AVERAGE(L26:L28)/AVERAGE(L23:L25))^4-1,"")</f>
        <v/>
      </c>
      <c r="N28" s="10" t="n">
        <v>82.90000000000001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82.8891</v>
      </c>
      <c r="S28" s="12">
        <f>IF(COUNT(R23:R28)=6,(AVERAGE(R26:R28)/AVERAGE(R23:R25))^4-1,"")</f>
        <v/>
      </c>
      <c r="T28" s="10" t="n">
        <v>79.62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79.5048</v>
      </c>
      <c r="Y28" s="12">
        <f>IF(COUNT(X23:X28)=6,(AVERAGE(X26:X28)/AVERAGE(X23:X25))^4-1,"")</f>
        <v/>
      </c>
      <c r="Z28" s="10" t="n">
        <v>83.53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83.79949999999999</v>
      </c>
      <c r="AE28" s="12">
        <f>IF(COUNT(AD23:AD28)=6,(AVERAGE(AD26:AD28)/AVERAGE(AD23:AD25))^4-1,"")</f>
        <v/>
      </c>
      <c r="AF28" s="10" t="n">
        <v>72.48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72.6323</v>
      </c>
      <c r="AK28" s="12">
        <f>IF(COUNT(AJ23:AJ28)=6,(AVERAGE(AJ26:AJ28)/AVERAGE(AJ23:AJ25))^4-1,"")</f>
        <v/>
      </c>
      <c r="AL28" s="10" t="n">
        <v>66.36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66.8877</v>
      </c>
      <c r="AQ28" s="12">
        <f>IF(COUNT(AP23:AP28)=6,(AVERAGE(AP26:AP28)/AVERAGE(AP23:AP25))^4-1,"")</f>
        <v/>
      </c>
      <c r="AR28" s="10" t="n">
        <v>79.2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79.62860000000001</v>
      </c>
      <c r="AW28" s="12">
        <f>IF(COUNT(AV23:AV28)=6,(AVERAGE(AV26:AV28)/AVERAGE(AV23:AV25))^4-1,"")</f>
        <v/>
      </c>
      <c r="AX28" s="10" t="n">
        <v>83.22</v>
      </c>
      <c r="AY28" s="11">
        <f>IF(ISNUMBER(AX28),AX28/AX$65*100,"")</f>
        <v/>
      </c>
      <c r="AZ28" s="12">
        <f>IF(AND(ISNUMBER(AX28),ISNUMBER(AX27)),AX28/AX27-1,"")</f>
        <v/>
      </c>
      <c r="BA28" s="12">
        <f>IF(AND(ISNUMBER(AX28),ISNUMBER(AX16)),AX28/AX16-1,"")</f>
        <v/>
      </c>
      <c r="BB28" s="11" t="n">
        <v>83.29349999999999</v>
      </c>
      <c r="BC28" s="12">
        <f>IF(COUNT(BB23:BB28)=6,(AVERAGE(BB26:BB28)/AVERAGE(BB23:BB25))^4-1,"")</f>
        <v/>
      </c>
    </row>
    <row r="29">
      <c r="A29" s="9" t="n">
        <v>42736</v>
      </c>
      <c r="B29" s="10" t="n">
        <v>80.83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81.2128</v>
      </c>
      <c r="G29" s="12">
        <f>IF(COUNT(F24:F29)=6,(AVERAGE(F27:F29)/AVERAGE(F24:F26))^4-1,"")</f>
        <v/>
      </c>
      <c r="H29" s="10" t="n">
        <v>85.34999999999999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86.11320000000001</v>
      </c>
      <c r="M29" s="12">
        <f>IF(COUNT(L24:L29)=6,(AVERAGE(L27:L29)/AVERAGE(L24:L26))^4-1,"")</f>
        <v/>
      </c>
      <c r="N29" s="10" t="n">
        <v>82.26000000000001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82.8785</v>
      </c>
      <c r="S29" s="12">
        <f>IF(COUNT(R24:R29)=6,(AVERAGE(R27:R29)/AVERAGE(R24:R26))^4-1,"")</f>
        <v/>
      </c>
      <c r="T29" s="10" t="n">
        <v>79.3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79.6879</v>
      </c>
      <c r="Y29" s="12">
        <f>IF(COUNT(X24:X29)=6,(AVERAGE(X27:X29)/AVERAGE(X24:X26))^4-1,"")</f>
        <v/>
      </c>
      <c r="Z29" s="10" t="n">
        <v>83.34999999999999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83.7162</v>
      </c>
      <c r="AE29" s="12">
        <f>IF(COUNT(AD24:AD29)=6,(AVERAGE(AD27:AD29)/AVERAGE(AD24:AD26))^4-1,"")</f>
        <v/>
      </c>
      <c r="AF29" s="10" t="n">
        <v>72.77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72.825</v>
      </c>
      <c r="AK29" s="12">
        <f>IF(COUNT(AJ24:AJ29)=6,(AVERAGE(AJ27:AJ29)/AVERAGE(AJ24:AJ26))^4-1,"")</f>
        <v/>
      </c>
      <c r="AL29" s="10" t="n">
        <v>69.28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68.929</v>
      </c>
      <c r="AQ29" s="12">
        <f>IF(COUNT(AP24:AP29)=6,(AVERAGE(AP27:AP29)/AVERAGE(AP24:AP26))^4-1,"")</f>
        <v/>
      </c>
      <c r="AR29" s="10" t="n">
        <v>80.17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80.17449999999999</v>
      </c>
      <c r="AW29" s="12">
        <f>IF(COUNT(AV24:AV29)=6,(AVERAGE(AV27:AV29)/AVERAGE(AV24:AV26))^4-1,"")</f>
        <v/>
      </c>
      <c r="AX29" s="10" t="n">
        <v>83.01000000000001</v>
      </c>
      <c r="AY29" s="11">
        <f>IF(ISNUMBER(AX29),AX29/AX$65*100,"")</f>
        <v/>
      </c>
      <c r="AZ29" s="12">
        <f>IF(AND(ISNUMBER(AX29),ISNUMBER(AX28)),AX29/AX28-1,"")</f>
        <v/>
      </c>
      <c r="BA29" s="12">
        <f>IF(AND(ISNUMBER(AX29),ISNUMBER(AX17)),AX29/AX17-1,"")</f>
        <v/>
      </c>
      <c r="BB29" s="11" t="n">
        <v>83.3784</v>
      </c>
      <c r="BC29" s="12">
        <f>IF(COUNT(BB24:BB29)=6,(AVERAGE(BB27:BB29)/AVERAGE(BB24:BB26))^4-1,"")</f>
        <v/>
      </c>
    </row>
    <row r="30">
      <c r="A30" s="9" t="n">
        <v>42767</v>
      </c>
      <c r="B30" s="10" t="n">
        <v>80.95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81.35850000000001</v>
      </c>
      <c r="G30" s="12">
        <f>IF(COUNT(F25:F30)=6,(AVERAGE(F28:F30)/AVERAGE(F25:F27))^4-1,"")</f>
        <v/>
      </c>
      <c r="H30" s="10" t="n">
        <v>85.45999999999999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86.0557</v>
      </c>
      <c r="M30" s="12">
        <f>IF(COUNT(L25:L30)=6,(AVERAGE(L28:L30)/AVERAGE(L25:L27))^4-1,"")</f>
        <v/>
      </c>
      <c r="N30" s="10" t="n">
        <v>82.40000000000001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82.878</v>
      </c>
      <c r="S30" s="12">
        <f>IF(COUNT(R25:R30)=6,(AVERAGE(R28:R30)/AVERAGE(R25:R27))^4-1,"")</f>
        <v/>
      </c>
      <c r="T30" s="10" t="n">
        <v>79.3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79.8385</v>
      </c>
      <c r="Y30" s="12">
        <f>IF(COUNT(X25:X30)=6,(AVERAGE(X28:X30)/AVERAGE(X25:X27))^4-1,"")</f>
        <v/>
      </c>
      <c r="Z30" s="10" t="n">
        <v>83.64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83.8486</v>
      </c>
      <c r="AE30" s="12">
        <f>IF(COUNT(AD25:AD30)=6,(AVERAGE(AD28:AD30)/AVERAGE(AD25:AD27))^4-1,"")</f>
        <v/>
      </c>
      <c r="AF30" s="10" t="n">
        <v>73.01000000000001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73.0479</v>
      </c>
      <c r="AK30" s="12">
        <f>IF(COUNT(AJ25:AJ30)=6,(AVERAGE(AJ28:AJ30)/AVERAGE(AJ25:AJ27))^4-1,"")</f>
        <v/>
      </c>
      <c r="AL30" s="10" t="n">
        <v>69.29000000000001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68.672</v>
      </c>
      <c r="AQ30" s="12">
        <f>IF(COUNT(AP25:AP30)=6,(AVERAGE(AP28:AP30)/AVERAGE(AP25:AP27))^4-1,"")</f>
        <v/>
      </c>
      <c r="AR30" s="10" t="n">
        <v>80.47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80.4849</v>
      </c>
      <c r="AW30" s="12">
        <f>IF(COUNT(AV25:AV30)=6,(AVERAGE(AV28:AV30)/AVERAGE(AV25:AV27))^4-1,"")</f>
        <v/>
      </c>
      <c r="AX30" s="10" t="n">
        <v>83.11</v>
      </c>
      <c r="AY30" s="11">
        <f>IF(ISNUMBER(AX30),AX30/AX$65*100,"")</f>
        <v/>
      </c>
      <c r="AZ30" s="12">
        <f>IF(AND(ISNUMBER(AX30),ISNUMBER(AX29)),AX30/AX29-1,"")</f>
        <v/>
      </c>
      <c r="BA30" s="12">
        <f>IF(AND(ISNUMBER(AX30),ISNUMBER(AX18)),AX30/AX18-1,"")</f>
        <v/>
      </c>
      <c r="BB30" s="11" t="n">
        <v>83.4847</v>
      </c>
      <c r="BC30" s="12">
        <f>IF(COUNT(BB25:BB30)=6,(AVERAGE(BB28:BB30)/AVERAGE(BB25:BB27))^4-1,"")</f>
        <v/>
      </c>
    </row>
    <row r="31">
      <c r="A31" s="9" t="n">
        <v>42795</v>
      </c>
      <c r="B31" s="10" t="n">
        <v>81.55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81.4092</v>
      </c>
      <c r="G31" s="12">
        <f>IF(COUNT(F26:F31)=6,(AVERAGE(F29:F31)/AVERAGE(F26:F28))^4-1,"")</f>
        <v/>
      </c>
      <c r="H31" s="10" t="n">
        <v>86.41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86.33320000000001</v>
      </c>
      <c r="M31" s="12">
        <f>IF(COUNT(L26:L31)=6,(AVERAGE(L29:L31)/AVERAGE(L26:L28))^4-1,"")</f>
        <v/>
      </c>
      <c r="N31" s="10" t="n">
        <v>83.09999999999999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83.0119</v>
      </c>
      <c r="S31" s="12">
        <f>IF(COUNT(R26:R31)=6,(AVERAGE(R29:R31)/AVERAGE(R26:R28))^4-1,"")</f>
        <v/>
      </c>
      <c r="T31" s="10" t="n">
        <v>80.27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79.9213</v>
      </c>
      <c r="Y31" s="12">
        <f>IF(COUNT(X26:X31)=6,(AVERAGE(X29:X31)/AVERAGE(X26:X28))^4-1,"")</f>
        <v/>
      </c>
      <c r="Z31" s="10" t="n">
        <v>83.76000000000001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83.98399999999999</v>
      </c>
      <c r="AE31" s="12">
        <f>IF(COUNT(AD26:AD31)=6,(AVERAGE(AD29:AD31)/AVERAGE(AD26:AD28))^4-1,"")</f>
        <v/>
      </c>
      <c r="AF31" s="10" t="n">
        <v>72.95999999999999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72.8116</v>
      </c>
      <c r="AK31" s="12">
        <f>IF(COUNT(AJ26:AJ31)=6,(AVERAGE(AJ29:AJ31)/AVERAGE(AJ26:AJ28))^4-1,"")</f>
        <v/>
      </c>
      <c r="AL31" s="10" t="n">
        <v>69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68.7848</v>
      </c>
      <c r="AQ31" s="12">
        <f>IF(COUNT(AP26:AP31)=6,(AVERAGE(AP29:AP31)/AVERAGE(AP26:AP28))^4-1,"")</f>
        <v/>
      </c>
      <c r="AR31" s="10" t="n">
        <v>80.06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80.4045</v>
      </c>
      <c r="AW31" s="12">
        <f>IF(COUNT(AV26:AV31)=6,(AVERAGE(AV29:AV31)/AVERAGE(AV26:AV28))^4-1,"")</f>
        <v/>
      </c>
      <c r="AX31" s="10" t="n">
        <v>83.65000000000001</v>
      </c>
      <c r="AY31" s="11">
        <f>IF(ISNUMBER(AX31),AX31/AX$65*100,"")</f>
        <v/>
      </c>
      <c r="AZ31" s="12">
        <f>IF(AND(ISNUMBER(AX31),ISNUMBER(AX30)),AX31/AX30-1,"")</f>
        <v/>
      </c>
      <c r="BA31" s="12">
        <f>IF(AND(ISNUMBER(AX31),ISNUMBER(AX19)),AX31/AX19-1,"")</f>
        <v/>
      </c>
      <c r="BB31" s="11" t="n">
        <v>83.5244</v>
      </c>
      <c r="BC31" s="12">
        <f>IF(COUNT(BB26:BB31)=6,(AVERAGE(BB29:BB31)/AVERAGE(BB26:BB28))^4-1,"")</f>
        <v/>
      </c>
    </row>
    <row r="32">
      <c r="A32" s="9" t="n">
        <v>42826</v>
      </c>
      <c r="B32" s="10" t="n">
        <v>81.63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81.45610000000001</v>
      </c>
      <c r="G32" s="12">
        <f>IF(COUNT(F27:F32)=6,(AVERAGE(F30:F32)/AVERAGE(F27:F29))^4-1,"")</f>
        <v/>
      </c>
      <c r="H32" s="10" t="n">
        <v>86.56999999999999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86.3147</v>
      </c>
      <c r="M32" s="12">
        <f>IF(COUNT(L27:L32)=6,(AVERAGE(L30:L32)/AVERAGE(L27:L29))^4-1,"")</f>
        <v/>
      </c>
      <c r="N32" s="10" t="n">
        <v>83.20999999999999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83.0121</v>
      </c>
      <c r="S32" s="12">
        <f>IF(COUNT(R27:R32)=6,(AVERAGE(R30:R32)/AVERAGE(R27:R29))^4-1,"")</f>
        <v/>
      </c>
      <c r="T32" s="10" t="n">
        <v>80.29000000000001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79.9387</v>
      </c>
      <c r="Y32" s="12">
        <f>IF(COUNT(X27:X32)=6,(AVERAGE(X30:X32)/AVERAGE(X27:X29))^4-1,"")</f>
        <v/>
      </c>
      <c r="Z32" s="10" t="n">
        <v>83.92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83.91500000000001</v>
      </c>
      <c r="AE32" s="12">
        <f>IF(COUNT(AD27:AD32)=6,(AVERAGE(AD30:AD32)/AVERAGE(AD27:AD29))^4-1,"")</f>
        <v/>
      </c>
      <c r="AF32" s="10" t="n">
        <v>72.92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72.8548</v>
      </c>
      <c r="AK32" s="12">
        <f>IF(COUNT(AJ27:AJ32)=6,(AVERAGE(AJ30:AJ32)/AVERAGE(AJ27:AJ29))^4-1,"")</f>
        <v/>
      </c>
      <c r="AL32" s="10" t="n">
        <v>68.83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68.5823</v>
      </c>
      <c r="AQ32" s="12">
        <f>IF(COUNT(AP27:AP32)=6,(AVERAGE(AP30:AP32)/AVERAGE(AP27:AP29))^4-1,"")</f>
        <v/>
      </c>
      <c r="AR32" s="10" t="n">
        <v>80.75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80.342</v>
      </c>
      <c r="AW32" s="12">
        <f>IF(COUNT(AV27:AV32)=6,(AVERAGE(AV30:AV32)/AVERAGE(AV27:AV29))^4-1,"")</f>
        <v/>
      </c>
      <c r="AX32" s="10" t="n">
        <v>83.72</v>
      </c>
      <c r="AY32" s="11">
        <f>IF(ISNUMBER(AX32),AX32/AX$65*100,"")</f>
        <v/>
      </c>
      <c r="AZ32" s="12">
        <f>IF(AND(ISNUMBER(AX32),ISNUMBER(AX31)),AX32/AX31-1,"")</f>
        <v/>
      </c>
      <c r="BA32" s="12">
        <f>IF(AND(ISNUMBER(AX32),ISNUMBER(AX20)),AX32/AX20-1,"")</f>
        <v/>
      </c>
      <c r="BB32" s="11" t="n">
        <v>83.5675</v>
      </c>
      <c r="BC32" s="12">
        <f>IF(COUNT(BB27:BB32)=6,(AVERAGE(BB30:BB32)/AVERAGE(BB27:BB29))^4-1,"")</f>
        <v/>
      </c>
    </row>
    <row r="33">
      <c r="A33" s="9" t="n">
        <v>42856</v>
      </c>
      <c r="B33" s="10" t="n">
        <v>81.65000000000001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81.37390000000001</v>
      </c>
      <c r="G33" s="12">
        <f>IF(COUNT(F28:F33)=6,(AVERAGE(F31:F33)/AVERAGE(F28:F30))^4-1,"")</f>
        <v/>
      </c>
      <c r="H33" s="10" t="n">
        <v>86.61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86.36150000000001</v>
      </c>
      <c r="M33" s="12">
        <f>IF(COUNT(L28:L33)=6,(AVERAGE(L31:L33)/AVERAGE(L28:L30))^4-1,"")</f>
        <v/>
      </c>
      <c r="N33" s="10" t="n">
        <v>83.36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82.9961</v>
      </c>
      <c r="S33" s="12">
        <f>IF(COUNT(R28:R33)=6,(AVERAGE(R31:R33)/AVERAGE(R28:R30))^4-1,"")</f>
        <v/>
      </c>
      <c r="T33" s="10" t="n">
        <v>80.31999999999999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79.7825</v>
      </c>
      <c r="Y33" s="12">
        <f>IF(COUNT(X28:X33)=6,(AVERAGE(X31:X33)/AVERAGE(X28:X30))^4-1,"")</f>
        <v/>
      </c>
      <c r="Z33" s="10" t="n">
        <v>83.91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83.9315</v>
      </c>
      <c r="AE33" s="12">
        <f>IF(COUNT(AD28:AD33)=6,(AVERAGE(AD31:AD33)/AVERAGE(AD28:AD30))^4-1,"")</f>
        <v/>
      </c>
      <c r="AF33" s="10" t="n">
        <v>73.38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72.9744</v>
      </c>
      <c r="AK33" s="12">
        <f>IF(COUNT(AJ28:AJ33)=6,(AVERAGE(AJ31:AJ33)/AVERAGE(AJ28:AJ30))^4-1,"")</f>
        <v/>
      </c>
      <c r="AL33" s="10" t="n">
        <v>67.76000000000001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67.45950000000001</v>
      </c>
      <c r="AQ33" s="12">
        <f>IF(COUNT(AP28:AP33)=6,(AVERAGE(AP31:AP33)/AVERAGE(AP28:AP30))^4-1,"")</f>
        <v/>
      </c>
      <c r="AR33" s="10" t="n">
        <v>79.81999999999999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79.7496</v>
      </c>
      <c r="AW33" s="12">
        <f>IF(COUNT(AV28:AV33)=6,(AVERAGE(AV31:AV33)/AVERAGE(AV28:AV30))^4-1,"")</f>
        <v/>
      </c>
      <c r="AX33" s="10" t="n">
        <v>83.76000000000001</v>
      </c>
      <c r="AY33" s="11">
        <f>IF(ISNUMBER(AX33),AX33/AX$65*100,"")</f>
        <v/>
      </c>
      <c r="AZ33" s="12">
        <f>IF(AND(ISNUMBER(AX33),ISNUMBER(AX32)),AX33/AX32-1,"")</f>
        <v/>
      </c>
      <c r="BA33" s="12">
        <f>IF(AND(ISNUMBER(AX33),ISNUMBER(AX21)),AX33/AX21-1,"")</f>
        <v/>
      </c>
      <c r="BB33" s="11" t="n">
        <v>83.50449999999999</v>
      </c>
      <c r="BC33" s="12">
        <f>IF(COUNT(BB28:BB33)=6,(AVERAGE(BB31:BB33)/AVERAGE(BB28:BB30))^4-1,"")</f>
        <v/>
      </c>
    </row>
    <row r="34">
      <c r="A34" s="9" t="n">
        <v>42887</v>
      </c>
      <c r="B34" s="10" t="n">
        <v>81.64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81.3595</v>
      </c>
      <c r="G34" s="12">
        <f>IF(COUNT(F29:F34)=6,(AVERAGE(F32:F34)/AVERAGE(F29:F31))^4-1,"")</f>
        <v/>
      </c>
      <c r="H34" s="10" t="n">
        <v>86.79000000000001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86.4301</v>
      </c>
      <c r="M34" s="12">
        <f>IF(COUNT(L29:L34)=6,(AVERAGE(L32:L34)/AVERAGE(L29:L31))^4-1,"")</f>
        <v/>
      </c>
      <c r="N34" s="10" t="n">
        <v>83.44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83.14239999999999</v>
      </c>
      <c r="S34" s="12">
        <f>IF(COUNT(R29:R34)=6,(AVERAGE(R32:R34)/AVERAGE(R29:R31))^4-1,"")</f>
        <v/>
      </c>
      <c r="T34" s="10" t="n">
        <v>80.13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79.72750000000001</v>
      </c>
      <c r="Y34" s="12">
        <f>IF(COUNT(X29:X34)=6,(AVERAGE(X32:X34)/AVERAGE(X29:X31))^4-1,"")</f>
        <v/>
      </c>
      <c r="Z34" s="10" t="n">
        <v>84.14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84.02849999999999</v>
      </c>
      <c r="AE34" s="12">
        <f>IF(COUNT(AD29:AD34)=6,(AVERAGE(AD32:AD34)/AVERAGE(AD29:AD31))^4-1,"")</f>
        <v/>
      </c>
      <c r="AF34" s="10" t="n">
        <v>73.18000000000001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73.0532</v>
      </c>
      <c r="AK34" s="12">
        <f>IF(COUNT(AJ29:AJ34)=6,(AVERAGE(AJ32:AJ34)/AVERAGE(AJ29:AJ31))^4-1,"")</f>
        <v/>
      </c>
      <c r="AL34" s="10" t="n">
        <v>66.97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66.8907</v>
      </c>
      <c r="AQ34" s="12">
        <f>IF(COUNT(AP29:AP34)=6,(AVERAGE(AP32:AP34)/AVERAGE(AP29:AP31))^4-1,"")</f>
        <v/>
      </c>
      <c r="AR34" s="10" t="n">
        <v>79.79000000000001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79.63809999999999</v>
      </c>
      <c r="AW34" s="12">
        <f>IF(COUNT(AV29:AV34)=6,(AVERAGE(AV32:AV34)/AVERAGE(AV29:AV31))^4-1,"")</f>
        <v/>
      </c>
      <c r="AX34" s="10" t="n">
        <v>83.77</v>
      </c>
      <c r="AY34" s="11">
        <f>IF(ISNUMBER(AX34),AX34/AX$65*100,"")</f>
        <v/>
      </c>
      <c r="AZ34" s="12">
        <f>IF(AND(ISNUMBER(AX34),ISNUMBER(AX33)),AX34/AX33-1,"")</f>
        <v/>
      </c>
      <c r="BA34" s="12">
        <f>IF(AND(ISNUMBER(AX34),ISNUMBER(AX22)),AX34/AX22-1,"")</f>
        <v/>
      </c>
      <c r="BB34" s="11" t="n">
        <v>83.5116</v>
      </c>
      <c r="BC34" s="12">
        <f>IF(COUNT(BB29:BB34)=6,(AVERAGE(BB32:BB34)/AVERAGE(BB29:BB31))^4-1,"")</f>
        <v/>
      </c>
    </row>
    <row r="35">
      <c r="A35" s="9" t="n">
        <v>42917</v>
      </c>
      <c r="B35" s="10" t="n">
        <v>81.3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81.2534</v>
      </c>
      <c r="G35" s="12">
        <f>IF(COUNT(F30:F35)=6,(AVERAGE(F33:F35)/AVERAGE(F30:F32))^4-1,"")</f>
        <v/>
      </c>
      <c r="H35" s="10" t="n">
        <v>86.41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86.4239</v>
      </c>
      <c r="M35" s="12">
        <f>IF(COUNT(L30:L35)=6,(AVERAGE(L33:L35)/AVERAGE(L30:L32))^4-1,"")</f>
        <v/>
      </c>
      <c r="N35" s="10" t="n">
        <v>83.17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83.17010000000001</v>
      </c>
      <c r="S35" s="12">
        <f>IF(COUNT(R30:R35)=6,(AVERAGE(R33:R35)/AVERAGE(R30:R32))^4-1,"")</f>
        <v/>
      </c>
      <c r="T35" s="10" t="n">
        <v>78.75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79.5082</v>
      </c>
      <c r="Y35" s="12">
        <f>IF(COUNT(X30:X35)=6,(AVERAGE(X33:X35)/AVERAGE(X30:X32))^4-1,"")</f>
        <v/>
      </c>
      <c r="Z35" s="10" t="n">
        <v>85.16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84.09439999999999</v>
      </c>
      <c r="AE35" s="12">
        <f>IF(COUNT(AD30:AD35)=6,(AVERAGE(AD33:AD35)/AVERAGE(AD30:AD32))^4-1,"")</f>
        <v/>
      </c>
      <c r="AF35" s="10" t="n">
        <v>73.22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73.1888</v>
      </c>
      <c r="AK35" s="12">
        <f>IF(COUNT(AJ30:AJ35)=6,(AVERAGE(AJ33:AJ35)/AVERAGE(AJ30:AJ32))^4-1,"")</f>
        <v/>
      </c>
      <c r="AL35" s="10" t="n">
        <v>66.11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66.3361</v>
      </c>
      <c r="AQ35" s="12">
        <f>IF(COUNT(AP30:AP35)=6,(AVERAGE(AP33:AP35)/AVERAGE(AP30:AP32))^4-1,"")</f>
        <v/>
      </c>
      <c r="AR35" s="10" t="n">
        <v>80.78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79.7927</v>
      </c>
      <c r="AW35" s="12">
        <f>IF(COUNT(AV30:AV35)=6,(AVERAGE(AV33:AV35)/AVERAGE(AV30:AV32))^4-1,"")</f>
        <v/>
      </c>
      <c r="AX35" s="10" t="n">
        <v>83.48</v>
      </c>
      <c r="AY35" s="11">
        <f>IF(ISNUMBER(AX35),AX35/AX$65*100,"")</f>
        <v/>
      </c>
      <c r="AZ35" s="12">
        <f>IF(AND(ISNUMBER(AX35),ISNUMBER(AX34)),AX35/AX34-1,"")</f>
        <v/>
      </c>
      <c r="BA35" s="12">
        <f>IF(AND(ISNUMBER(AX35),ISNUMBER(AX23)),AX35/AX23-1,"")</f>
        <v/>
      </c>
      <c r="BB35" s="11" t="n">
        <v>83.4225</v>
      </c>
      <c r="BC35" s="12">
        <f>IF(COUNT(BB30:BB35)=6,(AVERAGE(BB33:BB35)/AVERAGE(BB30:BB32))^4-1,"")</f>
        <v/>
      </c>
    </row>
    <row r="36">
      <c r="A36" s="9" t="n">
        <v>42948</v>
      </c>
      <c r="B36" s="10" t="n">
        <v>81.76000000000001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81.4706</v>
      </c>
      <c r="G36" s="12">
        <f>IF(COUNT(F31:F36)=6,(AVERAGE(F34:F36)/AVERAGE(F31:F33))^4-1,"")</f>
        <v/>
      </c>
      <c r="H36" s="10" t="n">
        <v>86.97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86.4558</v>
      </c>
      <c r="M36" s="12">
        <f>IF(COUNT(L31:L36)=6,(AVERAGE(L34:L36)/AVERAGE(L31:L33))^4-1,"")</f>
        <v/>
      </c>
      <c r="N36" s="10" t="n">
        <v>83.59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83.19410000000001</v>
      </c>
      <c r="S36" s="12">
        <f>IF(COUNT(R31:R36)=6,(AVERAGE(R34:R36)/AVERAGE(R31:R33))^4-1,"")</f>
        <v/>
      </c>
      <c r="T36" s="10" t="n">
        <v>79.37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79.7914</v>
      </c>
      <c r="Y36" s="12">
        <f>IF(COUNT(X31:X36)=6,(AVERAGE(X34:X36)/AVERAGE(X31:X33))^4-1,"")</f>
        <v/>
      </c>
      <c r="Z36" s="10" t="n">
        <v>85.42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84.2247</v>
      </c>
      <c r="AE36" s="12">
        <f>IF(COUNT(AD31:AD36)=6,(AVERAGE(AD34:AD36)/AVERAGE(AD31:AD33))^4-1,"")</f>
        <v/>
      </c>
      <c r="AF36" s="10" t="n">
        <v>73.26000000000001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73.2985</v>
      </c>
      <c r="AK36" s="12">
        <f>IF(COUNT(AJ31:AJ36)=6,(AVERAGE(AJ34:AJ36)/AVERAGE(AJ31:AJ33))^4-1,"")</f>
        <v/>
      </c>
      <c r="AL36" s="10" t="n">
        <v>66.88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67.41119999999999</v>
      </c>
      <c r="AQ36" s="12">
        <f>IF(COUNT(AP31:AP36)=6,(AVERAGE(AP34:AP36)/AVERAGE(AP31:AP33))^4-1,"")</f>
        <v/>
      </c>
      <c r="AR36" s="10" t="n">
        <v>81.01000000000001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80.29179999999999</v>
      </c>
      <c r="AW36" s="12">
        <f>IF(COUNT(AV31:AV36)=6,(AVERAGE(AV34:AV36)/AVERAGE(AV31:AV33))^4-1,"")</f>
        <v/>
      </c>
      <c r="AX36" s="10" t="n">
        <v>83.91</v>
      </c>
      <c r="AY36" s="11">
        <f>IF(ISNUMBER(AX36),AX36/AX$65*100,"")</f>
        <v/>
      </c>
      <c r="AZ36" s="12">
        <f>IF(AND(ISNUMBER(AX36),ISNUMBER(AX35)),AX36/AX35-1,"")</f>
        <v/>
      </c>
      <c r="BA36" s="12">
        <f>IF(AND(ISNUMBER(AX36),ISNUMBER(AX24)),AX36/AX24-1,"")</f>
        <v/>
      </c>
      <c r="BB36" s="11" t="n">
        <v>83.6199</v>
      </c>
      <c r="BC36" s="12">
        <f>IF(COUNT(BB31:BB36)=6,(AVERAGE(BB34:BB36)/AVERAGE(BB31:BB33))^4-1,"")</f>
        <v/>
      </c>
    </row>
    <row r="37">
      <c r="A37" s="9" t="n">
        <v>42979</v>
      </c>
      <c r="B37" s="10" t="n">
        <v>81.63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81.7371</v>
      </c>
      <c r="G37" s="12">
        <f>IF(COUNT(F32:F37)=6,(AVERAGE(F35:F37)/AVERAGE(F32:F34))^4-1,"")</f>
        <v/>
      </c>
      <c r="H37" s="10" t="n">
        <v>86.68000000000001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86.6246</v>
      </c>
      <c r="M37" s="12">
        <f>IF(COUNT(L32:L37)=6,(AVERAGE(L35:L37)/AVERAGE(L32:L34))^4-1,"")</f>
        <v/>
      </c>
      <c r="N37" s="10" t="n">
        <v>83.37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83.38720000000001</v>
      </c>
      <c r="S37" s="12">
        <f>IF(COUNT(R32:R37)=6,(AVERAGE(R35:R37)/AVERAGE(R32:R34))^4-1,"")</f>
        <v/>
      </c>
      <c r="T37" s="10" t="n">
        <v>80.09999999999999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80.0852</v>
      </c>
      <c r="Y37" s="12">
        <f>IF(COUNT(X32:X37)=6,(AVERAGE(X35:X37)/AVERAGE(X32:X34))^4-1,"")</f>
        <v/>
      </c>
      <c r="Z37" s="10" t="n">
        <v>84.18000000000001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84.4464</v>
      </c>
      <c r="AE37" s="12">
        <f>IF(COUNT(AD32:AD37)=6,(AVERAGE(AD35:AD37)/AVERAGE(AD32:AD34))^4-1,"")</f>
        <v/>
      </c>
      <c r="AF37" s="10" t="n">
        <v>73.20999999999999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73.3695</v>
      </c>
      <c r="AK37" s="12">
        <f>IF(COUNT(AJ32:AJ37)=6,(AVERAGE(AJ35:AJ37)/AVERAGE(AJ32:AJ34))^4-1,"")</f>
        <v/>
      </c>
      <c r="AL37" s="10" t="n">
        <v>67.56999999999999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68.08459999999999</v>
      </c>
      <c r="AQ37" s="12">
        <f>IF(COUNT(AP32:AP37)=6,(AVERAGE(AP35:AP37)/AVERAGE(AP32:AP34))^4-1,"")</f>
        <v/>
      </c>
      <c r="AR37" s="10" t="n">
        <v>80.09999999999999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80.742</v>
      </c>
      <c r="AW37" s="12">
        <f>IF(COUNT(AV32:AV37)=6,(AVERAGE(AV35:AV37)/AVERAGE(AV32:AV34))^4-1,"")</f>
        <v/>
      </c>
      <c r="AX37" s="10" t="n">
        <v>83.78</v>
      </c>
      <c r="AY37" s="11">
        <f>IF(ISNUMBER(AX37),AX37/AX$65*100,"")</f>
        <v/>
      </c>
      <c r="AZ37" s="12">
        <f>IF(AND(ISNUMBER(AX37),ISNUMBER(AX36)),AX37/AX36-1,"")</f>
        <v/>
      </c>
      <c r="BA37" s="12">
        <f>IF(AND(ISNUMBER(AX37),ISNUMBER(AX25)),AX37/AX25-1,"")</f>
        <v/>
      </c>
      <c r="BB37" s="11" t="n">
        <v>83.871</v>
      </c>
      <c r="BC37" s="12">
        <f>IF(COUNT(BB32:BB37)=6,(AVERAGE(BB35:BB37)/AVERAGE(BB32:BB34))^4-1,"")</f>
        <v/>
      </c>
    </row>
    <row r="38">
      <c r="A38" s="9" t="n">
        <v>43009</v>
      </c>
      <c r="B38" s="10" t="n">
        <v>81.73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81.79519999999999</v>
      </c>
      <c r="G38" s="12">
        <f>IF(COUNT(F33:F38)=6,(AVERAGE(F36:F38)/AVERAGE(F33:F35))^4-1,"")</f>
        <v/>
      </c>
      <c r="H38" s="10" t="n">
        <v>86.63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86.64619999999999</v>
      </c>
      <c r="M38" s="12">
        <f>IF(COUNT(L33:L38)=6,(AVERAGE(L36:L38)/AVERAGE(L33:L35))^4-1,"")</f>
        <v/>
      </c>
      <c r="N38" s="10" t="n">
        <v>83.39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83.4679</v>
      </c>
      <c r="S38" s="12">
        <f>IF(COUNT(R33:R38)=6,(AVERAGE(R36:R38)/AVERAGE(R33:R35))^4-1,"")</f>
        <v/>
      </c>
      <c r="T38" s="10" t="n">
        <v>80.41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80.2748</v>
      </c>
      <c r="Y38" s="12">
        <f>IF(COUNT(X33:X38)=6,(AVERAGE(X36:X38)/AVERAGE(X33:X35))^4-1,"")</f>
        <v/>
      </c>
      <c r="Z38" s="10" t="n">
        <v>84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84.38800000000001</v>
      </c>
      <c r="AE38" s="12">
        <f>IF(COUNT(AD33:AD38)=6,(AVERAGE(AD36:AD38)/AVERAGE(AD33:AD35))^4-1,"")</f>
        <v/>
      </c>
      <c r="AF38" s="10" t="n">
        <v>73.48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73.70999999999999</v>
      </c>
      <c r="AK38" s="12">
        <f>IF(COUNT(AJ33:AJ38)=6,(AVERAGE(AJ36:AJ38)/AVERAGE(AJ33:AJ35))^4-1,"")</f>
        <v/>
      </c>
      <c r="AL38" s="10" t="n">
        <v>68.23999999999999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68.2782</v>
      </c>
      <c r="AQ38" s="12">
        <f>IF(COUNT(AP33:AP38)=6,(AVERAGE(AP36:AP38)/AVERAGE(AP33:AP35))^4-1,"")</f>
        <v/>
      </c>
      <c r="AR38" s="10" t="n">
        <v>80.48999999999999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80.73860000000001</v>
      </c>
      <c r="AW38" s="12">
        <f>IF(COUNT(AV33:AV38)=6,(AVERAGE(AV36:AV38)/AVERAGE(AV33:AV35))^4-1,"")</f>
        <v/>
      </c>
      <c r="AX38" s="10" t="n">
        <v>83.86</v>
      </c>
      <c r="AY38" s="11">
        <f>IF(ISNUMBER(AX38),AX38/AX$65*100,"")</f>
        <v/>
      </c>
      <c r="AZ38" s="12">
        <f>IF(AND(ISNUMBER(AX38),ISNUMBER(AX37)),AX38/AX37-1,"")</f>
        <v/>
      </c>
      <c r="BA38" s="12">
        <f>IF(AND(ISNUMBER(AX38),ISNUMBER(AX26)),AX38/AX26-1,"")</f>
        <v/>
      </c>
      <c r="BB38" s="11" t="n">
        <v>83.9487</v>
      </c>
      <c r="BC38" s="12">
        <f>IF(COUNT(BB33:BB38)=6,(AVERAGE(BB36:BB38)/AVERAGE(BB33:BB35))^4-1,"")</f>
        <v/>
      </c>
    </row>
    <row r="39">
      <c r="A39" s="9" t="n">
        <v>43040</v>
      </c>
      <c r="B39" s="10" t="n">
        <v>81.81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82.01300000000001</v>
      </c>
      <c r="G39" s="12">
        <f>IF(COUNT(F34:F39)=6,(AVERAGE(F37:F39)/AVERAGE(F34:F36))^4-1,"")</f>
        <v/>
      </c>
      <c r="H39" s="10" t="n">
        <v>86.51000000000001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86.7311</v>
      </c>
      <c r="M39" s="12">
        <f>IF(COUNT(L34:L39)=6,(AVERAGE(L37:L39)/AVERAGE(L34:L36))^4-1,"")</f>
        <v/>
      </c>
      <c r="N39" s="10" t="n">
        <v>83.36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83.56319999999999</v>
      </c>
      <c r="S39" s="12">
        <f>IF(COUNT(R34:R39)=6,(AVERAGE(R37:R39)/AVERAGE(R34:R36))^4-1,"")</f>
        <v/>
      </c>
      <c r="T39" s="10" t="n">
        <v>80.67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80.4753</v>
      </c>
      <c r="Y39" s="12">
        <f>IF(COUNT(X34:X39)=6,(AVERAGE(X37:X39)/AVERAGE(X34:X36))^4-1,"")</f>
        <v/>
      </c>
      <c r="Z39" s="10" t="n">
        <v>83.84999999999999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84.5329</v>
      </c>
      <c r="AE39" s="12">
        <f>IF(COUNT(AD34:AD39)=6,(AVERAGE(AD37:AD39)/AVERAGE(AD34:AD36))^4-1,"")</f>
        <v/>
      </c>
      <c r="AF39" s="10" t="n">
        <v>73.69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73.8892</v>
      </c>
      <c r="AK39" s="12">
        <f>IF(COUNT(AJ34:AJ39)=6,(AVERAGE(AJ37:AJ39)/AVERAGE(AJ34:AJ36))^4-1,"")</f>
        <v/>
      </c>
      <c r="AL39" s="10" t="n">
        <v>69.3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69.2313</v>
      </c>
      <c r="AQ39" s="12">
        <f>IF(COUNT(AP34:AP39)=6,(AVERAGE(AP37:AP39)/AVERAGE(AP34:AP36))^4-1,"")</f>
        <v/>
      </c>
      <c r="AR39" s="10" t="n">
        <v>80.56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81.31319999999999</v>
      </c>
      <c r="AW39" s="12">
        <f>IF(COUNT(AV34:AV39)=6,(AVERAGE(AV37:AV39)/AVERAGE(AV34:AV36))^4-1,"")</f>
        <v/>
      </c>
      <c r="AX39" s="10" t="n">
        <v>83.94</v>
      </c>
      <c r="AY39" s="11">
        <f>IF(ISNUMBER(AX39),AX39/AX$65*100,"")</f>
        <v/>
      </c>
      <c r="AZ39" s="12">
        <f>IF(AND(ISNUMBER(AX39),ISNUMBER(AX38)),AX39/AX38-1,"")</f>
        <v/>
      </c>
      <c r="BA39" s="12">
        <f>IF(AND(ISNUMBER(AX39),ISNUMBER(AX27)),AX39/AX27-1,"")</f>
        <v/>
      </c>
      <c r="BB39" s="11" t="n">
        <v>84.1169</v>
      </c>
      <c r="BC39" s="12">
        <f>IF(COUNT(BB34:BB39)=6,(AVERAGE(BB37:BB39)/AVERAGE(BB34:BB36))^4-1,"")</f>
        <v/>
      </c>
    </row>
    <row r="40">
      <c r="A40" s="9" t="n">
        <v>43070</v>
      </c>
      <c r="B40" s="10" t="n">
        <v>82.09999999999999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82.2246</v>
      </c>
      <c r="G40" s="12">
        <f>IF(COUNT(F35:F40)=6,(AVERAGE(F38:F40)/AVERAGE(F35:F37))^4-1,"")</f>
        <v/>
      </c>
      <c r="H40" s="10" t="n">
        <v>86.86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86.834</v>
      </c>
      <c r="M40" s="12">
        <f>IF(COUNT(L35:L40)=6,(AVERAGE(L38:L40)/AVERAGE(L35:L37))^4-1,"")</f>
        <v/>
      </c>
      <c r="N40" s="10" t="n">
        <v>83.65000000000001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83.678</v>
      </c>
      <c r="S40" s="12">
        <f>IF(COUNT(R35:R40)=6,(AVERAGE(R38:R40)/AVERAGE(R35:R37))^4-1,"")</f>
        <v/>
      </c>
      <c r="T40" s="10" t="n">
        <v>80.84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80.7393</v>
      </c>
      <c r="Y40" s="12">
        <f>IF(COUNT(X35:X40)=6,(AVERAGE(X38:X40)/AVERAGE(X35:X37))^4-1,"")</f>
        <v/>
      </c>
      <c r="Z40" s="10" t="n">
        <v>84.3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84.60380000000001</v>
      </c>
      <c r="AE40" s="12">
        <f>IF(COUNT(AD35:AD40)=6,(AVERAGE(AD38:AD40)/AVERAGE(AD35:AD37))^4-1,"")</f>
        <v/>
      </c>
      <c r="AF40" s="10" t="n">
        <v>73.81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73.9845</v>
      </c>
      <c r="AK40" s="12">
        <f>IF(COUNT(AJ35:AJ40)=6,(AVERAGE(AJ38:AJ40)/AVERAGE(AJ35:AJ37))^4-1,"")</f>
        <v/>
      </c>
      <c r="AL40" s="10" t="n">
        <v>69.64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70.17010000000001</v>
      </c>
      <c r="AQ40" s="12">
        <f>IF(COUNT(AP35:AP40)=6,(AVERAGE(AP38:AP40)/AVERAGE(AP35:AP37))^4-1,"")</f>
        <v/>
      </c>
      <c r="AR40" s="10" t="n">
        <v>81.45999999999999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81.9228</v>
      </c>
      <c r="AW40" s="12">
        <f>IF(COUNT(AV35:AV40)=6,(AVERAGE(AV38:AV40)/AVERAGE(AV35:AV37))^4-1,"")</f>
        <v/>
      </c>
      <c r="AX40" s="10" t="n">
        <v>84.20999999999999</v>
      </c>
      <c r="AY40" s="11">
        <f>IF(ISNUMBER(AX40),AX40/AX$65*100,"")</f>
        <v/>
      </c>
      <c r="AZ40" s="12">
        <f>IF(AND(ISNUMBER(AX40),ISNUMBER(AX39)),AX40/AX39-1,"")</f>
        <v/>
      </c>
      <c r="BA40" s="12">
        <f>IF(AND(ISNUMBER(AX40),ISNUMBER(AX28)),AX40/AX28-1,"")</f>
        <v/>
      </c>
      <c r="BB40" s="11" t="n">
        <v>84.32129999999999</v>
      </c>
      <c r="BC40" s="12">
        <f>IF(COUNT(BB35:BB40)=6,(AVERAGE(BB38:BB40)/AVERAGE(BB35:BB37))^4-1,"")</f>
        <v/>
      </c>
    </row>
    <row r="41">
      <c r="A41" s="9" t="n">
        <v>43101</v>
      </c>
      <c r="B41" s="10" t="n">
        <v>82.02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82.3683</v>
      </c>
      <c r="G41" s="12">
        <f>IF(COUNT(F36:F41)=6,(AVERAGE(F39:F41)/AVERAGE(F36:F38))^4-1,"")</f>
        <v/>
      </c>
      <c r="H41" s="10" t="n">
        <v>86.16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86.9259</v>
      </c>
      <c r="M41" s="12">
        <f>IF(COUNT(L36:L41)=6,(AVERAGE(L39:L41)/AVERAGE(L36:L38))^4-1,"")</f>
        <v/>
      </c>
      <c r="N41" s="10" t="n">
        <v>83.18000000000001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83.8031</v>
      </c>
      <c r="S41" s="12">
        <f>IF(COUNT(R36:R41)=6,(AVERAGE(R39:R41)/AVERAGE(R36:R38))^4-1,"")</f>
        <v/>
      </c>
      <c r="T41" s="10" t="n">
        <v>80.59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80.9096</v>
      </c>
      <c r="Y41" s="12">
        <f>IF(COUNT(X36:X41)=6,(AVERAGE(X39:X41)/AVERAGE(X36:X38))^4-1,"")</f>
        <v/>
      </c>
      <c r="Z41" s="10" t="n">
        <v>84.43000000000001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84.82599999999999</v>
      </c>
      <c r="AE41" s="12">
        <f>IF(COUNT(AD36:AD41)=6,(AVERAGE(AD39:AD41)/AVERAGE(AD36:AD38))^4-1,"")</f>
        <v/>
      </c>
      <c r="AF41" s="10" t="n">
        <v>74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74.0278</v>
      </c>
      <c r="AK41" s="12">
        <f>IF(COUNT(AJ36:AJ41)=6,(AVERAGE(AJ39:AJ41)/AVERAGE(AJ36:AJ38))^4-1,"")</f>
        <v/>
      </c>
      <c r="AL41" s="10" t="n">
        <v>72.84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72.4629</v>
      </c>
      <c r="AQ41" s="12">
        <f>IF(COUNT(AP36:AP41)=6,(AVERAGE(AP39:AP41)/AVERAGE(AP36:AP38))^4-1,"")</f>
        <v/>
      </c>
      <c r="AR41" s="10" t="n">
        <v>82.23999999999999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82.2474</v>
      </c>
      <c r="AW41" s="12">
        <f>IF(COUNT(AV36:AV41)=6,(AVERAGE(AV39:AV41)/AVERAGE(AV36:AV38))^4-1,"")</f>
        <v/>
      </c>
      <c r="AX41" s="10" t="n">
        <v>84.13</v>
      </c>
      <c r="AY41" s="11">
        <f>IF(ISNUMBER(AX41),AX41/AX$65*100,"")</f>
        <v/>
      </c>
      <c r="AZ41" s="12">
        <f>IF(AND(ISNUMBER(AX41),ISNUMBER(AX40)),AX41/AX40-1,"")</f>
        <v/>
      </c>
      <c r="BA41" s="12">
        <f>IF(AND(ISNUMBER(AX41),ISNUMBER(AX29)),AX41/AX29-1,"")</f>
        <v/>
      </c>
      <c r="BB41" s="11" t="n">
        <v>84.4755</v>
      </c>
      <c r="BC41" s="12">
        <f>IF(COUNT(BB36:BB41)=6,(AVERAGE(BB39:BB41)/AVERAGE(BB36:BB38))^4-1,"")</f>
        <v/>
      </c>
    </row>
    <row r="42">
      <c r="A42" s="9" t="n">
        <v>43132</v>
      </c>
      <c r="B42" s="10" t="n">
        <v>82.02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82.44710000000001</v>
      </c>
      <c r="G42" s="12">
        <f>IF(COUNT(F37:F42)=6,(AVERAGE(F40:F42)/AVERAGE(F37:F39))^4-1,"")</f>
        <v/>
      </c>
      <c r="H42" s="10" t="n">
        <v>86.18000000000001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86.77460000000001</v>
      </c>
      <c r="M42" s="12">
        <f>IF(COUNT(L37:L42)=6,(AVERAGE(L40:L42)/AVERAGE(L37:L39))^4-1,"")</f>
        <v/>
      </c>
      <c r="N42" s="10" t="n">
        <v>83.17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83.6461</v>
      </c>
      <c r="S42" s="12">
        <f>IF(COUNT(R37:R42)=6,(AVERAGE(R40:R42)/AVERAGE(R37:R39))^4-1,"")</f>
        <v/>
      </c>
      <c r="T42" s="10" t="n">
        <v>80.48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81.0339</v>
      </c>
      <c r="Y42" s="12">
        <f>IF(COUNT(X37:X42)=6,(AVERAGE(X40:X42)/AVERAGE(X37:X39))^4-1,"")</f>
        <v/>
      </c>
      <c r="Z42" s="10" t="n">
        <v>84.56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84.8034</v>
      </c>
      <c r="AE42" s="12">
        <f>IF(COUNT(AD37:AD42)=6,(AVERAGE(AD40:AD42)/AVERAGE(AD37:AD39))^4-1,"")</f>
        <v/>
      </c>
      <c r="AF42" s="10" t="n">
        <v>73.92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73.962</v>
      </c>
      <c r="AK42" s="12">
        <f>IF(COUNT(AJ37:AJ42)=6,(AVERAGE(AJ40:AJ42)/AVERAGE(AJ37:AJ39))^4-1,"")</f>
        <v/>
      </c>
      <c r="AL42" s="10" t="n">
        <v>72.86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72.12820000000001</v>
      </c>
      <c r="AQ42" s="12">
        <f>IF(COUNT(AP37:AP42)=6,(AVERAGE(AP40:AP42)/AVERAGE(AP37:AP39))^4-1,"")</f>
        <v/>
      </c>
      <c r="AR42" s="10" t="n">
        <v>82.58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82.5598</v>
      </c>
      <c r="AW42" s="12">
        <f>IF(COUNT(AV37:AV42)=6,(AVERAGE(AV40:AV42)/AVERAGE(AV37:AV39))^4-1,"")</f>
        <v/>
      </c>
      <c r="AX42" s="10" t="n">
        <v>84.09999999999999</v>
      </c>
      <c r="AY42" s="11">
        <f>IF(ISNUMBER(AX42),AX42/AX$65*100,"")</f>
        <v/>
      </c>
      <c r="AZ42" s="12">
        <f>IF(AND(ISNUMBER(AX42),ISNUMBER(AX41)),AX42/AX41-1,"")</f>
        <v/>
      </c>
      <c r="BA42" s="12">
        <f>IF(AND(ISNUMBER(AX42),ISNUMBER(AX30)),AX42/AX30-1,"")</f>
        <v/>
      </c>
      <c r="BB42" s="11" t="n">
        <v>84.4881</v>
      </c>
      <c r="BC42" s="12">
        <f>IF(COUNT(BB37:BB42)=6,(AVERAGE(BB40:BB42)/AVERAGE(BB37:BB39))^4-1,"")</f>
        <v/>
      </c>
    </row>
    <row r="43">
      <c r="A43" s="9" t="n">
        <v>43160</v>
      </c>
      <c r="B43" s="10" t="n">
        <v>82.95999999999999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82.842</v>
      </c>
      <c r="G43" s="12">
        <f>IF(COUNT(F38:F43)=6,(AVERAGE(F41:F43)/AVERAGE(F38:F40))^4-1,"")</f>
        <v/>
      </c>
      <c r="H43" s="10" t="n">
        <v>87.23999999999999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87.2122</v>
      </c>
      <c r="M43" s="12">
        <f>IF(COUNT(L38:L43)=6,(AVERAGE(L41:L43)/AVERAGE(L38:L40))^4-1,"")</f>
        <v/>
      </c>
      <c r="N43" s="10" t="n">
        <v>84.28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84.2332</v>
      </c>
      <c r="S43" s="12">
        <f>IF(COUNT(R38:R43)=6,(AVERAGE(R41:R43)/AVERAGE(R38:R40))^4-1,"")</f>
        <v/>
      </c>
      <c r="T43" s="10" t="n">
        <v>81.8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81.45050000000001</v>
      </c>
      <c r="Y43" s="12">
        <f>IF(COUNT(X38:X43)=6,(AVERAGE(X41:X43)/AVERAGE(X38:X40))^4-1,"")</f>
        <v/>
      </c>
      <c r="Z43" s="10" t="n">
        <v>85.01000000000001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85.28660000000001</v>
      </c>
      <c r="AE43" s="12">
        <f>IF(COUNT(AD38:AD43)=6,(AVERAGE(AD41:AD43)/AVERAGE(AD38:AD40))^4-1,"")</f>
        <v/>
      </c>
      <c r="AF43" s="10" t="n">
        <v>75.17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75.0219</v>
      </c>
      <c r="AK43" s="12">
        <f>IF(COUNT(AJ38:AJ43)=6,(AVERAGE(AJ41:AJ43)/AVERAGE(AJ38:AJ40))^4-1,"")</f>
        <v/>
      </c>
      <c r="AL43" s="10" t="n">
        <v>72.36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72.1186</v>
      </c>
      <c r="AQ43" s="12">
        <f>IF(COUNT(AP38:AP43)=6,(AVERAGE(AP41:AP43)/AVERAGE(AP38:AP40))^4-1,"")</f>
        <v/>
      </c>
      <c r="AR43" s="10" t="n">
        <v>82.44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82.8057</v>
      </c>
      <c r="AW43" s="12">
        <f>IF(COUNT(AV38:AV43)=6,(AVERAGE(AV41:AV43)/AVERAGE(AV38:AV40))^4-1,"")</f>
        <v/>
      </c>
      <c r="AX43" s="10" t="n">
        <v>84.95</v>
      </c>
      <c r="AY43" s="11">
        <f>IF(ISNUMBER(AX43),AX43/AX$65*100,"")</f>
        <v/>
      </c>
      <c r="AZ43" s="12">
        <f>IF(AND(ISNUMBER(AX43),ISNUMBER(AX42)),AX43/AX42-1,"")</f>
        <v/>
      </c>
      <c r="BA43" s="12">
        <f>IF(AND(ISNUMBER(AX43),ISNUMBER(AX31)),AX43/AX31-1,"")</f>
        <v/>
      </c>
      <c r="BB43" s="11" t="n">
        <v>84.8473</v>
      </c>
      <c r="BC43" s="12">
        <f>IF(COUNT(BB38:BB43)=6,(AVERAGE(BB41:BB43)/AVERAGE(BB38:BB40))^4-1,"")</f>
        <v/>
      </c>
    </row>
    <row r="44">
      <c r="A44" s="9" t="n">
        <v>43191</v>
      </c>
      <c r="B44" s="10" t="n">
        <v>83.12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82.958</v>
      </c>
      <c r="G44" s="12">
        <f>IF(COUNT(F39:F44)=6,(AVERAGE(F42:F44)/AVERAGE(F39:F41))^4-1,"")</f>
        <v/>
      </c>
      <c r="H44" s="10" t="n">
        <v>87.37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87.1101</v>
      </c>
      <c r="M44" s="12">
        <f>IF(COUNT(L39:L44)=6,(AVERAGE(L42:L44)/AVERAGE(L39:L41))^4-1,"")</f>
        <v/>
      </c>
      <c r="N44" s="10" t="n">
        <v>84.39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84.1897</v>
      </c>
      <c r="S44" s="12">
        <f>IF(COUNT(R39:R44)=6,(AVERAGE(R42:R44)/AVERAGE(R39:R41))^4-1,"")</f>
        <v/>
      </c>
      <c r="T44" s="10" t="n">
        <v>81.98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81.6489</v>
      </c>
      <c r="Y44" s="12">
        <f>IF(COUNT(X39:X44)=6,(AVERAGE(X42:X44)/AVERAGE(X39:X41))^4-1,"")</f>
        <v/>
      </c>
      <c r="Z44" s="10" t="n">
        <v>85.16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85.126</v>
      </c>
      <c r="AE44" s="12">
        <f>IF(COUNT(AD39:AD44)=6,(AVERAGE(AD42:AD44)/AVERAGE(AD39:AD41))^4-1,"")</f>
        <v/>
      </c>
      <c r="AF44" s="10" t="n">
        <v>75.22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75.14490000000001</v>
      </c>
      <c r="AK44" s="12">
        <f>IF(COUNT(AJ39:AJ44)=6,(AVERAGE(AJ42:AJ44)/AVERAGE(AJ39:AJ41))^4-1,"")</f>
        <v/>
      </c>
      <c r="AL44" s="10" t="n">
        <v>73.02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72.70050000000001</v>
      </c>
      <c r="AQ44" s="12">
        <f>IF(COUNT(AP39:AP44)=6,(AVERAGE(AP42:AP44)/AVERAGE(AP39:AP41))^4-1,"")</f>
        <v/>
      </c>
      <c r="AR44" s="10" t="n">
        <v>83.51000000000001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83</v>
      </c>
      <c r="AW44" s="12">
        <f>IF(COUNT(AV39:AV44)=6,(AVERAGE(AV42:AV44)/AVERAGE(AV39:AV41))^4-1,"")</f>
        <v/>
      </c>
      <c r="AX44" s="10" t="n">
        <v>85.09</v>
      </c>
      <c r="AY44" s="11">
        <f>IF(ISNUMBER(AX44),AX44/AX$65*100,"")</f>
        <v/>
      </c>
      <c r="AZ44" s="12">
        <f>IF(AND(ISNUMBER(AX44),ISNUMBER(AX43)),AX44/AX43-1,"")</f>
        <v/>
      </c>
      <c r="BA44" s="12">
        <f>IF(AND(ISNUMBER(AX44),ISNUMBER(AX32)),AX44/AX32-1,"")</f>
        <v/>
      </c>
      <c r="BB44" s="11" t="n">
        <v>84.9447</v>
      </c>
      <c r="BC44" s="12">
        <f>IF(COUNT(BB39:BB44)=6,(AVERAGE(BB42:BB44)/AVERAGE(BB39:BB41))^4-1,"")</f>
        <v/>
      </c>
    </row>
    <row r="45">
      <c r="A45" s="9" t="n">
        <v>43221</v>
      </c>
      <c r="B45" s="10" t="n">
        <v>83.51000000000001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83.2286</v>
      </c>
      <c r="G45" s="12">
        <f>IF(COUNT(F40:F45)=6,(AVERAGE(F43:F45)/AVERAGE(F40:F42))^4-1,"")</f>
        <v/>
      </c>
      <c r="H45" s="10" t="n">
        <v>87.56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87.315</v>
      </c>
      <c r="M45" s="12">
        <f>IF(COUNT(L40:L45)=6,(AVERAGE(L43:L45)/AVERAGE(L40:L42))^4-1,"")</f>
        <v/>
      </c>
      <c r="N45" s="10" t="n">
        <v>84.67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84.2882</v>
      </c>
      <c r="S45" s="12">
        <f>IF(COUNT(R40:R45)=6,(AVERAGE(R43:R45)/AVERAGE(R40:R42))^4-1,"")</f>
        <v/>
      </c>
      <c r="T45" s="10" t="n">
        <v>82.58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82.0391</v>
      </c>
      <c r="Y45" s="12">
        <f>IF(COUNT(X40:X45)=6,(AVERAGE(X43:X45)/AVERAGE(X40:X42))^4-1,"")</f>
        <v/>
      </c>
      <c r="Z45" s="10" t="n">
        <v>85.29000000000001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85.279</v>
      </c>
      <c r="AE45" s="12">
        <f>IF(COUNT(AD40:AD45)=6,(AVERAGE(AD43:AD45)/AVERAGE(AD40:AD42))^4-1,"")</f>
        <v/>
      </c>
      <c r="AF45" s="10" t="n">
        <v>75.76000000000001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75.3416</v>
      </c>
      <c r="AK45" s="12">
        <f>IF(COUNT(AJ40:AJ45)=6,(AVERAGE(AJ43:AJ45)/AVERAGE(AJ40:AJ42))^4-1,"")</f>
        <v/>
      </c>
      <c r="AL45" s="10" t="n">
        <v>74.42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74.1387</v>
      </c>
      <c r="AQ45" s="12">
        <f>IF(COUNT(AP40:AP45)=6,(AVERAGE(AP43:AP45)/AVERAGE(AP40:AP42))^4-1,"")</f>
        <v/>
      </c>
      <c r="AR45" s="10" t="n">
        <v>83.95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83.8723</v>
      </c>
      <c r="AW45" s="12">
        <f>IF(COUNT(AV40:AV45)=6,(AVERAGE(AV43:AV45)/AVERAGE(AV40:AV42))^4-1,"")</f>
        <v/>
      </c>
      <c r="AX45" s="10" t="n">
        <v>85.45999999999999</v>
      </c>
      <c r="AY45" s="11">
        <f>IF(ISNUMBER(AX45),AX45/AX$65*100,"")</f>
        <v/>
      </c>
      <c r="AZ45" s="12">
        <f>IF(AND(ISNUMBER(AX45),ISNUMBER(AX44)),AX45/AX44-1,"")</f>
        <v/>
      </c>
      <c r="BA45" s="12">
        <f>IF(AND(ISNUMBER(AX45),ISNUMBER(AX33)),AX45/AX33-1,"")</f>
        <v/>
      </c>
      <c r="BB45" s="11" t="n">
        <v>85.1972</v>
      </c>
      <c r="BC45" s="12">
        <f>IF(COUNT(BB40:BB45)=6,(AVERAGE(BB43:BB45)/AVERAGE(BB40:BB42))^4-1,"")</f>
        <v/>
      </c>
    </row>
    <row r="46">
      <c r="A46" s="9" t="n">
        <v>43252</v>
      </c>
      <c r="B46" s="10" t="n">
        <v>83.53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83.2364</v>
      </c>
      <c r="G46" s="12">
        <f>IF(COUNT(F41:F46)=6,(AVERAGE(F44:F46)/AVERAGE(F41:F43))^4-1,"")</f>
        <v/>
      </c>
      <c r="H46" s="10" t="n">
        <v>87.52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87.1317</v>
      </c>
      <c r="M46" s="12">
        <f>IF(COUNT(L41:L46)=6,(AVERAGE(L44:L46)/AVERAGE(L41:L43))^4-1,"")</f>
        <v/>
      </c>
      <c r="N46" s="10" t="n">
        <v>84.61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84.30119999999999</v>
      </c>
      <c r="S46" s="12">
        <f>IF(COUNT(R41:R46)=6,(AVERAGE(R44:R46)/AVERAGE(R41:R43))^4-1,"")</f>
        <v/>
      </c>
      <c r="T46" s="10" t="n">
        <v>82.64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82.2398</v>
      </c>
      <c r="Y46" s="12">
        <f>IF(COUNT(X41:X46)=6,(AVERAGE(X44:X46)/AVERAGE(X41:X43))^4-1,"")</f>
        <v/>
      </c>
      <c r="Z46" s="10" t="n">
        <v>85.23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85.1039</v>
      </c>
      <c r="AE46" s="12">
        <f>IF(COUNT(AD41:AD46)=6,(AVERAGE(AD44:AD46)/AVERAGE(AD41:AD43))^4-1,"")</f>
        <v/>
      </c>
      <c r="AF46" s="10" t="n">
        <v>75.64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75.5461</v>
      </c>
      <c r="AK46" s="12">
        <f>IF(COUNT(AJ41:AJ46)=6,(AVERAGE(AJ44:AJ46)/AVERAGE(AJ41:AJ43))^4-1,"")</f>
        <v/>
      </c>
      <c r="AL46" s="10" t="n">
        <v>75.03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75.10639999999999</v>
      </c>
      <c r="AQ46" s="12">
        <f>IF(COUNT(AP41:AP46)=6,(AVERAGE(AP44:AP46)/AVERAGE(AP41:AP43))^4-1,"")</f>
        <v/>
      </c>
      <c r="AR46" s="10" t="n">
        <v>84.17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84.06399999999999</v>
      </c>
      <c r="AW46" s="12">
        <f>IF(COUNT(AV41:AV46)=6,(AVERAGE(AV44:AV46)/AVERAGE(AV41:AV43))^4-1,"")</f>
        <v/>
      </c>
      <c r="AX46" s="10" t="n">
        <v>85.47</v>
      </c>
      <c r="AY46" s="11">
        <f>IF(ISNUMBER(AX46),AX46/AX$65*100,"")</f>
        <v/>
      </c>
      <c r="AZ46" s="12">
        <f>IF(AND(ISNUMBER(AX46),ISNUMBER(AX45)),AX46/AX45-1,"")</f>
        <v/>
      </c>
      <c r="BA46" s="12">
        <f>IF(AND(ISNUMBER(AX46),ISNUMBER(AX34)),AX46/AX34-1,"")</f>
        <v/>
      </c>
      <c r="BB46" s="11" t="n">
        <v>85.2012</v>
      </c>
      <c r="BC46" s="12">
        <f>IF(COUNT(BB41:BB46)=6,(AVERAGE(BB44:BB46)/AVERAGE(BB41:BB43))^4-1,"")</f>
        <v/>
      </c>
    </row>
    <row r="47">
      <c r="A47" s="9" t="n">
        <v>43282</v>
      </c>
      <c r="B47" s="10" t="n">
        <v>83.42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83.3017</v>
      </c>
      <c r="G47" s="12">
        <f>IF(COUNT(F42:F47)=6,(AVERAGE(F45:F47)/AVERAGE(F42:F44))^4-1,"")</f>
        <v/>
      </c>
      <c r="H47" s="10" t="n">
        <v>87.26000000000001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87.2111</v>
      </c>
      <c r="M47" s="12">
        <f>IF(COUNT(L42:L47)=6,(AVERAGE(L45:L47)/AVERAGE(L42:L44))^4-1,"")</f>
        <v/>
      </c>
      <c r="N47" s="10" t="n">
        <v>84.45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84.4032</v>
      </c>
      <c r="S47" s="12">
        <f>IF(COUNT(R42:R47)=6,(AVERAGE(R45:R47)/AVERAGE(R42:R44))^4-1,"")</f>
        <v/>
      </c>
      <c r="T47" s="10" t="n">
        <v>81.58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82.2919</v>
      </c>
      <c r="Y47" s="12">
        <f>IF(COUNT(X42:X47)=6,(AVERAGE(X45:X47)/AVERAGE(X42:X44))^4-1,"")</f>
        <v/>
      </c>
      <c r="Z47" s="10" t="n">
        <v>86.38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85.2637</v>
      </c>
      <c r="AE47" s="12">
        <f>IF(COUNT(AD42:AD47)=6,(AVERAGE(AD45:AD47)/AVERAGE(AD42:AD44))^4-1,"")</f>
        <v/>
      </c>
      <c r="AF47" s="10" t="n">
        <v>75.76000000000001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75.70489999999999</v>
      </c>
      <c r="AK47" s="12">
        <f>IF(COUNT(AJ42:AJ47)=6,(AVERAGE(AJ45:AJ47)/AVERAGE(AJ42:AJ44))^4-1,"")</f>
        <v/>
      </c>
      <c r="AL47" s="10" t="n">
        <v>75.40000000000001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75.7706</v>
      </c>
      <c r="AQ47" s="12">
        <f>IF(COUNT(AP42:AP47)=6,(AVERAGE(AP45:AP47)/AVERAGE(AP42:AP44))^4-1,"")</f>
        <v/>
      </c>
      <c r="AR47" s="10" t="n">
        <v>85.34999999999999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84.33839999999999</v>
      </c>
      <c r="AW47" s="12">
        <f>IF(COUNT(AV42:AV47)=6,(AVERAGE(AV45:AV47)/AVERAGE(AV42:AV44))^4-1,"")</f>
        <v/>
      </c>
      <c r="AX47" s="10" t="n">
        <v>85.39</v>
      </c>
      <c r="AY47" s="11">
        <f>IF(ISNUMBER(AX47),AX47/AX$65*100,"")</f>
        <v/>
      </c>
      <c r="AZ47" s="12">
        <f>IF(AND(ISNUMBER(AX47),ISNUMBER(AX46)),AX47/AX46-1,"")</f>
        <v/>
      </c>
      <c r="BA47" s="12">
        <f>IF(AND(ISNUMBER(AX47),ISNUMBER(AX35)),AX47/AX35-1,"")</f>
        <v/>
      </c>
      <c r="BB47" s="11" t="n">
        <v>85.26600000000001</v>
      </c>
      <c r="BC47" s="12">
        <f>IF(COUNT(BB42:BB47)=6,(AVERAGE(BB45:BB47)/AVERAGE(BB42:BB44))^4-1,"")</f>
        <v/>
      </c>
    </row>
    <row r="48">
      <c r="A48" s="9" t="n">
        <v>43313</v>
      </c>
      <c r="B48" s="10" t="n">
        <v>83.86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83.53060000000001</v>
      </c>
      <c r="G48" s="12">
        <f>IF(COUNT(F43:F48)=6,(AVERAGE(F46:F48)/AVERAGE(F43:F45))^4-1,"")</f>
        <v/>
      </c>
      <c r="H48" s="10" t="n">
        <v>87.84999999999999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87.2897</v>
      </c>
      <c r="M48" s="12">
        <f>IF(COUNT(L43:L48)=6,(AVERAGE(L46:L48)/AVERAGE(L43:L45))^4-1,"")</f>
        <v/>
      </c>
      <c r="N48" s="10" t="n">
        <v>84.94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84.4915</v>
      </c>
      <c r="S48" s="12">
        <f>IF(COUNT(R43:R48)=6,(AVERAGE(R46:R48)/AVERAGE(R43:R45))^4-1,"")</f>
        <v/>
      </c>
      <c r="T48" s="10" t="n">
        <v>82.15000000000001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82.5722</v>
      </c>
      <c r="Y48" s="12">
        <f>IF(COUNT(X43:X48)=6,(AVERAGE(X46:X48)/AVERAGE(X43:X45))^4-1,"")</f>
        <v/>
      </c>
      <c r="Z48" s="10" t="n">
        <v>86.66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85.40940000000001</v>
      </c>
      <c r="AE48" s="12">
        <f>IF(COUNT(AD43:AD48)=6,(AVERAGE(AD46:AD48)/AVERAGE(AD43:AD45))^4-1,"")</f>
        <v/>
      </c>
      <c r="AF48" s="10" t="n">
        <v>75.95999999999999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75.9217</v>
      </c>
      <c r="AK48" s="12">
        <f>IF(COUNT(AJ43:AJ48)=6,(AVERAGE(AJ46:AJ48)/AVERAGE(AJ43:AJ45))^4-1,"")</f>
        <v/>
      </c>
      <c r="AL48" s="10" t="n">
        <v>75.42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76.0433</v>
      </c>
      <c r="AQ48" s="12">
        <f>IF(COUNT(AP43:AP48)=6,(AVERAGE(AP46:AP48)/AVERAGE(AP43:AP45))^4-1,"")</f>
        <v/>
      </c>
      <c r="AR48" s="10" t="n">
        <v>85.48999999999999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84.68049999999999</v>
      </c>
      <c r="AW48" s="12">
        <f>IF(COUNT(AV43:AV48)=6,(AVERAGE(AV46:AV48)/AVERAGE(AV43:AV45))^4-1,"")</f>
        <v/>
      </c>
      <c r="AX48" s="10" t="n">
        <v>85.8</v>
      </c>
      <c r="AY48" s="11">
        <f>IF(ISNUMBER(AX48),AX48/AX$65*100,"")</f>
        <v/>
      </c>
      <c r="AZ48" s="12">
        <f>IF(AND(ISNUMBER(AX48),ISNUMBER(AX47)),AX48/AX47-1,"")</f>
        <v/>
      </c>
      <c r="BA48" s="12">
        <f>IF(AND(ISNUMBER(AX48),ISNUMBER(AX36)),AX48/AX36-1,"")</f>
        <v/>
      </c>
      <c r="BB48" s="11" t="n">
        <v>85.4722</v>
      </c>
      <c r="BC48" s="12">
        <f>IF(COUNT(BB43:BB48)=6,(AVERAGE(BB46:BB48)/AVERAGE(BB43:BB45))^4-1,"")</f>
        <v/>
      </c>
    </row>
    <row r="49">
      <c r="A49" s="9" t="n">
        <v>43344</v>
      </c>
      <c r="B49" s="10" t="n">
        <v>83.67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83.8295</v>
      </c>
      <c r="G49" s="12">
        <f>IF(COUNT(F44:F49)=6,(AVERAGE(F47:F49)/AVERAGE(F44:F46))^4-1,"")</f>
        <v/>
      </c>
      <c r="H49" s="10" t="n">
        <v>87.33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87.2897</v>
      </c>
      <c r="M49" s="12">
        <f>IF(COUNT(L44:L49)=6,(AVERAGE(L47:L49)/AVERAGE(L44:L46))^4-1,"")</f>
        <v/>
      </c>
      <c r="N49" s="10" t="n">
        <v>84.64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84.6808</v>
      </c>
      <c r="S49" s="12">
        <f>IF(COUNT(R44:R49)=6,(AVERAGE(R47:R49)/AVERAGE(R44:R46))^4-1,"")</f>
        <v/>
      </c>
      <c r="T49" s="10" t="n">
        <v>82.98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83.04219999999999</v>
      </c>
      <c r="Y49" s="12">
        <f>IF(COUNT(X44:X49)=6,(AVERAGE(X47:X49)/AVERAGE(X44:X46))^4-1,"")</f>
        <v/>
      </c>
      <c r="Z49" s="10" t="n">
        <v>85.13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85.4127</v>
      </c>
      <c r="AE49" s="12">
        <f>IF(COUNT(AD44:AD49)=6,(AVERAGE(AD47:AD49)/AVERAGE(AD44:AD46))^4-1,"")</f>
        <v/>
      </c>
      <c r="AF49" s="10" t="n">
        <v>76.33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76.4992</v>
      </c>
      <c r="AK49" s="12">
        <f>IF(COUNT(AJ44:AJ49)=6,(AVERAGE(AJ47:AJ49)/AVERAGE(AJ44:AJ46))^4-1,"")</f>
        <v/>
      </c>
      <c r="AL49" s="10" t="n">
        <v>76.12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76.86199999999999</v>
      </c>
      <c r="AQ49" s="12">
        <f>IF(COUNT(AP44:AP49)=6,(AVERAGE(AP47:AP49)/AVERAGE(AP44:AP46))^4-1,"")</f>
        <v/>
      </c>
      <c r="AR49" s="10" t="n">
        <v>84.05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84.879</v>
      </c>
      <c r="AW49" s="12">
        <f>IF(COUNT(AV44:AV49)=6,(AVERAGE(AV47:AV49)/AVERAGE(AV44:AV46))^4-1,"")</f>
        <v/>
      </c>
      <c r="AX49" s="10" t="n">
        <v>85.62</v>
      </c>
      <c r="AY49" s="11">
        <f>IF(ISNUMBER(AX49),AX49/AX$65*100,"")</f>
        <v/>
      </c>
      <c r="AZ49" s="12">
        <f>IF(AND(ISNUMBER(AX49),ISNUMBER(AX48)),AX49/AX48-1,"")</f>
        <v/>
      </c>
      <c r="BA49" s="12">
        <f>IF(AND(ISNUMBER(AX49),ISNUMBER(AX37)),AX49/AX37-1,"")</f>
        <v/>
      </c>
      <c r="BB49" s="11" t="n">
        <v>85.7561</v>
      </c>
      <c r="BC49" s="12">
        <f>IF(COUNT(BB44:BB49)=6,(AVERAGE(BB47:BB49)/AVERAGE(BB44:BB46))^4-1,"")</f>
        <v/>
      </c>
    </row>
    <row r="50">
      <c r="A50" s="9" t="n">
        <v>43374</v>
      </c>
      <c r="B50" s="10" t="n">
        <v>83.77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83.8338</v>
      </c>
      <c r="G50" s="12">
        <f>IF(COUNT(F45:F50)=6,(AVERAGE(F48:F50)/AVERAGE(F45:F47))^4-1,"")</f>
        <v/>
      </c>
      <c r="H50" s="10" t="n">
        <v>87.3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87.3158</v>
      </c>
      <c r="M50" s="12">
        <f>IF(COUNT(L45:L50)=6,(AVERAGE(L48:L50)/AVERAGE(L45:L47))^4-1,"")</f>
        <v/>
      </c>
      <c r="N50" s="10" t="n">
        <v>84.59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84.6768</v>
      </c>
      <c r="S50" s="12">
        <f>IF(COUNT(R45:R50)=6,(AVERAGE(R48:R50)/AVERAGE(R45:R47))^4-1,"")</f>
        <v/>
      </c>
      <c r="T50" s="10" t="n">
        <v>83.2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83.0992</v>
      </c>
      <c r="Y50" s="12">
        <f>IF(COUNT(X45:X50)=6,(AVERAGE(X48:X50)/AVERAGE(X45:X47))^4-1,"")</f>
        <v/>
      </c>
      <c r="Z50" s="10" t="n">
        <v>85.06999999999999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85.4618</v>
      </c>
      <c r="AE50" s="12">
        <f>IF(COUNT(AD45:AD50)=6,(AVERAGE(AD48:AD50)/AVERAGE(AD45:AD47))^4-1,"")</f>
        <v/>
      </c>
      <c r="AF50" s="10" t="n">
        <v>76.23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76.52070000000001</v>
      </c>
      <c r="AK50" s="12">
        <f>IF(COUNT(AJ45:AJ50)=6,(AVERAGE(AJ48:AJ50)/AVERAGE(AJ45:AJ47))^4-1,"")</f>
        <v/>
      </c>
      <c r="AL50" s="10" t="n">
        <v>77.48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77.41289999999999</v>
      </c>
      <c r="AQ50" s="12">
        <f>IF(COUNT(AP45:AP50)=6,(AVERAGE(AP48:AP50)/AVERAGE(AP45:AP47))^4-1,"")</f>
        <v/>
      </c>
      <c r="AR50" s="10" t="n">
        <v>84.91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85.17870000000001</v>
      </c>
      <c r="AW50" s="12">
        <f>IF(COUNT(AV45:AV50)=6,(AVERAGE(AV48:AV50)/AVERAGE(AV45:AV47))^4-1,"")</f>
        <v/>
      </c>
      <c r="AX50" s="10" t="n">
        <v>85.70999999999999</v>
      </c>
      <c r="AY50" s="11">
        <f>IF(ISNUMBER(AX50),AX50/AX$65*100,"")</f>
        <v/>
      </c>
      <c r="AZ50" s="12">
        <f>IF(AND(ISNUMBER(AX50),ISNUMBER(AX49)),AX50/AX49-1,"")</f>
        <v/>
      </c>
      <c r="BA50" s="12">
        <f>IF(AND(ISNUMBER(AX50),ISNUMBER(AX38)),AX50/AX38-1,"")</f>
        <v/>
      </c>
      <c r="BB50" s="11" t="n">
        <v>85.8141</v>
      </c>
      <c r="BC50" s="12">
        <f>IF(COUNT(BB45:BB50)=6,(AVERAGE(BB48:BB50)/AVERAGE(BB45:BB47))^4-1,"")</f>
        <v/>
      </c>
    </row>
    <row r="51">
      <c r="A51" s="9" t="n">
        <v>43405</v>
      </c>
      <c r="B51" s="10" t="n">
        <v>83.58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83.81189999999999</v>
      </c>
      <c r="G51" s="12">
        <f>IF(COUNT(F46:F51)=6,(AVERAGE(F49:F51)/AVERAGE(F46:F48))^4-1,"")</f>
        <v/>
      </c>
      <c r="H51" s="10" t="n">
        <v>87.14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87.3841</v>
      </c>
      <c r="M51" s="12">
        <f>IF(COUNT(L46:L51)=6,(AVERAGE(L49:L51)/AVERAGE(L46:L48))^4-1,"")</f>
        <v/>
      </c>
      <c r="N51" s="10" t="n">
        <v>84.44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84.6597</v>
      </c>
      <c r="S51" s="12">
        <f>IF(COUNT(R46:R51)=6,(AVERAGE(R49:R51)/AVERAGE(R46:R48))^4-1,"")</f>
        <v/>
      </c>
      <c r="T51" s="10" t="n">
        <v>83.06999999999999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82.86060000000001</v>
      </c>
      <c r="Y51" s="12">
        <f>IF(COUNT(X46:X51)=6,(AVERAGE(X49:X51)/AVERAGE(X46:X48))^4-1,"")</f>
        <v/>
      </c>
      <c r="Z51" s="10" t="n">
        <v>84.8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85.4969</v>
      </c>
      <c r="AE51" s="12">
        <f>IF(COUNT(AD46:AD51)=6,(AVERAGE(AD49:AD51)/AVERAGE(AD46:AD48))^4-1,"")</f>
        <v/>
      </c>
      <c r="AF51" s="10" t="n">
        <v>76.09999999999999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76.3261</v>
      </c>
      <c r="AK51" s="12">
        <f>IF(COUNT(AJ46:AJ51)=6,(AVERAGE(AJ49:AJ51)/AVERAGE(AJ46:AJ48))^4-1,"")</f>
        <v/>
      </c>
      <c r="AL51" s="10" t="n">
        <v>76.95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76.736</v>
      </c>
      <c r="AQ51" s="12">
        <f>IF(COUNT(AP46:AP51)=6,(AVERAGE(AP49:AP51)/AVERAGE(AP46:AP48))^4-1,"")</f>
        <v/>
      </c>
      <c r="AR51" s="10" t="n">
        <v>83.78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84.5001</v>
      </c>
      <c r="AW51" s="12">
        <f>IF(COUNT(AV46:AV51)=6,(AVERAGE(AV49:AV51)/AVERAGE(AV46:AV48))^4-1,"")</f>
        <v/>
      </c>
      <c r="AX51" s="10" t="n">
        <v>85.53</v>
      </c>
      <c r="AY51" s="11">
        <f>IF(ISNUMBER(AX51),AX51/AX$65*100,"")</f>
        <v/>
      </c>
      <c r="AZ51" s="12">
        <f>IF(AND(ISNUMBER(AX51),ISNUMBER(AX50)),AX51/AX50-1,"")</f>
        <v/>
      </c>
      <c r="BA51" s="12">
        <f>IF(AND(ISNUMBER(AX51),ISNUMBER(AX39)),AX51/AX39-1,"")</f>
        <v/>
      </c>
      <c r="BB51" s="11" t="n">
        <v>85.7189</v>
      </c>
      <c r="BC51" s="12">
        <f>IF(COUNT(BB46:BB51)=6,(AVERAGE(BB49:BB51)/AVERAGE(BB46:BB48))^4-1,"")</f>
        <v/>
      </c>
    </row>
    <row r="52">
      <c r="A52" s="9" t="n">
        <v>43435</v>
      </c>
      <c r="B52" s="10" t="n">
        <v>83.66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83.83240000000001</v>
      </c>
      <c r="G52" s="12">
        <f>IF(COUNT(F47:F52)=6,(AVERAGE(F50:F52)/AVERAGE(F47:F49))^4-1,"")</f>
        <v/>
      </c>
      <c r="H52" s="10" t="n">
        <v>87.40000000000001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87.43640000000001</v>
      </c>
      <c r="M52" s="12">
        <f>IF(COUNT(L47:L52)=6,(AVERAGE(L50:L52)/AVERAGE(L47:L49))^4-1,"")</f>
        <v/>
      </c>
      <c r="N52" s="10" t="n">
        <v>84.73999999999999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84.81399999999999</v>
      </c>
      <c r="S52" s="12">
        <f>IF(COUNT(R47:R52)=6,(AVERAGE(R50:R52)/AVERAGE(R47:R49))^4-1,"")</f>
        <v/>
      </c>
      <c r="T52" s="10" t="n">
        <v>82.89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82.8122</v>
      </c>
      <c r="Y52" s="12">
        <f>IF(COUNT(X47:X52)=6,(AVERAGE(X50:X52)/AVERAGE(X47:X49))^4-1,"")</f>
        <v/>
      </c>
      <c r="Z52" s="10" t="n">
        <v>85.20999999999999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85.5587</v>
      </c>
      <c r="AE52" s="12">
        <f>IF(COUNT(AD47:AD52)=6,(AVERAGE(AD50:AD52)/AVERAGE(AD47:AD49))^4-1,"")</f>
        <v/>
      </c>
      <c r="AF52" s="10" t="n">
        <v>76.48999999999999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76.6992</v>
      </c>
      <c r="AK52" s="12">
        <f>IF(COUNT(AJ47:AJ52)=6,(AVERAGE(AJ50:AJ52)/AVERAGE(AJ47:AJ49))^4-1,"")</f>
        <v/>
      </c>
      <c r="AL52" s="10" t="n">
        <v>75.20999999999999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75.81529999999999</v>
      </c>
      <c r="AQ52" s="12">
        <f>IF(COUNT(AP47:AP52)=6,(AVERAGE(AP50:AP52)/AVERAGE(AP47:AP49))^4-1,"")</f>
        <v/>
      </c>
      <c r="AR52" s="10" t="n">
        <v>83.91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84.4303</v>
      </c>
      <c r="AW52" s="12">
        <f>IF(COUNT(AV47:AV52)=6,(AVERAGE(AV50:AV52)/AVERAGE(AV47:AV49))^4-1,"")</f>
        <v/>
      </c>
      <c r="AX52" s="10" t="n">
        <v>85.55</v>
      </c>
      <c r="AY52" s="11">
        <f>IF(ISNUMBER(AX52),AX52/AX$65*100,"")</f>
        <v/>
      </c>
      <c r="AZ52" s="12">
        <f>IF(AND(ISNUMBER(AX52),ISNUMBER(AX51)),AX52/AX51-1,"")</f>
        <v/>
      </c>
      <c r="BA52" s="12">
        <f>IF(AND(ISNUMBER(AX52),ISNUMBER(AX40)),AX52/AX40-1,"")</f>
        <v/>
      </c>
      <c r="BB52" s="11" t="n">
        <v>85.7077</v>
      </c>
      <c r="BC52" s="12">
        <f>IF(COUNT(BB47:BB52)=6,(AVERAGE(BB50:BB52)/AVERAGE(BB47:BB49))^4-1,"")</f>
        <v/>
      </c>
    </row>
    <row r="53">
      <c r="A53" s="9" t="n">
        <v>43466</v>
      </c>
      <c r="B53" s="10" t="n">
        <v>83.2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83.52030000000001</v>
      </c>
      <c r="G53" s="12">
        <f>IF(COUNT(F48:F53)=6,(AVERAGE(F51:F53)/AVERAGE(F48:F50))^4-1,"")</f>
        <v/>
      </c>
      <c r="H53" s="10" t="n">
        <v>86.72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87.4902</v>
      </c>
      <c r="M53" s="12">
        <f>IF(COUNT(L48:L53)=6,(AVERAGE(L51:L53)/AVERAGE(L48:L50))^4-1,"")</f>
        <v/>
      </c>
      <c r="N53" s="10" t="n">
        <v>84.33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84.9648</v>
      </c>
      <c r="S53" s="12">
        <f>IF(COUNT(R48:R53)=6,(AVERAGE(R51:R53)/AVERAGE(R48:R50))^4-1,"")</f>
        <v/>
      </c>
      <c r="T53" s="10" t="n">
        <v>82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82.2483</v>
      </c>
      <c r="Y53" s="12">
        <f>IF(COUNT(X48:X53)=6,(AVERAGE(X51:X53)/AVERAGE(X48:X50))^4-1,"")</f>
        <v/>
      </c>
      <c r="Z53" s="10" t="n">
        <v>85.3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85.7458</v>
      </c>
      <c r="AE53" s="12">
        <f>IF(COUNT(AD48:AD53)=6,(AVERAGE(AD51:AD53)/AVERAGE(AD48:AD50))^4-1,"")</f>
        <v/>
      </c>
      <c r="AF53" s="10" t="n">
        <v>76.90000000000001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76.8886</v>
      </c>
      <c r="AK53" s="12">
        <f>IF(COUNT(AJ48:AJ53)=6,(AVERAGE(AJ51:AJ53)/AVERAGE(AJ48:AJ50))^4-1,"")</f>
        <v/>
      </c>
      <c r="AL53" s="10" t="n">
        <v>74.29000000000001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73.8455</v>
      </c>
      <c r="AQ53" s="12">
        <f>IF(COUNT(AP48:AP53)=6,(AVERAGE(AP51:AP53)/AVERAGE(AP48:AP50))^4-1,"")</f>
        <v/>
      </c>
      <c r="AR53" s="10" t="n">
        <v>82.95999999999999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82.9967</v>
      </c>
      <c r="AW53" s="12">
        <f>IF(COUNT(AV48:AV53)=6,(AVERAGE(AV51:AV53)/AVERAGE(AV48:AV50))^4-1,"")</f>
        <v/>
      </c>
      <c r="AX53" s="10" t="n">
        <v>85.16</v>
      </c>
      <c r="AY53" s="11">
        <f>IF(ISNUMBER(AX53),AX53/AX$65*100,"")</f>
        <v/>
      </c>
      <c r="AZ53" s="12">
        <f>IF(AND(ISNUMBER(AX53),ISNUMBER(AX52)),AX53/AX52-1,"")</f>
        <v/>
      </c>
      <c r="BA53" s="12">
        <f>IF(AND(ISNUMBER(AX53),ISNUMBER(AX41)),AX53/AX41-1,"")</f>
        <v/>
      </c>
      <c r="BB53" s="11" t="n">
        <v>85.4914</v>
      </c>
      <c r="BC53" s="12">
        <f>IF(COUNT(BB48:BB53)=6,(AVERAGE(BB51:BB53)/AVERAGE(BB48:BB50))^4-1,"")</f>
        <v/>
      </c>
    </row>
    <row r="54">
      <c r="A54" s="9" t="n">
        <v>43497</v>
      </c>
      <c r="B54" s="10" t="n">
        <v>83.29000000000001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83.7307</v>
      </c>
      <c r="G54" s="12">
        <f>IF(COUNT(F49:F54)=6,(AVERAGE(F52:F54)/AVERAGE(F49:F51))^4-1,"")</f>
        <v/>
      </c>
      <c r="H54" s="10" t="n">
        <v>86.68000000000001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87.2741</v>
      </c>
      <c r="M54" s="12">
        <f>IF(COUNT(L49:L54)=6,(AVERAGE(L52:L54)/AVERAGE(L49:L51))^4-1,"")</f>
        <v/>
      </c>
      <c r="N54" s="10" t="n">
        <v>84.31999999999999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84.7937</v>
      </c>
      <c r="S54" s="12">
        <f>IF(COUNT(R49:R54)=6,(AVERAGE(R52:R54)/AVERAGE(R49:R51))^4-1,"")</f>
        <v/>
      </c>
      <c r="T54" s="10" t="n">
        <v>82.09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82.64619999999999</v>
      </c>
      <c r="Y54" s="12">
        <f>IF(COUNT(X49:X54)=6,(AVERAGE(X52:X54)/AVERAGE(X49:X51))^4-1,"")</f>
        <v/>
      </c>
      <c r="Z54" s="10" t="n">
        <v>85.39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85.66540000000001</v>
      </c>
      <c r="AE54" s="12">
        <f>IF(COUNT(AD49:AD54)=6,(AVERAGE(AD52:AD54)/AVERAGE(AD49:AD51))^4-1,"")</f>
        <v/>
      </c>
      <c r="AF54" s="10" t="n">
        <v>77.01000000000001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77.0539</v>
      </c>
      <c r="AK54" s="12">
        <f>IF(COUNT(AJ49:AJ54)=6,(AVERAGE(AJ52:AJ54)/AVERAGE(AJ49:AJ51))^4-1,"")</f>
        <v/>
      </c>
      <c r="AL54" s="10" t="n">
        <v>75.25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74.3248</v>
      </c>
      <c r="AQ54" s="12">
        <f>IF(COUNT(AP49:AP54)=6,(AVERAGE(AP52:AP54)/AVERAGE(AP49:AP51))^4-1,"")</f>
        <v/>
      </c>
      <c r="AR54" s="10" t="n">
        <v>83.70999999999999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83.62179999999999</v>
      </c>
      <c r="AW54" s="12">
        <f>IF(COUNT(AV49:AV54)=6,(AVERAGE(AV52:AV54)/AVERAGE(AV49:AV51))^4-1,"")</f>
        <v/>
      </c>
      <c r="AX54" s="10" t="n">
        <v>85.20999999999999</v>
      </c>
      <c r="AY54" s="11">
        <f>IF(ISNUMBER(AX54),AX54/AX$65*100,"")</f>
        <v/>
      </c>
      <c r="AZ54" s="12">
        <f>IF(AND(ISNUMBER(AX54),ISNUMBER(AX53)),AX54/AX53-1,"")</f>
        <v/>
      </c>
      <c r="BA54" s="12">
        <f>IF(AND(ISNUMBER(AX54),ISNUMBER(AX42)),AX54/AX42-1,"")</f>
        <v/>
      </c>
      <c r="BB54" s="11" t="n">
        <v>85.6037</v>
      </c>
      <c r="BC54" s="12">
        <f>IF(COUNT(BB49:BB54)=6,(AVERAGE(BB52:BB54)/AVERAGE(BB49:BB51))^4-1,"")</f>
        <v/>
      </c>
    </row>
    <row r="55">
      <c r="A55" s="9" t="n">
        <v>43525</v>
      </c>
      <c r="B55" s="10" t="n">
        <v>84.02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83.9183</v>
      </c>
      <c r="G55" s="12">
        <f>IF(COUNT(F50:F55)=6,(AVERAGE(F53:F55)/AVERAGE(F50:F52))^4-1,"")</f>
        <v/>
      </c>
      <c r="H55" s="10" t="n">
        <v>87.48999999999999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87.5172</v>
      </c>
      <c r="M55" s="12">
        <f>IF(COUNT(L50:L55)=6,(AVERAGE(L53:L55)/AVERAGE(L50:L52))^4-1,"")</f>
        <v/>
      </c>
      <c r="N55" s="10" t="n">
        <v>85.05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85.05</v>
      </c>
      <c r="S55" s="12">
        <f>IF(COUNT(R50:R55)=6,(AVERAGE(R53:R55)/AVERAGE(R50:R52))^4-1,"")</f>
        <v/>
      </c>
      <c r="T55" s="10" t="n">
        <v>83.29000000000001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82.92489999999999</v>
      </c>
      <c r="Y55" s="12">
        <f>IF(COUNT(X50:X55)=6,(AVERAGE(X53:X55)/AVERAGE(X50:X52))^4-1,"")</f>
        <v/>
      </c>
      <c r="Z55" s="10" t="n">
        <v>85.54000000000001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85.8633</v>
      </c>
      <c r="AE55" s="12">
        <f>IF(COUNT(AD50:AD55)=6,(AVERAGE(AD53:AD55)/AVERAGE(AD50:AD52))^4-1,"")</f>
        <v/>
      </c>
      <c r="AF55" s="10" t="n">
        <v>77.48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77.33280000000001</v>
      </c>
      <c r="AK55" s="12">
        <f>IF(COUNT(AJ50:AJ55)=6,(AVERAGE(AJ53:AJ55)/AVERAGE(AJ50:AJ52))^4-1,"")</f>
        <v/>
      </c>
      <c r="AL55" s="10" t="n">
        <v>76.05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75.6591</v>
      </c>
      <c r="AQ55" s="12">
        <f>IF(COUNT(AP50:AP55)=6,(AVERAGE(AP53:AP55)/AVERAGE(AP50:AP52))^4-1,"")</f>
        <v/>
      </c>
      <c r="AR55" s="10" t="n">
        <v>84.04000000000001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84.35590000000001</v>
      </c>
      <c r="AW55" s="12">
        <f>IF(COUNT(AV50:AV55)=6,(AVERAGE(AV53:AV55)/AVERAGE(AV50:AV52))^4-1,"")</f>
        <v/>
      </c>
      <c r="AX55" s="10" t="n">
        <v>85.90000000000001</v>
      </c>
      <c r="AY55" s="11">
        <f>IF(ISNUMBER(AX55),AX55/AX$65*100,"")</f>
        <v/>
      </c>
      <c r="AZ55" s="12">
        <f>IF(AND(ISNUMBER(AX55),ISNUMBER(AX54)),AX55/AX54-1,"")</f>
        <v/>
      </c>
      <c r="BA55" s="12">
        <f>IF(AND(ISNUMBER(AX55),ISNUMBER(AX43)),AX55/AX43-1,"")</f>
        <v/>
      </c>
      <c r="BB55" s="11" t="n">
        <v>85.8112</v>
      </c>
      <c r="BC55" s="12">
        <f>IF(COUNT(BB50:BB55)=6,(AVERAGE(BB53:BB55)/AVERAGE(BB50:BB52))^4-1,"")</f>
        <v/>
      </c>
    </row>
    <row r="56">
      <c r="A56" s="9" t="n">
        <v>43556</v>
      </c>
      <c r="B56" s="10" t="n">
        <v>84.31999999999999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84.16670000000001</v>
      </c>
      <c r="G56" s="12">
        <f>IF(COUNT(F51:F56)=6,(AVERAGE(F54:F56)/AVERAGE(F51:F53))^4-1,"")</f>
        <v/>
      </c>
      <c r="H56" s="10" t="n">
        <v>87.84999999999999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87.5821</v>
      </c>
      <c r="M56" s="12">
        <f>IF(COUNT(L51:L56)=6,(AVERAGE(L54:L56)/AVERAGE(L51:L53))^4-1,"")</f>
        <v/>
      </c>
      <c r="N56" s="10" t="n">
        <v>85.33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85.12350000000001</v>
      </c>
      <c r="S56" s="12">
        <f>IF(COUNT(R51:R56)=6,(AVERAGE(R54:R56)/AVERAGE(R51:R53))^4-1,"")</f>
        <v/>
      </c>
      <c r="T56" s="10" t="n">
        <v>83.44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83.1293</v>
      </c>
      <c r="Y56" s="12">
        <f>IF(COUNT(X51:X56)=6,(AVERAGE(X54:X56)/AVERAGE(X51:X53))^4-1,"")</f>
        <v/>
      </c>
      <c r="Z56" s="10" t="n">
        <v>86.03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85.9431</v>
      </c>
      <c r="AE56" s="12">
        <f>IF(COUNT(AD51:AD56)=6,(AVERAGE(AD54:AD56)/AVERAGE(AD51:AD53))^4-1,"")</f>
        <v/>
      </c>
      <c r="AF56" s="10" t="n">
        <v>77.52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77.42230000000001</v>
      </c>
      <c r="AK56" s="12">
        <f>IF(COUNT(AJ51:AJ56)=6,(AVERAGE(AJ54:AJ56)/AVERAGE(AJ51:AJ53))^4-1,"")</f>
        <v/>
      </c>
      <c r="AL56" s="10" t="n">
        <v>76.52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76.071</v>
      </c>
      <c r="AQ56" s="12">
        <f>IF(COUNT(AP51:AP56)=6,(AVERAGE(AP54:AP56)/AVERAGE(AP51:AP53))^4-1,"")</f>
        <v/>
      </c>
      <c r="AR56" s="10" t="n">
        <v>85.34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84.6901</v>
      </c>
      <c r="AW56" s="12">
        <f>IF(COUNT(AV51:AV56)=6,(AVERAGE(AV54:AV56)/AVERAGE(AV51:AV53))^4-1,"")</f>
        <v/>
      </c>
      <c r="AX56" s="10" t="n">
        <v>86.17</v>
      </c>
      <c r="AY56" s="11">
        <f>IF(ISNUMBER(AX56),AX56/AX$65*100,"")</f>
        <v/>
      </c>
      <c r="AZ56" s="12">
        <f>IF(AND(ISNUMBER(AX56),ISNUMBER(AX55)),AX56/AX55-1,"")</f>
        <v/>
      </c>
      <c r="BA56" s="12">
        <f>IF(AND(ISNUMBER(AX56),ISNUMBER(AX44)),AX56/AX44-1,"")</f>
        <v/>
      </c>
      <c r="BB56" s="11" t="n">
        <v>86.02460000000001</v>
      </c>
      <c r="BC56" s="12">
        <f>IF(COUNT(BB51:BB56)=6,(AVERAGE(BB54:BB56)/AVERAGE(BB51:BB53))^4-1,"")</f>
        <v/>
      </c>
    </row>
    <row r="57">
      <c r="A57" s="9" t="n">
        <v>43586</v>
      </c>
      <c r="B57" s="10" t="n">
        <v>84.43000000000001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84.13849999999999</v>
      </c>
      <c r="G57" s="12">
        <f>IF(COUNT(F52:F57)=6,(AVERAGE(F55:F57)/AVERAGE(F52:F54))^4-1,"")</f>
        <v/>
      </c>
      <c r="H57" s="10" t="n">
        <v>87.78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87.533</v>
      </c>
      <c r="M57" s="12">
        <f>IF(COUNT(L52:L57)=6,(AVERAGE(L55:L57)/AVERAGE(L52:L54))^4-1,"")</f>
        <v/>
      </c>
      <c r="N57" s="10" t="n">
        <v>85.40000000000001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85.00830000000001</v>
      </c>
      <c r="S57" s="12">
        <f>IF(COUNT(R52:R57)=6,(AVERAGE(R55:R57)/AVERAGE(R52:R54))^4-1,"")</f>
        <v/>
      </c>
      <c r="T57" s="10" t="n">
        <v>83.8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83.2627</v>
      </c>
      <c r="Y57" s="12">
        <f>IF(COUNT(X52:X57)=6,(AVERAGE(X55:X57)/AVERAGE(X52:X54))^4-1,"")</f>
        <v/>
      </c>
      <c r="Z57" s="10" t="n">
        <v>85.81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85.7555</v>
      </c>
      <c r="AE57" s="12">
        <f>IF(COUNT(AD52:AD57)=6,(AVERAGE(AD55:AD57)/AVERAGE(AD52:AD54))^4-1,"")</f>
        <v/>
      </c>
      <c r="AF57" s="10" t="n">
        <v>78.02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77.5937</v>
      </c>
      <c r="AK57" s="12">
        <f>IF(COUNT(AJ52:AJ57)=6,(AVERAGE(AJ55:AJ57)/AVERAGE(AJ52:AJ54))^4-1,"")</f>
        <v/>
      </c>
      <c r="AL57" s="10" t="n">
        <v>76.95999999999999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76.86750000000001</v>
      </c>
      <c r="AQ57" s="12">
        <f>IF(COUNT(AP52:AP57)=6,(AVERAGE(AP55:AP57)/AVERAGE(AP52:AP54))^4-1,"")</f>
        <v/>
      </c>
      <c r="AR57" s="10" t="n">
        <v>85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84.9635</v>
      </c>
      <c r="AW57" s="12">
        <f>IF(COUNT(AV52:AV57)=6,(AVERAGE(AV55:AV57)/AVERAGE(AV52:AV54))^4-1,"")</f>
        <v/>
      </c>
      <c r="AX57" s="10" t="n">
        <v>86.26000000000001</v>
      </c>
      <c r="AY57" s="11">
        <f>IF(ISNUMBER(AX57),AX57/AX$65*100,"")</f>
        <v/>
      </c>
      <c r="AZ57" s="12">
        <f>IF(AND(ISNUMBER(AX57),ISNUMBER(AX56)),AX57/AX56-1,"")</f>
        <v/>
      </c>
      <c r="BA57" s="12">
        <f>IF(AND(ISNUMBER(AX57),ISNUMBER(AX45)),AX57/AX45-1,"")</f>
        <v/>
      </c>
      <c r="BB57" s="11" t="n">
        <v>85.98439999999999</v>
      </c>
      <c r="BC57" s="12">
        <f>IF(COUNT(BB52:BB57)=6,(AVERAGE(BB55:BB57)/AVERAGE(BB52:BB54))^4-1,"")</f>
        <v/>
      </c>
    </row>
    <row r="58">
      <c r="A58" s="9" t="n">
        <v>43617</v>
      </c>
      <c r="B58" s="10" t="n">
        <v>84.67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84.3558</v>
      </c>
      <c r="G58" s="12">
        <f>IF(COUNT(F53:F58)=6,(AVERAGE(F56:F58)/AVERAGE(F53:F55))^4-1,"")</f>
        <v/>
      </c>
      <c r="H58" s="10" t="n">
        <v>88.13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87.70140000000001</v>
      </c>
      <c r="M58" s="12">
        <f>IF(COUNT(L53:L58)=6,(AVERAGE(L56:L58)/AVERAGE(L53:L55))^4-1,"")</f>
        <v/>
      </c>
      <c r="N58" s="10" t="n">
        <v>85.68000000000001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85.35429999999999</v>
      </c>
      <c r="S58" s="12">
        <f>IF(COUNT(R53:R58)=6,(AVERAGE(R56:R58)/AVERAGE(R53:R55))^4-1,"")</f>
        <v/>
      </c>
      <c r="T58" s="10" t="n">
        <v>83.81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83.4144</v>
      </c>
      <c r="Y58" s="12">
        <f>IF(COUNT(X53:X58)=6,(AVERAGE(X56:X58)/AVERAGE(X53:X55))^4-1,"")</f>
        <v/>
      </c>
      <c r="Z58" s="10" t="n">
        <v>86.34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86.191</v>
      </c>
      <c r="AE58" s="12">
        <f>IF(COUNT(AD53:AD58)=6,(AVERAGE(AD56:AD58)/AVERAGE(AD53:AD55))^4-1,"")</f>
        <v/>
      </c>
      <c r="AF58" s="10" t="n">
        <v>78.09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78.0189</v>
      </c>
      <c r="AK58" s="12">
        <f>IF(COUNT(AJ53:AJ58)=6,(AVERAGE(AJ56:AJ58)/AVERAGE(AJ53:AJ55))^4-1,"")</f>
        <v/>
      </c>
      <c r="AL58" s="10" t="n">
        <v>76.81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77.1931</v>
      </c>
      <c r="AQ58" s="12">
        <f>IF(COUNT(AP53:AP58)=6,(AVERAGE(AP56:AP58)/AVERAGE(AP53:AP55))^4-1,"")</f>
        <v/>
      </c>
      <c r="AR58" s="10" t="n">
        <v>84.84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84.8231</v>
      </c>
      <c r="AW58" s="12">
        <f>IF(COUNT(AV53:AV58)=6,(AVERAGE(AV56:AV58)/AVERAGE(AV53:AV55))^4-1,"")</f>
        <v/>
      </c>
      <c r="AX58" s="10" t="n">
        <v>86.45999999999999</v>
      </c>
      <c r="AY58" s="11">
        <f>IF(ISNUMBER(AX58),AX58/AX$65*100,"")</f>
        <v/>
      </c>
      <c r="AZ58" s="12">
        <f>IF(AND(ISNUMBER(AX58),ISNUMBER(AX57)),AX58/AX57-1,"")</f>
        <v/>
      </c>
      <c r="BA58" s="12">
        <f>IF(AND(ISNUMBER(AX58),ISNUMBER(AX46)),AX58/AX46-1,"")</f>
        <v/>
      </c>
      <c r="BB58" s="11" t="n">
        <v>86.1741</v>
      </c>
      <c r="BC58" s="12">
        <f>IF(COUNT(BB53:BB58)=6,(AVERAGE(BB56:BB58)/AVERAGE(BB53:BB55))^4-1,"")</f>
        <v/>
      </c>
    </row>
    <row r="59">
      <c r="A59" s="9" t="n">
        <v>43647</v>
      </c>
      <c r="B59" s="10" t="n">
        <v>84.48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84.30249999999999</v>
      </c>
      <c r="G59" s="12">
        <f>IF(COUNT(F54:F59)=6,(AVERAGE(F57:F59)/AVERAGE(F54:F56))^4-1,"")</f>
        <v/>
      </c>
      <c r="H59" s="10" t="n">
        <v>87.84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87.7058</v>
      </c>
      <c r="M59" s="12">
        <f>IF(COUNT(L54:L59)=6,(AVERAGE(L57:L59)/AVERAGE(L54:L56))^4-1,"")</f>
        <v/>
      </c>
      <c r="N59" s="10" t="n">
        <v>85.56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85.4532</v>
      </c>
      <c r="S59" s="12">
        <f>IF(COUNT(R54:R59)=6,(AVERAGE(R57:R59)/AVERAGE(R54:R56))^4-1,"")</f>
        <v/>
      </c>
      <c r="T59" s="10" t="n">
        <v>82.63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83.2932</v>
      </c>
      <c r="Y59" s="12">
        <f>IF(COUNT(X54:X59)=6,(AVERAGE(X57:X59)/AVERAGE(X54:X56))^4-1,"")</f>
        <v/>
      </c>
      <c r="Z59" s="10" t="n">
        <v>87.41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86.2238</v>
      </c>
      <c r="AE59" s="12">
        <f>IF(COUNT(AD54:AD59)=6,(AVERAGE(AD57:AD59)/AVERAGE(AD54:AD56))^4-1,"")</f>
        <v/>
      </c>
      <c r="AF59" s="10" t="n">
        <v>78.47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78.3999</v>
      </c>
      <c r="AK59" s="12">
        <f>IF(COUNT(AJ54:AJ59)=6,(AVERAGE(AJ57:AJ59)/AVERAGE(AJ54:AJ56))^4-1,"")</f>
        <v/>
      </c>
      <c r="AL59" s="10" t="n">
        <v>75.97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76.5352</v>
      </c>
      <c r="AQ59" s="12">
        <f>IF(COUNT(AP54:AP59)=6,(AVERAGE(AP57:AP59)/AVERAGE(AP54:AP56))^4-1,"")</f>
        <v/>
      </c>
      <c r="AR59" s="10" t="n">
        <v>85.83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84.822</v>
      </c>
      <c r="AW59" s="12">
        <f>IF(COUNT(AV54:AV59)=6,(AVERAGE(AV57:AV59)/AVERAGE(AV54:AV56))^4-1,"")</f>
        <v/>
      </c>
      <c r="AX59" s="10" t="n">
        <v>86.3</v>
      </c>
      <c r="AY59" s="11">
        <f>IF(ISNUMBER(AX59),AX59/AX$65*100,"")</f>
        <v/>
      </c>
      <c r="AZ59" s="12">
        <f>IF(AND(ISNUMBER(AX59),ISNUMBER(AX58)),AX59/AX58-1,"")</f>
        <v/>
      </c>
      <c r="BA59" s="12">
        <f>IF(AND(ISNUMBER(AX59),ISNUMBER(AX47)),AX59/AX47-1,"")</f>
        <v/>
      </c>
      <c r="BB59" s="11" t="n">
        <v>86.1236</v>
      </c>
      <c r="BC59" s="12">
        <f>IF(COUNT(BB54:BB59)=6,(AVERAGE(BB57:BB59)/AVERAGE(BB54:BB56))^4-1,"")</f>
        <v/>
      </c>
    </row>
    <row r="60">
      <c r="A60" s="9" t="n">
        <v>43678</v>
      </c>
      <c r="B60" s="10" t="n">
        <v>84.93000000000001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84.5414</v>
      </c>
      <c r="G60" s="12">
        <f>IF(COUNT(F55:F60)=6,(AVERAGE(F58:F60)/AVERAGE(F55:F57))^4-1,"")</f>
        <v/>
      </c>
      <c r="H60" s="10" t="n">
        <v>88.41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87.7923</v>
      </c>
      <c r="M60" s="12">
        <f>IF(COUNT(L55:L60)=6,(AVERAGE(L58:L60)/AVERAGE(L55:L57))^4-1,"")</f>
        <v/>
      </c>
      <c r="N60" s="10" t="n">
        <v>86.06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85.5247</v>
      </c>
      <c r="S60" s="12">
        <f>IF(COUNT(R55:R60)=6,(AVERAGE(R58:R60)/AVERAGE(R55:R57))^4-1,"")</f>
        <v/>
      </c>
      <c r="T60" s="10" t="n">
        <v>83.12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83.5168</v>
      </c>
      <c r="Y60" s="12">
        <f>IF(COUNT(X55:X60)=6,(AVERAGE(X58:X60)/AVERAGE(X55:X57))^4-1,"")</f>
        <v/>
      </c>
      <c r="Z60" s="10" t="n">
        <v>87.81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86.5111</v>
      </c>
      <c r="AE60" s="12">
        <f>IF(COUNT(AD55:AD60)=6,(AVERAGE(AD58:AD60)/AVERAGE(AD55:AD57))^4-1,"")</f>
        <v/>
      </c>
      <c r="AF60" s="10" t="n">
        <v>78.8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78.7107</v>
      </c>
      <c r="AK60" s="12">
        <f>IF(COUNT(AJ55:AJ60)=6,(AVERAGE(AJ58:AJ60)/AVERAGE(AJ55:AJ57))^4-1,"")</f>
        <v/>
      </c>
      <c r="AL60" s="10" t="n">
        <v>75.95999999999999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76.51309999999999</v>
      </c>
      <c r="AQ60" s="12">
        <f>IF(COUNT(AP55:AP60)=6,(AVERAGE(AP58:AP60)/AVERAGE(AP55:AP57))^4-1,"")</f>
        <v/>
      </c>
      <c r="AR60" s="10" t="n">
        <v>85.78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84.83</v>
      </c>
      <c r="AW60" s="12">
        <f>IF(COUNT(AV55:AV60)=6,(AVERAGE(AV58:AV60)/AVERAGE(AV55:AV57))^4-1,"")</f>
        <v/>
      </c>
      <c r="AX60" s="10" t="n">
        <v>86.7</v>
      </c>
      <c r="AY60" s="11">
        <f>IF(ISNUMBER(AX60),AX60/AX$65*100,"")</f>
        <v/>
      </c>
      <c r="AZ60" s="12">
        <f>IF(AND(ISNUMBER(AX60),ISNUMBER(AX59)),AX60/AX59-1,"")</f>
        <v/>
      </c>
      <c r="BA60" s="12">
        <f>IF(AND(ISNUMBER(AX60),ISNUMBER(AX48)),AX60/AX48-1,"")</f>
        <v/>
      </c>
      <c r="BB60" s="11" t="n">
        <v>86.3192</v>
      </c>
      <c r="BC60" s="12">
        <f>IF(COUNT(BB55:BB60)=6,(AVERAGE(BB58:BB60)/AVERAGE(BB55:BB57))^4-1,"")</f>
        <v/>
      </c>
    </row>
    <row r="61">
      <c r="A61" s="9" t="n">
        <v>43709</v>
      </c>
      <c r="B61" s="10" t="n">
        <v>84.61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84.8265</v>
      </c>
      <c r="G61" s="12">
        <f>IF(COUNT(F56:F61)=6,(AVERAGE(F59:F61)/AVERAGE(F56:F58))^4-1,"")</f>
        <v/>
      </c>
      <c r="H61" s="10" t="n">
        <v>88.02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88.00660000000001</v>
      </c>
      <c r="M61" s="12">
        <f>IF(COUNT(L56:L61)=6,(AVERAGE(L59:L61)/AVERAGE(L56:L58))^4-1,"")</f>
        <v/>
      </c>
      <c r="N61" s="10" t="n">
        <v>85.68000000000001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85.7535</v>
      </c>
      <c r="S61" s="12">
        <f>IF(COUNT(R56:R61)=6,(AVERAGE(R59:R61)/AVERAGE(R56:R58))^4-1,"")</f>
        <v/>
      </c>
      <c r="T61" s="10" t="n">
        <v>83.65000000000001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83.7979</v>
      </c>
      <c r="Y61" s="12">
        <f>IF(COUNT(X56:X61)=6,(AVERAGE(X59:X61)/AVERAGE(X56:X58))^4-1,"")</f>
        <v/>
      </c>
      <c r="Z61" s="10" t="n">
        <v>86.41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86.7179</v>
      </c>
      <c r="AE61" s="12">
        <f>IF(COUNT(AD56:AD61)=6,(AVERAGE(AD59:AD61)/AVERAGE(AD56:AD58))^4-1,"")</f>
        <v/>
      </c>
      <c r="AF61" s="10" t="n">
        <v>78.45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78.61969999999999</v>
      </c>
      <c r="AK61" s="12">
        <f>IF(COUNT(AJ56:AJ61)=6,(AVERAGE(AJ59:AJ61)/AVERAGE(AJ56:AJ58))^4-1,"")</f>
        <v/>
      </c>
      <c r="AL61" s="10" t="n">
        <v>76.18000000000001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76.9697</v>
      </c>
      <c r="AQ61" s="12">
        <f>IF(COUNT(AP56:AP61)=6,(AVERAGE(AP59:AP61)/AVERAGE(AP56:AP58))^4-1,"")</f>
        <v/>
      </c>
      <c r="AR61" s="10" t="n">
        <v>84.26000000000001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85.2533</v>
      </c>
      <c r="AW61" s="12">
        <f>IF(COUNT(AV56:AV61)=6,(AVERAGE(AV59:AV61)/AVERAGE(AV56:AV58))^4-1,"")</f>
        <v/>
      </c>
      <c r="AX61" s="10" t="n">
        <v>86.40000000000001</v>
      </c>
      <c r="AY61" s="11">
        <f>IF(ISNUMBER(AX61),AX61/AX$65*100,"")</f>
        <v/>
      </c>
      <c r="AZ61" s="12">
        <f>IF(AND(ISNUMBER(AX61),ISNUMBER(AX60)),AX61/AX60-1,"")</f>
        <v/>
      </c>
      <c r="BA61" s="12">
        <f>IF(AND(ISNUMBER(AX61),ISNUMBER(AX49)),AX61/AX49-1,"")</f>
        <v/>
      </c>
      <c r="BB61" s="11" t="n">
        <v>86.58920000000001</v>
      </c>
      <c r="BC61" s="12">
        <f>IF(COUNT(BB56:BB61)=6,(AVERAGE(BB59:BB61)/AVERAGE(BB56:BB58))^4-1,"")</f>
        <v/>
      </c>
    </row>
    <row r="62">
      <c r="A62" s="9" t="n">
        <v>43739</v>
      </c>
      <c r="B62" s="10" t="n">
        <v>84.54000000000001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84.5924</v>
      </c>
      <c r="G62" s="12">
        <f>IF(COUNT(F57:F62)=6,(AVERAGE(F60:F62)/AVERAGE(F57:F59))^4-1,"")</f>
        <v/>
      </c>
      <c r="H62" s="10" t="n">
        <v>88.02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88.04089999999999</v>
      </c>
      <c r="M62" s="12">
        <f>IF(COUNT(L57:L62)=6,(AVERAGE(L60:L62)/AVERAGE(L57:L59))^4-1,"")</f>
        <v/>
      </c>
      <c r="N62" s="10" t="n">
        <v>85.61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85.70740000000001</v>
      </c>
      <c r="S62" s="12">
        <f>IF(COUNT(R57:R62)=6,(AVERAGE(R60:R62)/AVERAGE(R57:R59))^4-1,"")</f>
        <v/>
      </c>
      <c r="T62" s="10" t="n">
        <v>83.64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83.5622</v>
      </c>
      <c r="Y62" s="12">
        <f>IF(COUNT(X57:X62)=6,(AVERAGE(X60:X62)/AVERAGE(X57:X59))^4-1,"")</f>
        <v/>
      </c>
      <c r="Z62" s="10" t="n">
        <v>86.27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86.6695</v>
      </c>
      <c r="AE62" s="12">
        <f>IF(COUNT(AD57:AD62)=6,(AVERAGE(AD60:AD62)/AVERAGE(AD57:AD59))^4-1,"")</f>
        <v/>
      </c>
      <c r="AF62" s="10" t="n">
        <v>78.15000000000001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78.48650000000001</v>
      </c>
      <c r="AK62" s="12">
        <f>IF(COUNT(AJ57:AJ62)=6,(AVERAGE(AJ60:AJ62)/AVERAGE(AJ57:AJ59))^4-1,"")</f>
        <v/>
      </c>
      <c r="AL62" s="10" t="n">
        <v>76.19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75.9713</v>
      </c>
      <c r="AQ62" s="12">
        <f>IF(COUNT(AP57:AP62)=6,(AVERAGE(AP60:AP62)/AVERAGE(AP57:AP59))^4-1,"")</f>
        <v/>
      </c>
      <c r="AR62" s="10" t="n">
        <v>84.92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85.1871</v>
      </c>
      <c r="AW62" s="12">
        <f>IF(COUNT(AV57:AV62)=6,(AVERAGE(AV60:AV62)/AVERAGE(AV57:AV59))^4-1,"")</f>
        <v/>
      </c>
      <c r="AX62" s="10" t="n">
        <v>86.36</v>
      </c>
      <c r="AY62" s="11">
        <f>IF(ISNUMBER(AX62),AX62/AX$65*100,"")</f>
        <v/>
      </c>
      <c r="AZ62" s="12">
        <f>IF(AND(ISNUMBER(AX62),ISNUMBER(AX61)),AX62/AX61-1,"")</f>
        <v/>
      </c>
      <c r="BA62" s="12">
        <f>IF(AND(ISNUMBER(AX62),ISNUMBER(AX50)),AX62/AX50-1,"")</f>
        <v/>
      </c>
      <c r="BB62" s="11" t="n">
        <v>86.47069999999999</v>
      </c>
      <c r="BC62" s="12">
        <f>IF(COUNT(BB57:BB62)=6,(AVERAGE(BB60:BB62)/AVERAGE(BB57:BB59))^4-1,"")</f>
        <v/>
      </c>
    </row>
    <row r="63">
      <c r="A63" s="9" t="n">
        <v>43770</v>
      </c>
      <c r="B63" s="10" t="n">
        <v>84.59999999999999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84.8627</v>
      </c>
      <c r="G63" s="12">
        <f>IF(COUNT(F58:F63)=6,(AVERAGE(F61:F63)/AVERAGE(F58:F60))^4-1,"")</f>
        <v/>
      </c>
      <c r="H63" s="10" t="n">
        <v>87.86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88.1388</v>
      </c>
      <c r="M63" s="12">
        <f>IF(COUNT(L58:L63)=6,(AVERAGE(L61:L63)/AVERAGE(L58:L60))^4-1,"")</f>
        <v/>
      </c>
      <c r="N63" s="10" t="n">
        <v>85.64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85.88800000000001</v>
      </c>
      <c r="S63" s="12">
        <f>IF(COUNT(R58:R63)=6,(AVERAGE(R61:R63)/AVERAGE(R58:R60))^4-1,"")</f>
        <v/>
      </c>
      <c r="T63" s="10" t="n">
        <v>83.90000000000001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83.6705</v>
      </c>
      <c r="Y63" s="12">
        <f>IF(COUNT(X58:X63)=6,(AVERAGE(X61:X63)/AVERAGE(X58:X60))^4-1,"")</f>
        <v/>
      </c>
      <c r="Z63" s="10" t="n">
        <v>86.06999999999999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86.79689999999999</v>
      </c>
      <c r="AE63" s="12">
        <f>IF(COUNT(AD58:AD63)=6,(AVERAGE(AD61:AD63)/AVERAGE(AD58:AD60))^4-1,"")</f>
        <v/>
      </c>
      <c r="AF63" s="10" t="n">
        <v>78.76000000000001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79.0086</v>
      </c>
      <c r="AK63" s="12">
        <f>IF(COUNT(AJ58:AJ63)=6,(AVERAGE(AJ61:AJ63)/AVERAGE(AJ58:AJ60))^4-1,"")</f>
        <v/>
      </c>
      <c r="AL63" s="10" t="n">
        <v>76.45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76.11660000000001</v>
      </c>
      <c r="AQ63" s="12">
        <f>IF(COUNT(AP58:AP63)=6,(AVERAGE(AP61:AP63)/AVERAGE(AP58:AP60))^4-1,"")</f>
        <v/>
      </c>
      <c r="AR63" s="10" t="n">
        <v>84.56999999999999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85.2675</v>
      </c>
      <c r="AW63" s="12">
        <f>IF(COUNT(AV58:AV63)=6,(AVERAGE(AV61:AV63)/AVERAGE(AV58:AV60))^4-1,"")</f>
        <v/>
      </c>
      <c r="AX63" s="10" t="n">
        <v>86.41</v>
      </c>
      <c r="AY63" s="11">
        <f>IF(ISNUMBER(AX63),AX63/AX$65*100,"")</f>
        <v/>
      </c>
      <c r="AZ63" s="12">
        <f>IF(AND(ISNUMBER(AX63),ISNUMBER(AX62)),AX63/AX62-1,"")</f>
        <v/>
      </c>
      <c r="BA63" s="12">
        <f>IF(AND(ISNUMBER(AX63),ISNUMBER(AX51)),AX63/AX51-1,"")</f>
        <v/>
      </c>
      <c r="BB63" s="11" t="n">
        <v>86.617</v>
      </c>
      <c r="BC63" s="12">
        <f>IF(COUNT(BB58:BB63)=6,(AVERAGE(BB61:BB63)/AVERAGE(BB58:BB60))^4-1,"")</f>
        <v/>
      </c>
    </row>
    <row r="64">
      <c r="A64" s="9" t="n">
        <v>43800</v>
      </c>
      <c r="B64" s="10" t="n">
        <v>85.01000000000001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85.2289</v>
      </c>
      <c r="G64" s="12">
        <f>IF(COUNT(F59:F64)=6,(AVERAGE(F62:F64)/AVERAGE(F59:F61))^4-1,"")</f>
        <v/>
      </c>
      <c r="H64" s="10" t="n">
        <v>88.26000000000001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88.3605</v>
      </c>
      <c r="M64" s="12">
        <f>IF(COUNT(L59:L64)=6,(AVERAGE(L62:L64)/AVERAGE(L59:L61))^4-1,"")</f>
        <v/>
      </c>
      <c r="N64" s="10" t="n">
        <v>86.03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86.1592</v>
      </c>
      <c r="S64" s="12">
        <f>IF(COUNT(R59:R64)=6,(AVERAGE(R62:R64)/AVERAGE(R59:R61))^4-1,"")</f>
        <v/>
      </c>
      <c r="T64" s="10" t="n">
        <v>84.26000000000001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84.2062</v>
      </c>
      <c r="Y64" s="12">
        <f>IF(COUNT(X59:X64)=6,(AVERAGE(X62:X64)/AVERAGE(X59:X61))^4-1,"")</f>
        <v/>
      </c>
      <c r="Z64" s="10" t="n">
        <v>86.56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86.9663</v>
      </c>
      <c r="AE64" s="12">
        <f>IF(COUNT(AD59:AD64)=6,(AVERAGE(AD62:AD64)/AVERAGE(AD59:AD61))^4-1,"")</f>
        <v/>
      </c>
      <c r="AF64" s="10" t="n">
        <v>79.14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79.38720000000001</v>
      </c>
      <c r="AK64" s="12">
        <f>IF(COUNT(AJ59:AJ64)=6,(AVERAGE(AJ62:AJ64)/AVERAGE(AJ59:AJ61))^4-1,"")</f>
        <v/>
      </c>
      <c r="AL64" s="10" t="n">
        <v>77.05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77.7427</v>
      </c>
      <c r="AQ64" s="12">
        <f>IF(COUNT(AP59:AP64)=6,(AVERAGE(AP62:AP64)/AVERAGE(AP59:AP61))^4-1,"")</f>
        <v/>
      </c>
      <c r="AR64" s="10" t="n">
        <v>85.95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86.53060000000001</v>
      </c>
      <c r="AW64" s="12">
        <f>IF(COUNT(AV59:AV64)=6,(AVERAGE(AV62:AV64)/AVERAGE(AV59:AV61))^4-1,"")</f>
        <v/>
      </c>
      <c r="AX64" s="10" t="n">
        <v>86.79000000000001</v>
      </c>
      <c r="AY64" s="11">
        <f>IF(ISNUMBER(AX64),AX64/AX$65*100,"")</f>
        <v/>
      </c>
      <c r="AZ64" s="12">
        <f>IF(AND(ISNUMBER(AX64),ISNUMBER(AX63)),AX64/AX63-1,"")</f>
        <v/>
      </c>
      <c r="BA64" s="12">
        <f>IF(AND(ISNUMBER(AX64),ISNUMBER(AX52)),AX64/AX52-1,"")</f>
        <v/>
      </c>
      <c r="BB64" s="11" t="n">
        <v>86.99590000000001</v>
      </c>
      <c r="BC64" s="12">
        <f>IF(COUNT(BB59:BB64)=6,(AVERAGE(BB62:BB64)/AVERAGE(BB59:BB61))^4-1,"")</f>
        <v/>
      </c>
    </row>
    <row r="65">
      <c r="A65" s="9" t="n">
        <v>43831</v>
      </c>
      <c r="B65" s="10" t="n">
        <v>84.58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84.9057</v>
      </c>
      <c r="G65" s="12">
        <f>IF(COUNT(F60:F65)=6,(AVERAGE(F63:F65)/AVERAGE(F60:F62))^4-1,"")</f>
        <v/>
      </c>
      <c r="H65" s="10" t="n">
        <v>87.45999999999999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88.2607</v>
      </c>
      <c r="M65" s="12">
        <f>IF(COUNT(L60:L65)=6,(AVERAGE(L63:L65)/AVERAGE(L60:L62))^4-1,"")</f>
        <v/>
      </c>
      <c r="N65" s="10" t="n">
        <v>85.51000000000001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86.1683</v>
      </c>
      <c r="S65" s="12">
        <f>IF(COUNT(R60:R65)=6,(AVERAGE(R63:R65)/AVERAGE(R60:R62))^4-1,"")</f>
        <v/>
      </c>
      <c r="T65" s="10" t="n">
        <v>83.54000000000001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83.7491</v>
      </c>
      <c r="Y65" s="12">
        <f>IF(COUNT(X60:X65)=6,(AVERAGE(X63:X65)/AVERAGE(X60:X62))^4-1,"")</f>
        <v/>
      </c>
      <c r="Z65" s="10" t="n">
        <v>86.47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86.9798</v>
      </c>
      <c r="AE65" s="12">
        <f>IF(COUNT(AD60:AD65)=6,(AVERAGE(AD63:AD65)/AVERAGE(AD60:AD62))^4-1,"")</f>
        <v/>
      </c>
      <c r="AF65" s="10" t="n">
        <v>79.44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79.3819</v>
      </c>
      <c r="AK65" s="12">
        <f>IF(COUNT(AJ60:AJ65)=6,(AVERAGE(AJ63:AJ65)/AVERAGE(AJ60:AJ62))^4-1,"")</f>
        <v/>
      </c>
      <c r="AL65" s="10" t="n">
        <v>77.43000000000001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76.98820000000001</v>
      </c>
      <c r="AQ65" s="12">
        <f>IF(COUNT(AP60:AP65)=6,(AVERAGE(AP63:AP65)/AVERAGE(AP60:AP62))^4-1,"")</f>
        <v/>
      </c>
      <c r="AR65" s="10" t="n">
        <v>85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85.1495</v>
      </c>
      <c r="AW65" s="12">
        <f>IF(COUNT(AV60:AV65)=6,(AVERAGE(AV63:AV65)/AVERAGE(AV60:AV62))^4-1,"")</f>
        <v/>
      </c>
      <c r="AX65" s="10" t="n">
        <v>86.43000000000001</v>
      </c>
      <c r="AY65" s="11">
        <f>IF(ISNUMBER(AX65),AX65/AX$65*100,"")</f>
        <v/>
      </c>
      <c r="AZ65" s="12">
        <f>IF(AND(ISNUMBER(AX65),ISNUMBER(AX64)),AX65/AX64-1,"")</f>
        <v/>
      </c>
      <c r="BA65" s="12">
        <f>IF(AND(ISNUMBER(AX65),ISNUMBER(AX53)),AX65/AX53-1,"")</f>
        <v/>
      </c>
      <c r="BB65" s="11" t="n">
        <v>86.7724</v>
      </c>
      <c r="BC65" s="12">
        <f>IF(COUNT(BB60:BB65)=6,(AVERAGE(BB63:BB65)/AVERAGE(BB60:BB62))^4-1,"")</f>
        <v/>
      </c>
    </row>
    <row r="66">
      <c r="A66" s="9" t="n">
        <v>43862</v>
      </c>
      <c r="B66" s="10" t="n">
        <v>84.59999999999999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85.03700000000001</v>
      </c>
      <c r="G66" s="12">
        <f>IF(COUNT(F61:F66)=6,(AVERAGE(F64:F66)/AVERAGE(F61:F63))^4-1,"")</f>
        <v/>
      </c>
      <c r="H66" s="10" t="n">
        <v>87.72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88.31619999999999</v>
      </c>
      <c r="M66" s="12">
        <f>IF(COUNT(L61:L66)=6,(AVERAGE(L64:L66)/AVERAGE(L61:L63))^4-1,"")</f>
        <v/>
      </c>
      <c r="N66" s="10" t="n">
        <v>85.7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86.1698</v>
      </c>
      <c r="S66" s="12">
        <f>IF(COUNT(R61:R66)=6,(AVERAGE(R64:R66)/AVERAGE(R61:R63))^4-1,"")</f>
        <v/>
      </c>
      <c r="T66" s="10" t="n">
        <v>83.42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83.94710000000001</v>
      </c>
      <c r="Y66" s="12">
        <f>IF(COUNT(X61:X66)=6,(AVERAGE(X64:X66)/AVERAGE(X61:X63))^4-1,"")</f>
        <v/>
      </c>
      <c r="Z66" s="10" t="n">
        <v>86.67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86.97029999999999</v>
      </c>
      <c r="AE66" s="12">
        <f>IF(COUNT(AD61:AD66)=6,(AVERAGE(AD64:AD66)/AVERAGE(AD61:AD63))^4-1,"")</f>
        <v/>
      </c>
      <c r="AF66" s="10" t="n">
        <v>79.43000000000001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79.4652</v>
      </c>
      <c r="AK66" s="12">
        <f>IF(COUNT(AJ61:AJ66)=6,(AVERAGE(AJ64:AJ66)/AVERAGE(AJ61:AJ63))^4-1,"")</f>
        <v/>
      </c>
      <c r="AL66" s="10" t="n">
        <v>75.95999999999999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74.8608</v>
      </c>
      <c r="AQ66" s="12">
        <f>IF(COUNT(AP61:AP66)=6,(AVERAGE(AP64:AP66)/AVERAGE(AP61:AP63))^4-1,"")</f>
        <v/>
      </c>
      <c r="AR66" s="10" t="n">
        <v>84.76000000000001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84.59829999999999</v>
      </c>
      <c r="AW66" s="12">
        <f>IF(COUNT(AV61:AV66)=6,(AVERAGE(AV64:AV66)/AVERAGE(AV61:AV63))^4-1,"")</f>
        <v/>
      </c>
      <c r="AX66" s="10" t="n">
        <v>86.43000000000001</v>
      </c>
      <c r="AY66" s="11">
        <f>IF(ISNUMBER(AX66),AX66/AX$65*100,"")</f>
        <v/>
      </c>
      <c r="AZ66" s="12">
        <f>IF(AND(ISNUMBER(AX66),ISNUMBER(AX65)),AX66/AX65-1,"")</f>
        <v/>
      </c>
      <c r="BA66" s="12">
        <f>IF(AND(ISNUMBER(AX66),ISNUMBER(AX54)),AX66/AX54-1,"")</f>
        <v/>
      </c>
      <c r="BB66" s="11" t="n">
        <v>86.8085</v>
      </c>
      <c r="BC66" s="12">
        <f>IF(COUNT(BB61:BB66)=6,(AVERAGE(BB64:BB66)/AVERAGE(BB61:BB63))^4-1,"")</f>
        <v/>
      </c>
    </row>
    <row r="67">
      <c r="A67" s="9" t="n">
        <v>43891</v>
      </c>
      <c r="B67" s="10" t="n">
        <v>84.66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84.5813</v>
      </c>
      <c r="G67" s="12">
        <f>IF(COUNT(F62:F67)=6,(AVERAGE(F65:F67)/AVERAGE(F62:F64))^4-1,"")</f>
        <v/>
      </c>
      <c r="H67" s="10" t="n">
        <v>88.06999999999999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88.1523</v>
      </c>
      <c r="M67" s="12">
        <f>IF(COUNT(L62:L67)=6,(AVERAGE(L65:L67)/AVERAGE(L62:L64))^4-1,"")</f>
        <v/>
      </c>
      <c r="N67" s="10" t="n">
        <v>86.09999999999999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86.14579999999999</v>
      </c>
      <c r="S67" s="12">
        <f>IF(COUNT(R62:R67)=6,(AVERAGE(R65:R67)/AVERAGE(R62:R64))^4-1,"")</f>
        <v/>
      </c>
      <c r="T67" s="10" t="n">
        <v>83.69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83.3185</v>
      </c>
      <c r="Y67" s="12">
        <f>IF(COUNT(X62:X67)=6,(AVERAGE(X65:X67)/AVERAGE(X62:X64))^4-1,"")</f>
        <v/>
      </c>
      <c r="Z67" s="10" t="n">
        <v>86.48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86.8488</v>
      </c>
      <c r="AE67" s="12">
        <f>IF(COUNT(AD62:AD67)=6,(AVERAGE(AD65:AD67)/AVERAGE(AD62:AD64))^4-1,"")</f>
        <v/>
      </c>
      <c r="AF67" s="10" t="n">
        <v>79.98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79.8417</v>
      </c>
      <c r="AK67" s="12">
        <f>IF(COUNT(AJ62:AJ67)=6,(AVERAGE(AJ65:AJ67)/AVERAGE(AJ62:AJ64))^4-1,"")</f>
        <v/>
      </c>
      <c r="AL67" s="10" t="n">
        <v>73.02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72.5044</v>
      </c>
      <c r="AQ67" s="12">
        <f>IF(COUNT(AP62:AP67)=6,(AVERAGE(AP65:AP67)/AVERAGE(AP62:AP64))^4-1,"")</f>
        <v/>
      </c>
      <c r="AR67" s="10" t="n">
        <v>82.84999999999999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83.0976</v>
      </c>
      <c r="AW67" s="12">
        <f>IF(COUNT(AV62:AV67)=6,(AVERAGE(AV65:AV67)/AVERAGE(AV62:AV64))^4-1,"")</f>
        <v/>
      </c>
      <c r="AX67" s="10" t="n">
        <v>86.47</v>
      </c>
      <c r="AY67" s="11">
        <f>IF(ISNUMBER(AX67),AX67/AX$65*100,"")</f>
        <v/>
      </c>
      <c r="AZ67" s="12">
        <f>IF(AND(ISNUMBER(AX67),ISNUMBER(AX66)),AX67/AX66-1,"")</f>
        <v/>
      </c>
      <c r="BA67" s="12">
        <f>IF(AND(ISNUMBER(AX67),ISNUMBER(AX55)),AX67/AX55-1,"")</f>
        <v/>
      </c>
      <c r="BB67" s="11" t="n">
        <v>86.3942</v>
      </c>
      <c r="BC67" s="12">
        <f>IF(COUNT(BB62:BB67)=6,(AVERAGE(BB65:BB67)/AVERAGE(BB62:BB64))^4-1,"")</f>
        <v/>
      </c>
    </row>
    <row r="68">
      <c r="A68" s="9" t="n">
        <v>43922</v>
      </c>
      <c r="B68" s="10" t="n">
        <v>84.64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84.4824</v>
      </c>
      <c r="G68" s="12">
        <f>IF(COUNT(F63:F68)=6,(AVERAGE(F66:F68)/AVERAGE(F63:F65))^4-1,"")</f>
        <v/>
      </c>
      <c r="H68" s="10" t="n">
        <v>88.09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87.7975</v>
      </c>
      <c r="M68" s="12">
        <f>IF(COUNT(L63:L68)=6,(AVERAGE(L66:L68)/AVERAGE(L63:L65))^4-1,"")</f>
        <v/>
      </c>
      <c r="N68" s="10" t="n">
        <v>86.42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86.1935</v>
      </c>
      <c r="S68" s="12">
        <f>IF(COUNT(R63:R68)=6,(AVERAGE(R66:R68)/AVERAGE(R63:R65))^4-1,"")</f>
        <v/>
      </c>
      <c r="T68" s="10" t="n">
        <v>83.64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83.3502</v>
      </c>
      <c r="Y68" s="12">
        <f>IF(COUNT(X63:X68)=6,(AVERAGE(X66:X68)/AVERAGE(X63:X65))^4-1,"")</f>
        <v/>
      </c>
      <c r="Z68" s="10" t="n">
        <v>86.48999999999999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86.34650000000001</v>
      </c>
      <c r="AE68" s="12">
        <f>IF(COUNT(AD63:AD68)=6,(AVERAGE(AD66:AD68)/AVERAGE(AD63:AD65))^4-1,"")</f>
        <v/>
      </c>
      <c r="AF68" s="10" t="n">
        <v>81.25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81.137</v>
      </c>
      <c r="AK68" s="12">
        <f>IF(COUNT(AJ63:AJ68)=6,(AVERAGE(AJ66:AJ68)/AVERAGE(AJ63:AJ65))^4-1,"")</f>
        <v/>
      </c>
      <c r="AL68" s="10" t="n">
        <v>70.02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69.5287</v>
      </c>
      <c r="AQ68" s="12">
        <f>IF(COUNT(AP63:AP68)=6,(AVERAGE(AP66:AP68)/AVERAGE(AP63:AP65))^4-1,"")</f>
        <v/>
      </c>
      <c r="AR68" s="10" t="n">
        <v>81.67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80.92570000000001</v>
      </c>
      <c r="AW68" s="12">
        <f>IF(COUNT(AV63:AV68)=6,(AVERAGE(AV66:AV68)/AVERAGE(AV63:AV65))^4-1,"")</f>
        <v/>
      </c>
      <c r="AX68" s="10" t="n">
        <v>86.44</v>
      </c>
      <c r="AY68" s="11">
        <f>IF(ISNUMBER(AX68),AX68/AX$65*100,"")</f>
        <v/>
      </c>
      <c r="AZ68" s="12">
        <f>IF(AND(ISNUMBER(AX68),ISNUMBER(AX67)),AX68/AX67-1,"")</f>
        <v/>
      </c>
      <c r="BA68" s="12">
        <f>IF(AND(ISNUMBER(AX68),ISNUMBER(AX56)),AX68/AX56-1,"")</f>
        <v/>
      </c>
      <c r="BB68" s="11" t="n">
        <v>86.2782</v>
      </c>
      <c r="BC68" s="12">
        <f>IF(COUNT(BB63:BB68)=6,(AVERAGE(BB66:BB68)/AVERAGE(BB63:BB65))^4-1,"")</f>
        <v/>
      </c>
    </row>
    <row r="69">
      <c r="A69" s="9" t="n">
        <v>43952</v>
      </c>
      <c r="B69" s="10" t="n">
        <v>84.78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84.47790000000001</v>
      </c>
      <c r="G69" s="12">
        <f>IF(COUNT(F64:F69)=6,(AVERAGE(F67:F69)/AVERAGE(F64:F66))^4-1,"")</f>
        <v/>
      </c>
      <c r="H69" s="10" t="n">
        <v>88.37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88.1112</v>
      </c>
      <c r="M69" s="12">
        <f>IF(COUNT(L64:L69)=6,(AVERAGE(L67:L69)/AVERAGE(L64:L66))^4-1,"")</f>
        <v/>
      </c>
      <c r="N69" s="10" t="n">
        <v>86.73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86.339</v>
      </c>
      <c r="S69" s="12">
        <f>IF(COUNT(R64:R69)=6,(AVERAGE(R67:R69)/AVERAGE(R64:R66))^4-1,"")</f>
        <v/>
      </c>
      <c r="T69" s="10" t="n">
        <v>83.52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83.00190000000001</v>
      </c>
      <c r="Y69" s="12">
        <f>IF(COUNT(X64:X69)=6,(AVERAGE(X67:X69)/AVERAGE(X64:X66))^4-1,"")</f>
        <v/>
      </c>
      <c r="Z69" s="10" t="n">
        <v>86.94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86.8428</v>
      </c>
      <c r="AE69" s="12">
        <f>IF(COUNT(AD64:AD69)=6,(AVERAGE(AD67:AD69)/AVERAGE(AD64:AD66))^4-1,"")</f>
        <v/>
      </c>
      <c r="AF69" s="10" t="n">
        <v>81.65000000000001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81.2216</v>
      </c>
      <c r="AK69" s="12">
        <f>IF(COUNT(AJ64:AJ69)=6,(AVERAGE(AJ67:AJ69)/AVERAGE(AJ64:AJ66))^4-1,"")</f>
        <v/>
      </c>
      <c r="AL69" s="10" t="n">
        <v>68.56999999999999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68.6438</v>
      </c>
      <c r="AQ69" s="12">
        <f>IF(COUNT(AP64:AP69)=6,(AVERAGE(AP67:AP69)/AVERAGE(AP64:AP66))^4-1,"")</f>
        <v/>
      </c>
      <c r="AR69" s="10" t="n">
        <v>81.63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81.6348</v>
      </c>
      <c r="AW69" s="12">
        <f>IF(COUNT(AV64:AV69)=6,(AVERAGE(AV67:AV69)/AVERAGE(AV64:AV66))^4-1,"")</f>
        <v/>
      </c>
      <c r="AX69" s="10" t="n">
        <v>86.56999999999999</v>
      </c>
      <c r="AY69" s="11">
        <f>IF(ISNUMBER(AX69),AX69/AX$65*100,"")</f>
        <v/>
      </c>
      <c r="AZ69" s="12">
        <f>IF(AND(ISNUMBER(AX69),ISNUMBER(AX68)),AX69/AX68-1,"")</f>
        <v/>
      </c>
      <c r="BA69" s="12">
        <f>IF(AND(ISNUMBER(AX69),ISNUMBER(AX57)),AX69/AX57-1,"")</f>
        <v/>
      </c>
      <c r="BB69" s="11" t="n">
        <v>86.28440000000001</v>
      </c>
      <c r="BC69" s="12">
        <f>IF(COUNT(BB64:BB69)=6,(AVERAGE(BB67:BB69)/AVERAGE(BB64:BB66))^4-1,"")</f>
        <v/>
      </c>
    </row>
    <row r="70">
      <c r="A70" s="9" t="n">
        <v>43983</v>
      </c>
      <c r="B70" s="10" t="n">
        <v>84.84999999999999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84.5205</v>
      </c>
      <c r="G70" s="12">
        <f>IF(COUNT(F65:F70)=6,(AVERAGE(F68:F70)/AVERAGE(F65:F67))^4-1,"")</f>
        <v/>
      </c>
      <c r="H70" s="10" t="n">
        <v>88.48999999999999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88.0257</v>
      </c>
      <c r="M70" s="12">
        <f>IF(COUNT(L65:L70)=6,(AVERAGE(L68:L70)/AVERAGE(L65:L67))^4-1,"")</f>
        <v/>
      </c>
      <c r="N70" s="10" t="n">
        <v>86.69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86.3338</v>
      </c>
      <c r="S70" s="12">
        <f>IF(COUNT(R65:R70)=6,(AVERAGE(R68:R70)/AVERAGE(R65:R67))^4-1,"")</f>
        <v/>
      </c>
      <c r="T70" s="10" t="n">
        <v>83.39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83.01000000000001</v>
      </c>
      <c r="Y70" s="12">
        <f>IF(COUNT(X65:X70)=6,(AVERAGE(X68:X70)/AVERAGE(X65:X67))^4-1,"")</f>
        <v/>
      </c>
      <c r="Z70" s="10" t="n">
        <v>87.27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87.0851</v>
      </c>
      <c r="AE70" s="12">
        <f>IF(COUNT(AD65:AD70)=6,(AVERAGE(AD68:AD70)/AVERAGE(AD65:AD67))^4-1,"")</f>
        <v/>
      </c>
      <c r="AF70" s="10" t="n">
        <v>81.09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81.0147</v>
      </c>
      <c r="AK70" s="12">
        <f>IF(COUNT(AJ65:AJ70)=6,(AVERAGE(AJ68:AJ70)/AVERAGE(AJ65:AJ67))^4-1,"")</f>
        <v/>
      </c>
      <c r="AL70" s="10" t="n">
        <v>69.72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70.29130000000001</v>
      </c>
      <c r="AQ70" s="12">
        <f>IF(COUNT(AP65:AP70)=6,(AVERAGE(AP68:AP70)/AVERAGE(AP65:AP67))^4-1,"")</f>
        <v/>
      </c>
      <c r="AR70" s="10" t="n">
        <v>83.09999999999999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83.1382</v>
      </c>
      <c r="AW70" s="12">
        <f>IF(COUNT(AV65:AV70)=6,(AVERAGE(AV68:AV70)/AVERAGE(AV65:AV67))^4-1,"")</f>
        <v/>
      </c>
      <c r="AX70" s="10" t="n">
        <v>86.64</v>
      </c>
      <c r="AY70" s="11">
        <f>IF(ISNUMBER(AX70),AX70/AX$65*100,"")</f>
        <v/>
      </c>
      <c r="AZ70" s="12">
        <f>IF(AND(ISNUMBER(AX70),ISNUMBER(AX69)),AX70/AX69-1,"")</f>
        <v/>
      </c>
      <c r="BA70" s="12">
        <f>IF(AND(ISNUMBER(AX70),ISNUMBER(AX58)),AX70/AX58-1,"")</f>
        <v/>
      </c>
      <c r="BB70" s="11" t="n">
        <v>86.343</v>
      </c>
      <c r="BC70" s="12">
        <f>IF(COUNT(BB65:BB70)=6,(AVERAGE(BB68:BB70)/AVERAGE(BB65:BB67))^4-1,"")</f>
        <v/>
      </c>
    </row>
    <row r="71">
      <c r="A71" s="9" t="n">
        <v>44013</v>
      </c>
      <c r="B71" s="10" t="n">
        <v>85.19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84.95869999999999</v>
      </c>
      <c r="G71" s="12">
        <f>IF(COUNT(F66:F71)=6,(AVERAGE(F69:F71)/AVERAGE(F66:F68))^4-1,"")</f>
        <v/>
      </c>
      <c r="H71" s="10" t="n">
        <v>89.11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88.88509999999999</v>
      </c>
      <c r="M71" s="12">
        <f>IF(COUNT(L66:L71)=6,(AVERAGE(L69:L71)/AVERAGE(L66:L68))^4-1,"")</f>
        <v/>
      </c>
      <c r="N71" s="10" t="n">
        <v>87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86.8197</v>
      </c>
      <c r="S71" s="12">
        <f>IF(COUNT(R66:R71)=6,(AVERAGE(R69:R71)/AVERAGE(R66:R68))^4-1,"")</f>
        <v/>
      </c>
      <c r="T71" s="10" t="n">
        <v>83.25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83.8759</v>
      </c>
      <c r="Y71" s="12">
        <f>IF(COUNT(X66:X71)=6,(AVERAGE(X69:X71)/AVERAGE(X66:X68))^4-1,"")</f>
        <v/>
      </c>
      <c r="Z71" s="10" t="n">
        <v>88.22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86.9584</v>
      </c>
      <c r="AE71" s="12">
        <f>IF(COUNT(AD66:AD71)=6,(AVERAGE(AD69:AD71)/AVERAGE(AD66:AD68))^4-1,"")</f>
        <v/>
      </c>
      <c r="AF71" s="10" t="n">
        <v>80.44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80.3776</v>
      </c>
      <c r="AK71" s="12">
        <f>IF(COUNT(AJ66:AJ71)=6,(AVERAGE(AJ69:AJ71)/AVERAGE(AJ66:AJ68))^4-1,"")</f>
        <v/>
      </c>
      <c r="AL71" s="10" t="n">
        <v>70.36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70.9059</v>
      </c>
      <c r="AQ71" s="12">
        <f>IF(COUNT(AP66:AP71)=6,(AVERAGE(AP69:AP71)/AVERAGE(AP66:AP68))^4-1,"")</f>
        <v/>
      </c>
      <c r="AR71" s="10" t="n">
        <v>84.19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83.11799999999999</v>
      </c>
      <c r="AW71" s="12">
        <f>IF(COUNT(AV66:AV71)=6,(AVERAGE(AV69:AV71)/AVERAGE(AV66:AV68))^4-1,"")</f>
        <v/>
      </c>
      <c r="AX71" s="10" t="n">
        <v>86.97</v>
      </c>
      <c r="AY71" s="11">
        <f>IF(ISNUMBER(AX71),AX71/AX$65*100,"")</f>
        <v/>
      </c>
      <c r="AZ71" s="12">
        <f>IF(AND(ISNUMBER(AX71),ISNUMBER(AX70)),AX71/AX70-1,"")</f>
        <v/>
      </c>
      <c r="BA71" s="12">
        <f>IF(AND(ISNUMBER(AX71),ISNUMBER(AX59)),AX71/AX59-1,"")</f>
        <v/>
      </c>
      <c r="BB71" s="11" t="n">
        <v>86.74890000000001</v>
      </c>
      <c r="BC71" s="12">
        <f>IF(COUNT(BB66:BB71)=6,(AVERAGE(BB69:BB71)/AVERAGE(BB66:BB68))^4-1,"")</f>
        <v/>
      </c>
    </row>
    <row r="72">
      <c r="A72" s="9" t="n">
        <v>44044</v>
      </c>
      <c r="B72" s="10" t="n">
        <v>85.09999999999999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84.6382</v>
      </c>
      <c r="G72" s="12">
        <f>IF(COUNT(F67:F72)=6,(AVERAGE(F70:F72)/AVERAGE(F67:F69))^4-1,"")</f>
        <v/>
      </c>
      <c r="H72" s="10" t="n">
        <v>88.89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88.2062</v>
      </c>
      <c r="M72" s="12">
        <f>IF(COUNT(L67:L72)=6,(AVERAGE(L70:L72)/AVERAGE(L67:L69))^4-1,"")</f>
        <v/>
      </c>
      <c r="N72" s="10" t="n">
        <v>86.87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86.24890000000001</v>
      </c>
      <c r="S72" s="12">
        <f>IF(COUNT(R67:R72)=6,(AVERAGE(R70:R72)/AVERAGE(R67:R69))^4-1,"")</f>
        <v/>
      </c>
      <c r="T72" s="10" t="n">
        <v>82.84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83.1887</v>
      </c>
      <c r="Y72" s="12">
        <f>IF(COUNT(X67:X72)=6,(AVERAGE(X70:X72)/AVERAGE(X67:X69))^4-1,"")</f>
        <v/>
      </c>
      <c r="Z72" s="10" t="n">
        <v>88.52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87.173</v>
      </c>
      <c r="AE72" s="12">
        <f>IF(COUNT(AD67:AD72)=6,(AVERAGE(AD70:AD72)/AVERAGE(AD67:AD69))^4-1,"")</f>
        <v/>
      </c>
      <c r="AF72" s="10" t="n">
        <v>80.59999999999999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80.48820000000001</v>
      </c>
      <c r="AK72" s="12">
        <f>IF(COUNT(AJ67:AJ72)=6,(AVERAGE(AJ70:AJ72)/AVERAGE(AJ67:AJ69))^4-1,"")</f>
        <v/>
      </c>
      <c r="AL72" s="10" t="n">
        <v>70.59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70.958</v>
      </c>
      <c r="AQ72" s="12">
        <f>IF(COUNT(AP67:AP72)=6,(AVERAGE(AP70:AP72)/AVERAGE(AP67:AP69))^4-1,"")</f>
        <v/>
      </c>
      <c r="AR72" s="10" t="n">
        <v>83.66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82.5728</v>
      </c>
      <c r="AW72" s="12">
        <f>IF(COUNT(AV67:AV72)=6,(AVERAGE(AV70:AV72)/AVERAGE(AV67:AV69))^4-1,"")</f>
        <v/>
      </c>
      <c r="AX72" s="10" t="n">
        <v>86.89</v>
      </c>
      <c r="AY72" s="11">
        <f>IF(ISNUMBER(AX72),AX72/AX$65*100,"")</f>
        <v/>
      </c>
      <c r="AZ72" s="12">
        <f>IF(AND(ISNUMBER(AX72),ISNUMBER(AX71)),AX72/AX71-1,"")</f>
        <v/>
      </c>
      <c r="BA72" s="12">
        <f>IF(AND(ISNUMBER(AX72),ISNUMBER(AX60)),AX72/AX60-1,"")</f>
        <v/>
      </c>
      <c r="BB72" s="11" t="n">
        <v>86.4468</v>
      </c>
      <c r="BC72" s="12">
        <f>IF(COUNT(BB67:BB72)=6,(AVERAGE(BB70:BB72)/AVERAGE(BB67:BB69))^4-1,"")</f>
        <v/>
      </c>
    </row>
    <row r="73">
      <c r="A73" s="9" t="n">
        <v>44075</v>
      </c>
      <c r="B73" s="10" t="n">
        <v>84.62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84.8781</v>
      </c>
      <c r="G73" s="12">
        <f>IF(COUNT(F68:F73)=6,(AVERAGE(F71:F73)/AVERAGE(F68:F70))^4-1,"")</f>
        <v/>
      </c>
      <c r="H73" s="10" t="n">
        <v>88.37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88.3913</v>
      </c>
      <c r="M73" s="12">
        <f>IF(COUNT(L68:L73)=6,(AVERAGE(L71:L73)/AVERAGE(L68:L70))^4-1,"")</f>
        <v/>
      </c>
      <c r="N73" s="10" t="n">
        <v>86.39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86.49809999999999</v>
      </c>
      <c r="S73" s="12">
        <f>IF(COUNT(R68:R73)=6,(AVERAGE(R71:R73)/AVERAGE(R68:R70))^4-1,"")</f>
        <v/>
      </c>
      <c r="T73" s="10" t="n">
        <v>83.29000000000001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83.4982</v>
      </c>
      <c r="Y73" s="12">
        <f>IF(COUNT(X68:X73)=6,(AVERAGE(X71:X73)/AVERAGE(X68:X70))^4-1,"")</f>
        <v/>
      </c>
      <c r="Z73" s="10" t="n">
        <v>86.89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87.22799999999999</v>
      </c>
      <c r="AE73" s="12">
        <f>IF(COUNT(AD68:AD73)=6,(AVERAGE(AD71:AD73)/AVERAGE(AD68:AD70))^4-1,"")</f>
        <v/>
      </c>
      <c r="AF73" s="10" t="n">
        <v>80.25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80.4113</v>
      </c>
      <c r="AK73" s="12">
        <f>IF(COUNT(AJ68:AJ73)=6,(AVERAGE(AJ71:AJ73)/AVERAGE(AJ68:AJ70))^4-1,"")</f>
        <v/>
      </c>
      <c r="AL73" s="10" t="n">
        <v>70.13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70.79989999999999</v>
      </c>
      <c r="AQ73" s="12">
        <f>IF(COUNT(AP68:AP73)=6,(AVERAGE(AP71:AP73)/AVERAGE(AP68:AP70))^4-1,"")</f>
        <v/>
      </c>
      <c r="AR73" s="10" t="n">
        <v>82.03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83.143</v>
      </c>
      <c r="AW73" s="12">
        <f>IF(COUNT(AV68:AV73)=6,(AVERAGE(AV71:AV73)/AVERAGE(AV68:AV70))^4-1,"")</f>
        <v/>
      </c>
      <c r="AX73" s="10" t="n">
        <v>86.44</v>
      </c>
      <c r="AY73" s="11">
        <f>IF(ISNUMBER(AX73),AX73/AX$65*100,"")</f>
        <v/>
      </c>
      <c r="AZ73" s="12">
        <f>IF(AND(ISNUMBER(AX73),ISNUMBER(AX72)),AX73/AX72-1,"")</f>
        <v/>
      </c>
      <c r="BA73" s="12">
        <f>IF(AND(ISNUMBER(AX73),ISNUMBER(AX61)),AX73/AX61-1,"")</f>
        <v/>
      </c>
      <c r="BB73" s="11" t="n">
        <v>86.6754</v>
      </c>
      <c r="BC73" s="12">
        <f>IF(COUNT(BB68:BB73)=6,(AVERAGE(BB71:BB73)/AVERAGE(BB68:BB70))^4-1,"")</f>
        <v/>
      </c>
    </row>
    <row r="74">
      <c r="A74" s="9" t="n">
        <v>44105</v>
      </c>
      <c r="B74" s="10" t="n">
        <v>84.59999999999999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84.6639</v>
      </c>
      <c r="G74" s="12">
        <f>IF(COUNT(F69:F74)=6,(AVERAGE(F72:F74)/AVERAGE(F69:F71))^4-1,"")</f>
        <v/>
      </c>
      <c r="H74" s="10" t="n">
        <v>88.27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88.30249999999999</v>
      </c>
      <c r="M74" s="12">
        <f>IF(COUNT(L69:L74)=6,(AVERAGE(L72:L74)/AVERAGE(L69:L71))^4-1,"")</f>
        <v/>
      </c>
      <c r="N74" s="10" t="n">
        <v>86.34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86.4444</v>
      </c>
      <c r="S74" s="12">
        <f>IF(COUNT(R69:R74)=6,(AVERAGE(R72:R74)/AVERAGE(R69:R71))^4-1,"")</f>
        <v/>
      </c>
      <c r="T74" s="10" t="n">
        <v>83.52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83.4525</v>
      </c>
      <c r="Y74" s="12">
        <f>IF(COUNT(X69:X74)=6,(AVERAGE(X72:X74)/AVERAGE(X69:X71))^4-1,"")</f>
        <v/>
      </c>
      <c r="Z74" s="10" t="n">
        <v>86.56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86.9555</v>
      </c>
      <c r="AE74" s="12">
        <f>IF(COUNT(AD69:AD74)=6,(AVERAGE(AD72:AD74)/AVERAGE(AD69:AD71))^4-1,"")</f>
        <v/>
      </c>
      <c r="AF74" s="10" t="n">
        <v>80.37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80.7024</v>
      </c>
      <c r="AK74" s="12">
        <f>IF(COUNT(AJ69:AJ74)=6,(AVERAGE(AJ72:AJ74)/AVERAGE(AJ69:AJ71))^4-1,"")</f>
        <v/>
      </c>
      <c r="AL74" s="10" t="n">
        <v>70.3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69.95780000000001</v>
      </c>
      <c r="AQ74" s="12">
        <f>IF(COUNT(AP69:AP74)=6,(AVERAGE(AP72:AP74)/AVERAGE(AP69:AP71))^4-1,"")</f>
        <v/>
      </c>
      <c r="AR74" s="10" t="n">
        <v>82.08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82.3686</v>
      </c>
      <c r="AW74" s="12">
        <f>IF(COUNT(AV69:AV74)=6,(AVERAGE(AV72:AV74)/AVERAGE(AV69:AV71))^4-1,"")</f>
        <v/>
      </c>
      <c r="AX74" s="10" t="n">
        <v>86.41</v>
      </c>
      <c r="AY74" s="11">
        <f>IF(ISNUMBER(AX74),AX74/AX$65*100,"")</f>
        <v/>
      </c>
      <c r="AZ74" s="12">
        <f>IF(AND(ISNUMBER(AX74),ISNUMBER(AX73)),AX74/AX73-1,"")</f>
        <v/>
      </c>
      <c r="BA74" s="12">
        <f>IF(AND(ISNUMBER(AX74),ISNUMBER(AX62)),AX74/AX62-1,"")</f>
        <v/>
      </c>
      <c r="BB74" s="11" t="n">
        <v>86.5354</v>
      </c>
      <c r="BC74" s="12">
        <f>IF(COUNT(BB69:BB74)=6,(AVERAGE(BB72:BB74)/AVERAGE(BB69:BB71))^4-1,"")</f>
        <v/>
      </c>
    </row>
    <row r="75">
      <c r="A75" s="9" t="n">
        <v>44136</v>
      </c>
      <c r="B75" s="10" t="n">
        <v>84.79000000000001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85.08329999999999</v>
      </c>
      <c r="G75" s="12">
        <f>IF(COUNT(F70:F75)=6,(AVERAGE(F73:F75)/AVERAGE(F70:F72))^4-1,"")</f>
        <v/>
      </c>
      <c r="H75" s="10" t="n">
        <v>88.20999999999999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88.53279999999999</v>
      </c>
      <c r="M75" s="12">
        <f>IF(COUNT(L70:L75)=6,(AVERAGE(L73:L75)/AVERAGE(L70:L72))^4-1,"")</f>
        <v/>
      </c>
      <c r="N75" s="10" t="n">
        <v>86.52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86.80629999999999</v>
      </c>
      <c r="S75" s="12">
        <f>IF(COUNT(R70:R75)=6,(AVERAGE(R73:R75)/AVERAGE(R70:R72))^4-1,"")</f>
        <v/>
      </c>
      <c r="T75" s="10" t="n">
        <v>83.77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83.5419</v>
      </c>
      <c r="Y75" s="12">
        <f>IF(COUNT(X70:X75)=6,(AVERAGE(X73:X75)/AVERAGE(X70:X72))^4-1,"")</f>
        <v/>
      </c>
      <c r="Z75" s="10" t="n">
        <v>86.65000000000001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87.4165</v>
      </c>
      <c r="AE75" s="12">
        <f>IF(COUNT(AD70:AD75)=6,(AVERAGE(AD73:AD75)/AVERAGE(AD70:AD72))^4-1,"")</f>
        <v/>
      </c>
      <c r="AF75" s="10" t="n">
        <v>81.28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81.53919999999999</v>
      </c>
      <c r="AK75" s="12">
        <f>IF(COUNT(AJ70:AJ75)=6,(AVERAGE(AJ73:AJ75)/AVERAGE(AJ70:AJ72))^4-1,"")</f>
        <v/>
      </c>
      <c r="AL75" s="10" t="n">
        <v>70.59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70.20869999999999</v>
      </c>
      <c r="AQ75" s="12">
        <f>IF(COUNT(AP70:AP75)=6,(AVERAGE(AP73:AP75)/AVERAGE(AP70:AP72))^4-1,"")</f>
        <v/>
      </c>
      <c r="AR75" s="10" t="n">
        <v>82.05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82.79170000000001</v>
      </c>
      <c r="AW75" s="12">
        <f>IF(COUNT(AV70:AV75)=6,(AVERAGE(AV73:AV75)/AVERAGE(AV70:AV72))^4-1,"")</f>
        <v/>
      </c>
      <c r="AX75" s="10" t="n">
        <v>86.59</v>
      </c>
      <c r="AY75" s="11">
        <f>IF(ISNUMBER(AX75),AX75/AX$65*100,"")</f>
        <v/>
      </c>
      <c r="AZ75" s="12">
        <f>IF(AND(ISNUMBER(AX75),ISNUMBER(AX74)),AX75/AX74-1,"")</f>
        <v/>
      </c>
      <c r="BA75" s="12">
        <f>IF(AND(ISNUMBER(AX75),ISNUMBER(AX63)),AX75/AX63-1,"")</f>
        <v/>
      </c>
      <c r="BB75" s="11" t="n">
        <v>86.8361</v>
      </c>
      <c r="BC75" s="12">
        <f>IF(COUNT(BB70:BB75)=6,(AVERAGE(BB73:BB75)/AVERAGE(BB70:BB72))^4-1,"")</f>
        <v/>
      </c>
    </row>
    <row r="76">
      <c r="A76" s="9" t="n">
        <v>44166</v>
      </c>
      <c r="B76" s="10" t="n">
        <v>84.98999999999999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85.2497</v>
      </c>
      <c r="G76" s="12">
        <f>IF(COUNT(F71:F76)=6,(AVERAGE(F74:F76)/AVERAGE(F71:F73))^4-1,"")</f>
        <v/>
      </c>
      <c r="H76" s="10" t="n">
        <v>88.42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88.57559999999999</v>
      </c>
      <c r="M76" s="12">
        <f>IF(COUNT(L71:L76)=6,(AVERAGE(L74:L76)/AVERAGE(L71:L73))^4-1,"")</f>
        <v/>
      </c>
      <c r="N76" s="10" t="n">
        <v>86.61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86.7933</v>
      </c>
      <c r="S76" s="12">
        <f>IF(COUNT(R71:R76)=6,(AVERAGE(R74:R76)/AVERAGE(R71:R73))^4-1,"")</f>
        <v/>
      </c>
      <c r="T76" s="10" t="n">
        <v>83.70999999999999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83.6705</v>
      </c>
      <c r="Y76" s="12">
        <f>IF(COUNT(X71:X76)=6,(AVERAGE(X74:X76)/AVERAGE(X71:X73))^4-1,"")</f>
        <v/>
      </c>
      <c r="Z76" s="10" t="n">
        <v>87.18000000000001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87.63760000000001</v>
      </c>
      <c r="AE76" s="12">
        <f>IF(COUNT(AD71:AD76)=6,(AVERAGE(AD74:AD76)/AVERAGE(AD71:AD73))^4-1,"")</f>
        <v/>
      </c>
      <c r="AF76" s="10" t="n">
        <v>81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81.28279999999999</v>
      </c>
      <c r="AK76" s="12">
        <f>IF(COUNT(AJ71:AJ76)=6,(AVERAGE(AJ74:AJ76)/AVERAGE(AJ71:AJ73))^4-1,"")</f>
        <v/>
      </c>
      <c r="AL76" s="10" t="n">
        <v>71.75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72.6023</v>
      </c>
      <c r="AQ76" s="12">
        <f>IF(COUNT(AP71:AP76)=6,(AVERAGE(AP74:AP76)/AVERAGE(AP71:AP73))^4-1,"")</f>
        <v/>
      </c>
      <c r="AR76" s="10" t="n">
        <v>83.70999999999999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84.3271</v>
      </c>
      <c r="AW76" s="12">
        <f>IF(COUNT(AV71:AV76)=6,(AVERAGE(AV74:AV76)/AVERAGE(AV71:AV73))^4-1,"")</f>
        <v/>
      </c>
      <c r="AX76" s="10" t="n">
        <v>86.78</v>
      </c>
      <c r="AY76" s="11">
        <f>IF(ISNUMBER(AX76),AX76/AX$65*100,"")</f>
        <v/>
      </c>
      <c r="AZ76" s="12">
        <f>IF(AND(ISNUMBER(AX76),ISNUMBER(AX75)),AX76/AX75-1,"")</f>
        <v/>
      </c>
      <c r="BA76" s="12">
        <f>IF(AND(ISNUMBER(AX76),ISNUMBER(AX64)),AX76/AX64-1,"")</f>
        <v/>
      </c>
      <c r="BB76" s="11" t="n">
        <v>87.0318</v>
      </c>
      <c r="BC76" s="12">
        <f>IF(COUNT(BB71:BB76)=6,(AVERAGE(BB74:BB76)/AVERAGE(BB71:BB73))^4-1,"")</f>
        <v/>
      </c>
    </row>
    <row r="77">
      <c r="A77" s="9" t="n">
        <v>44197</v>
      </c>
      <c r="B77" s="10" t="n">
        <v>85.22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85.5716</v>
      </c>
      <c r="G77" s="12">
        <f>IF(COUNT(F72:F77)=6,(AVERAGE(F75:F77)/AVERAGE(F72:F74))^4-1,"")</f>
        <v/>
      </c>
      <c r="H77" s="10" t="n">
        <v>88.47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89.3331</v>
      </c>
      <c r="M77" s="12">
        <f>IF(COUNT(L72:L77)=6,(AVERAGE(L75:L77)/AVERAGE(L72:L74))^4-1,"")</f>
        <v/>
      </c>
      <c r="N77" s="10" t="n">
        <v>86.73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87.43000000000001</v>
      </c>
      <c r="S77" s="12">
        <f>IF(COUNT(R72:R77)=6,(AVERAGE(R75:R77)/AVERAGE(R72:R74))^4-1,"")</f>
        <v/>
      </c>
      <c r="T77" s="10" t="n">
        <v>83.92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84.0911</v>
      </c>
      <c r="Y77" s="12">
        <f>IF(COUNT(X72:X77)=6,(AVERAGE(X75:X77)/AVERAGE(X72:X74))^4-1,"")</f>
        <v/>
      </c>
      <c r="Z77" s="10" t="n">
        <v>87.43000000000001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88.0294</v>
      </c>
      <c r="AE77" s="12">
        <f>IF(COUNT(AD72:AD77)=6,(AVERAGE(AD75:AD77)/AVERAGE(AD72:AD74))^4-1,"")</f>
        <v/>
      </c>
      <c r="AF77" s="10" t="n">
        <v>81.3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81.22029999999999</v>
      </c>
      <c r="AK77" s="12">
        <f>IF(COUNT(AJ72:AJ77)=6,(AVERAGE(AJ75:AJ77)/AVERAGE(AJ72:AJ74))^4-1,"")</f>
        <v/>
      </c>
      <c r="AL77" s="10" t="n">
        <v>72.95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72.8434</v>
      </c>
      <c r="AQ77" s="12">
        <f>IF(COUNT(AP72:AP77)=6,(AVERAGE(AP75:AP77)/AVERAGE(AP72:AP74))^4-1,"")</f>
        <v/>
      </c>
      <c r="AR77" s="10" t="n">
        <v>84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84.2784</v>
      </c>
      <c r="AW77" s="12">
        <f>IF(COUNT(AV72:AV77)=6,(AVERAGE(AV75:AV77)/AVERAGE(AV72:AV74))^4-1,"")</f>
        <v/>
      </c>
      <c r="AX77" s="10" t="n">
        <v>86.91</v>
      </c>
      <c r="AY77" s="11">
        <f>IF(ISNUMBER(AX77),AX77/AX$65*100,"")</f>
        <v/>
      </c>
      <c r="AZ77" s="12">
        <f>IF(AND(ISNUMBER(AX77),ISNUMBER(AX76)),AX77/AX76-1,"")</f>
        <v/>
      </c>
      <c r="BA77" s="12">
        <f>IF(AND(ISNUMBER(AX77),ISNUMBER(AX65)),AX77/AX65-1,"")</f>
        <v/>
      </c>
      <c r="BB77" s="11" t="n">
        <v>87.2623</v>
      </c>
      <c r="BC77" s="12">
        <f>IF(COUNT(BB72:BB77)=6,(AVERAGE(BB75:BB77)/AVERAGE(BB72:BB74))^4-1,"")</f>
        <v/>
      </c>
    </row>
    <row r="78">
      <c r="A78" s="9" t="n">
        <v>44228</v>
      </c>
      <c r="B78" s="10" t="n">
        <v>85.23999999999999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85.6585</v>
      </c>
      <c r="G78" s="12">
        <f>IF(COUNT(F73:F78)=6,(AVERAGE(F76:F78)/AVERAGE(F73:F75))^4-1,"")</f>
        <v/>
      </c>
      <c r="H78" s="10" t="n">
        <v>88.28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88.8633</v>
      </c>
      <c r="M78" s="12">
        <f>IF(COUNT(L73:L78)=6,(AVERAGE(L76:L78)/AVERAGE(L73:L75))^4-1,"")</f>
        <v/>
      </c>
      <c r="N78" s="10" t="n">
        <v>86.55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87.0133</v>
      </c>
      <c r="S78" s="12">
        <f>IF(COUNT(R73:R78)=6,(AVERAGE(R76:R78)/AVERAGE(R73:R75))^4-1,"")</f>
        <v/>
      </c>
      <c r="T78" s="10" t="n">
        <v>83.86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84.333</v>
      </c>
      <c r="Y78" s="12">
        <f>IF(COUNT(X73:X78)=6,(AVERAGE(X76:X78)/AVERAGE(X73:X75))^4-1,"")</f>
        <v/>
      </c>
      <c r="Z78" s="10" t="n">
        <v>87.58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87.9044</v>
      </c>
      <c r="AE78" s="12">
        <f>IF(COUNT(AD73:AD78)=6,(AVERAGE(AD76:AD78)/AVERAGE(AD73:AD75))^4-1,"")</f>
        <v/>
      </c>
      <c r="AF78" s="10" t="n">
        <v>81.17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81.2047</v>
      </c>
      <c r="AK78" s="12">
        <f>IF(COUNT(AJ73:AJ78)=6,(AVERAGE(AJ76:AJ78)/AVERAGE(AJ73:AJ75))^4-1,"")</f>
        <v/>
      </c>
      <c r="AL78" s="10" t="n">
        <v>74.75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73.5767</v>
      </c>
      <c r="AQ78" s="12">
        <f>IF(COUNT(AP73:AP78)=6,(AVERAGE(AP76:AP78)/AVERAGE(AP73:AP75))^4-1,"")</f>
        <v/>
      </c>
      <c r="AR78" s="10" t="n">
        <v>84.81999999999999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84.6182</v>
      </c>
      <c r="AW78" s="12">
        <f>IF(COUNT(AV73:AV78)=6,(AVERAGE(AV76:AV78)/AVERAGE(AV73:AV75))^4-1,"")</f>
        <v/>
      </c>
      <c r="AX78" s="10" t="n">
        <v>86.91</v>
      </c>
      <c r="AY78" s="11">
        <f>IF(ISNUMBER(AX78),AX78/AX$65*100,"")</f>
        <v/>
      </c>
      <c r="AZ78" s="12">
        <f>IF(AND(ISNUMBER(AX78),ISNUMBER(AX77)),AX78/AX77-1,"")</f>
        <v/>
      </c>
      <c r="BA78" s="12">
        <f>IF(AND(ISNUMBER(AX78),ISNUMBER(AX66)),AX78/AX66-1,"")</f>
        <v/>
      </c>
      <c r="BB78" s="11" t="n">
        <v>87.2534</v>
      </c>
      <c r="BC78" s="12">
        <f>IF(COUNT(BB73:BB78)=6,(AVERAGE(BB76:BB78)/AVERAGE(BB73:BB75))^4-1,"")</f>
        <v/>
      </c>
    </row>
    <row r="79">
      <c r="A79" s="9" t="n">
        <v>44256</v>
      </c>
      <c r="B79" s="10" t="n">
        <v>85.83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85.8</v>
      </c>
      <c r="G79" s="12">
        <f>IF(COUNT(F74:F79)=6,(AVERAGE(F77:F79)/AVERAGE(F74:F76))^4-1,"")</f>
        <v/>
      </c>
      <c r="H79" s="10" t="n">
        <v>88.91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89.0373</v>
      </c>
      <c r="M79" s="12">
        <f>IF(COUNT(L74:L79)=6,(AVERAGE(L77:L79)/AVERAGE(L74:L76))^4-1,"")</f>
        <v/>
      </c>
      <c r="N79" s="10" t="n">
        <v>87.02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87.102</v>
      </c>
      <c r="S79" s="12">
        <f>IF(COUNT(R74:R79)=6,(AVERAGE(R77:R79)/AVERAGE(R74:R76))^4-1,"")</f>
        <v/>
      </c>
      <c r="T79" s="10" t="n">
        <v>84.83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84.486</v>
      </c>
      <c r="Y79" s="12">
        <f>IF(COUNT(X74:X79)=6,(AVERAGE(X77:X79)/AVERAGE(X74:X76))^4-1,"")</f>
        <v/>
      </c>
      <c r="Z79" s="10" t="n">
        <v>87.66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88.0752</v>
      </c>
      <c r="AE79" s="12">
        <f>IF(COUNT(AD74:AD79)=6,(AVERAGE(AD77:AD79)/AVERAGE(AD74:AD76))^4-1,"")</f>
        <v/>
      </c>
      <c r="AF79" s="10" t="n">
        <v>81.2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81.09099999999999</v>
      </c>
      <c r="AK79" s="12">
        <f>IF(COUNT(AJ74:AJ79)=6,(AVERAGE(AJ77:AJ79)/AVERAGE(AJ74:AJ76))^4-1,"")</f>
        <v/>
      </c>
      <c r="AL79" s="10" t="n">
        <v>76.40000000000001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75.79559999999999</v>
      </c>
      <c r="AQ79" s="12">
        <f>IF(COUNT(AP74:AP79)=6,(AVERAGE(AP77:AP79)/AVERAGE(AP74:AP76))^4-1,"")</f>
        <v/>
      </c>
      <c r="AR79" s="10" t="n">
        <v>85.43000000000001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85.6237</v>
      </c>
      <c r="AW79" s="12">
        <f>IF(COUNT(AV74:AV79)=6,(AVERAGE(AV77:AV79)/AVERAGE(AV74:AV76))^4-1,"")</f>
        <v/>
      </c>
      <c r="AX79" s="10" t="n">
        <v>87.43000000000001</v>
      </c>
      <c r="AY79" s="11">
        <f>IF(ISNUMBER(AX79),AX79/AX$65*100,"")</f>
        <v/>
      </c>
      <c r="AZ79" s="12">
        <f>IF(AND(ISNUMBER(AX79),ISNUMBER(AX78)),AX79/AX78-1,"")</f>
        <v/>
      </c>
      <c r="BA79" s="12">
        <f>IF(AND(ISNUMBER(AX79),ISNUMBER(AX67)),AX79/AX67-1,"")</f>
        <v/>
      </c>
      <c r="BB79" s="11" t="n">
        <v>87.3896</v>
      </c>
      <c r="BC79" s="12">
        <f>IF(COUNT(BB74:BB79)=6,(AVERAGE(BB77:BB79)/AVERAGE(BB74:BB76))^4-1,"")</f>
        <v/>
      </c>
    </row>
    <row r="80">
      <c r="A80" s="9" t="n">
        <v>44287</v>
      </c>
      <c r="B80" s="10" t="n">
        <v>86.01000000000001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85.81789999999999</v>
      </c>
      <c r="G80" s="12">
        <f>IF(COUNT(F75:F80)=6,(AVERAGE(F78:F80)/AVERAGE(F75:F77))^4-1,"")</f>
        <v/>
      </c>
      <c r="H80" s="10" t="n">
        <v>89.08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88.7525</v>
      </c>
      <c r="M80" s="12">
        <f>IF(COUNT(L75:L80)=6,(AVERAGE(L78:L80)/AVERAGE(L75:L77))^4-1,"")</f>
        <v/>
      </c>
      <c r="N80" s="10" t="n">
        <v>87.25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86.991</v>
      </c>
      <c r="S80" s="12">
        <f>IF(COUNT(R75:R80)=6,(AVERAGE(R78:R80)/AVERAGE(R75:R77))^4-1,"")</f>
        <v/>
      </c>
      <c r="T80" s="10" t="n">
        <v>84.95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84.6541</v>
      </c>
      <c r="Y80" s="12">
        <f>IF(COUNT(X75:X80)=6,(AVERAGE(X78:X80)/AVERAGE(X75:X77))^4-1,"")</f>
        <v/>
      </c>
      <c r="Z80" s="10" t="n">
        <v>87.90000000000001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87.7029</v>
      </c>
      <c r="AE80" s="12">
        <f>IF(COUNT(AD75:AD80)=6,(AVERAGE(AD78:AD80)/AVERAGE(AD75:AD77))^4-1,"")</f>
        <v/>
      </c>
      <c r="AF80" s="10" t="n">
        <v>81.59999999999999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81.4838</v>
      </c>
      <c r="AK80" s="12">
        <f>IF(COUNT(AJ75:AJ80)=6,(AVERAGE(AJ78:AJ80)/AVERAGE(AJ75:AJ77))^4-1,"")</f>
        <v/>
      </c>
      <c r="AL80" s="10" t="n">
        <v>76.06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75.4148</v>
      </c>
      <c r="AQ80" s="12">
        <f>IF(COUNT(AP75:AP80)=6,(AVERAGE(AP78:AP80)/AVERAGE(AP75:AP77))^4-1,"")</f>
        <v/>
      </c>
      <c r="AR80" s="10" t="n">
        <v>85.44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84.5771</v>
      </c>
      <c r="AW80" s="12">
        <f>IF(COUNT(AV75:AV80)=6,(AVERAGE(AV78:AV80)/AVERAGE(AV75:AV77))^4-1,"")</f>
        <v/>
      </c>
      <c r="AX80" s="10" t="n">
        <v>87.52</v>
      </c>
      <c r="AY80" s="11">
        <f>IF(ISNUMBER(AX80),AX80/AX$65*100,"")</f>
        <v/>
      </c>
      <c r="AZ80" s="12">
        <f>IF(AND(ISNUMBER(AX80),ISNUMBER(AX79)),AX80/AX79-1,"")</f>
        <v/>
      </c>
      <c r="BA80" s="12">
        <f>IF(AND(ISNUMBER(AX80),ISNUMBER(AX68)),AX80/AX68-1,"")</f>
        <v/>
      </c>
      <c r="BB80" s="11" t="n">
        <v>87.3164</v>
      </c>
      <c r="BC80" s="12">
        <f>IF(COUNT(BB75:BB80)=6,(AVERAGE(BB78:BB80)/AVERAGE(BB75:BB77))^4-1,"")</f>
        <v/>
      </c>
    </row>
    <row r="81">
      <c r="A81" s="9" t="n">
        <v>44317</v>
      </c>
      <c r="B81" s="10" t="n">
        <v>86.3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85.96469999999999</v>
      </c>
      <c r="G81" s="12">
        <f>IF(COUNT(F76:F81)=6,(AVERAGE(F79:F81)/AVERAGE(F76:F78))^4-1,"")</f>
        <v/>
      </c>
      <c r="H81" s="10" t="n">
        <v>89.33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89.0492</v>
      </c>
      <c r="M81" s="12">
        <f>IF(COUNT(L76:L81)=6,(AVERAGE(L79:L81)/AVERAGE(L76:L78))^4-1,"")</f>
        <v/>
      </c>
      <c r="N81" s="10" t="n">
        <v>87.54000000000001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87.16459999999999</v>
      </c>
      <c r="S81" s="12">
        <f>IF(COUNT(R76:R81)=6,(AVERAGE(R79:R81)/AVERAGE(R76:R78))^4-1,"")</f>
        <v/>
      </c>
      <c r="T81" s="10" t="n">
        <v>85.23999999999999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84.7149</v>
      </c>
      <c r="Y81" s="12">
        <f>IF(COUNT(X76:X81)=6,(AVERAGE(X79:X81)/AVERAGE(X76:X78))^4-1,"")</f>
        <v/>
      </c>
      <c r="Z81" s="10" t="n">
        <v>88.2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88.0655</v>
      </c>
      <c r="AE81" s="12">
        <f>IF(COUNT(AD76:AD81)=6,(AVERAGE(AD79:AD81)/AVERAGE(AD76:AD78))^4-1,"")</f>
        <v/>
      </c>
      <c r="AF81" s="10" t="n">
        <v>81.97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81.5574</v>
      </c>
      <c r="AK81" s="12">
        <f>IF(COUNT(AJ76:AJ81)=6,(AVERAGE(AJ79:AJ81)/AVERAGE(AJ76:AJ78))^4-1,"")</f>
        <v/>
      </c>
      <c r="AL81" s="10" t="n">
        <v>76.47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76.6097</v>
      </c>
      <c r="AQ81" s="12">
        <f>IF(COUNT(AP76:AP81)=6,(AVERAGE(AP79:AP81)/AVERAGE(AP76:AP78))^4-1,"")</f>
        <v/>
      </c>
      <c r="AR81" s="10" t="n">
        <v>86.05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86.1378</v>
      </c>
      <c r="AW81" s="12">
        <f>IF(COUNT(AV76:AV81)=6,(AVERAGE(AV79:AV81)/AVERAGE(AV76:AV78))^4-1,"")</f>
        <v/>
      </c>
      <c r="AX81" s="10" t="n">
        <v>87.8</v>
      </c>
      <c r="AY81" s="11">
        <f>IF(ISNUMBER(AX81),AX81/AX$65*100,"")</f>
        <v/>
      </c>
      <c r="AZ81" s="12">
        <f>IF(AND(ISNUMBER(AX81),ISNUMBER(AX80)),AX81/AX80-1,"")</f>
        <v/>
      </c>
      <c r="BA81" s="12">
        <f>IF(AND(ISNUMBER(AX81),ISNUMBER(AX69)),AX81/AX69-1,"")</f>
        <v/>
      </c>
      <c r="BB81" s="11" t="n">
        <v>87.4952</v>
      </c>
      <c r="BC81" s="12">
        <f>IF(COUNT(BB76:BB81)=6,(AVERAGE(BB79:BB81)/AVERAGE(BB76:BB78))^4-1,"")</f>
        <v/>
      </c>
    </row>
    <row r="82">
      <c r="A82" s="9" t="n">
        <v>44348</v>
      </c>
      <c r="B82" s="10" t="n">
        <v>86.45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86.12009999999999</v>
      </c>
      <c r="G82" s="12">
        <f>IF(COUNT(F77:F82)=6,(AVERAGE(F80:F82)/AVERAGE(F77:F79))^4-1,"")</f>
        <v/>
      </c>
      <c r="H82" s="10" t="n">
        <v>89.59999999999999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89.1144</v>
      </c>
      <c r="M82" s="12">
        <f>IF(COUNT(L77:L82)=6,(AVERAGE(L80:L82)/AVERAGE(L77:L79))^4-1,"")</f>
        <v/>
      </c>
      <c r="N82" s="10" t="n">
        <v>87.59999999999999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87.2221</v>
      </c>
      <c r="S82" s="12">
        <f>IF(COUNT(R77:R82)=6,(AVERAGE(R80:R82)/AVERAGE(R77:R79))^4-1,"")</f>
        <v/>
      </c>
      <c r="T82" s="10" t="n">
        <v>85.40000000000001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85.0621</v>
      </c>
      <c r="Y82" s="12">
        <f>IF(COUNT(X77:X82)=6,(AVERAGE(X80:X82)/AVERAGE(X77:X79))^4-1,"")</f>
        <v/>
      </c>
      <c r="Z82" s="10" t="n">
        <v>88.34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88.09999999999999</v>
      </c>
      <c r="AE82" s="12">
        <f>IF(COUNT(AD77:AD82)=6,(AVERAGE(AD80:AD82)/AVERAGE(AD77:AD79))^4-1,"")</f>
        <v/>
      </c>
      <c r="AF82" s="10" t="n">
        <v>81.47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81.38249999999999</v>
      </c>
      <c r="AK82" s="12">
        <f>IF(COUNT(AJ77:AJ82)=6,(AVERAGE(AJ80:AJ82)/AVERAGE(AJ77:AJ79))^4-1,"")</f>
        <v/>
      </c>
      <c r="AL82" s="10" t="n">
        <v>77.31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78.0301</v>
      </c>
      <c r="AQ82" s="12">
        <f>IF(COUNT(AP77:AP82)=6,(AVERAGE(AP80:AP82)/AVERAGE(AP77:AP79))^4-1,"")</f>
        <v/>
      </c>
      <c r="AR82" s="10" t="n">
        <v>86.56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86.57680000000001</v>
      </c>
      <c r="AW82" s="12">
        <f>IF(COUNT(AV77:AV82)=6,(AVERAGE(AV80:AV82)/AVERAGE(AV77:AV79))^4-1,"")</f>
        <v/>
      </c>
      <c r="AX82" s="10" t="n">
        <v>87.92</v>
      </c>
      <c r="AY82" s="11">
        <f>IF(ISNUMBER(AX82),AX82/AX$65*100,"")</f>
        <v/>
      </c>
      <c r="AZ82" s="12">
        <f>IF(AND(ISNUMBER(AX82),ISNUMBER(AX81)),AX82/AX81-1,"")</f>
        <v/>
      </c>
      <c r="BA82" s="12">
        <f>IF(AND(ISNUMBER(AX82),ISNUMBER(AX70)),AX82/AX70-1,"")</f>
        <v/>
      </c>
      <c r="BB82" s="11" t="n">
        <v>87.62130000000001</v>
      </c>
      <c r="BC82" s="12">
        <f>IF(COUNT(BB77:BB82)=6,(AVERAGE(BB80:BB82)/AVERAGE(BB77:BB79))^4-1,"")</f>
        <v/>
      </c>
    </row>
    <row r="83">
      <c r="A83" s="9" t="n">
        <v>44378</v>
      </c>
      <c r="B83" s="10" t="n">
        <v>86.51000000000001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86.22880000000001</v>
      </c>
      <c r="G83" s="12">
        <f>IF(COUNT(F78:F83)=6,(AVERAGE(F81:F83)/AVERAGE(F78:F80))^4-1,"")</f>
        <v/>
      </c>
      <c r="H83" s="10" t="n">
        <v>89.41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89.086</v>
      </c>
      <c r="M83" s="12">
        <f>IF(COUNT(L78:L83)=6,(AVERAGE(L81:L83)/AVERAGE(L78:L80))^4-1,"")</f>
        <v/>
      </c>
      <c r="N83" s="10" t="n">
        <v>87.48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87.21720000000001</v>
      </c>
      <c r="S83" s="12">
        <f>IF(COUNT(R78:R83)=6,(AVERAGE(R81:R83)/AVERAGE(R78:R80))^4-1,"")</f>
        <v/>
      </c>
      <c r="T83" s="10" t="n">
        <v>84.98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85.61960000000001</v>
      </c>
      <c r="Y83" s="12">
        <f>IF(COUNT(X78:X83)=6,(AVERAGE(X81:X83)/AVERAGE(X78:X80))^4-1,"")</f>
        <v/>
      </c>
      <c r="Z83" s="10" t="n">
        <v>89.05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87.6948</v>
      </c>
      <c r="AE83" s="12">
        <f>IF(COUNT(AD78:AD83)=6,(AVERAGE(AD81:AD83)/AVERAGE(AD78:AD80))^4-1,"")</f>
        <v/>
      </c>
      <c r="AF83" s="10" t="n">
        <v>81.54000000000001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81.4871</v>
      </c>
      <c r="AK83" s="12">
        <f>IF(COUNT(AJ78:AJ83)=6,(AVERAGE(AJ81:AJ83)/AVERAGE(AJ78:AJ80))^4-1,"")</f>
        <v/>
      </c>
      <c r="AL83" s="10" t="n">
        <v>79.01000000000001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79.51819999999999</v>
      </c>
      <c r="AQ83" s="12">
        <f>IF(COUNT(AP78:AP83)=6,(AVERAGE(AP81:AP83)/AVERAGE(AP78:AP80))^4-1,"")</f>
        <v/>
      </c>
      <c r="AR83" s="10" t="n">
        <v>87.87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86.5459</v>
      </c>
      <c r="AW83" s="12">
        <f>IF(COUNT(AV78:AV83)=6,(AVERAGE(AV81:AV83)/AVERAGE(AV78:AV80))^4-1,"")</f>
        <v/>
      </c>
      <c r="AX83" s="10" t="n">
        <v>87.97</v>
      </c>
      <c r="AY83" s="11">
        <f>IF(ISNUMBER(AX83),AX83/AX$65*100,"")</f>
        <v/>
      </c>
      <c r="AZ83" s="12">
        <f>IF(AND(ISNUMBER(AX83),ISNUMBER(AX82)),AX83/AX82-1,"")</f>
        <v/>
      </c>
      <c r="BA83" s="12">
        <f>IF(AND(ISNUMBER(AX83),ISNUMBER(AX71)),AX83/AX71-1,"")</f>
        <v/>
      </c>
      <c r="BB83" s="11" t="n">
        <v>87.70740000000001</v>
      </c>
      <c r="BC83" s="12">
        <f>IF(COUNT(BB78:BB83)=6,(AVERAGE(BB81:BB83)/AVERAGE(BB78:BB80))^4-1,"")</f>
        <v/>
      </c>
    </row>
    <row r="84">
      <c r="A84" s="9" t="n">
        <v>44409</v>
      </c>
      <c r="B84" s="10" t="n">
        <v>87.09999999999999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86.54940000000001</v>
      </c>
      <c r="G84" s="12">
        <f>IF(COUNT(F79:F84)=6,(AVERAGE(F82:F84)/AVERAGE(F79:F81))^4-1,"")</f>
        <v/>
      </c>
      <c r="H84" s="10" t="n">
        <v>90.06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89.2829</v>
      </c>
      <c r="M84" s="12">
        <f>IF(COUNT(L79:L84)=6,(AVERAGE(L82:L84)/AVERAGE(L79:L81))^4-1,"")</f>
        <v/>
      </c>
      <c r="N84" s="10" t="n">
        <v>88.08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87.38120000000001</v>
      </c>
      <c r="S84" s="12">
        <f>IF(COUNT(R79:R84)=6,(AVERAGE(R82:R84)/AVERAGE(R79:R81))^4-1,"")</f>
        <v/>
      </c>
      <c r="T84" s="10" t="n">
        <v>85.73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86.0275</v>
      </c>
      <c r="Y84" s="12">
        <f>IF(COUNT(X79:X84)=6,(AVERAGE(X82:X84)/AVERAGE(X79:X81))^4-1,"")</f>
        <v/>
      </c>
      <c r="Z84" s="10" t="n">
        <v>89.44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88.0235</v>
      </c>
      <c r="AE84" s="12">
        <f>IF(COUNT(AD79:AD84)=6,(AVERAGE(AD82:AD84)/AVERAGE(AD79:AD81))^4-1,"")</f>
        <v/>
      </c>
      <c r="AF84" s="10" t="n">
        <v>82.01000000000001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81.8879</v>
      </c>
      <c r="AK84" s="12">
        <f>IF(COUNT(AJ79:AJ84)=6,(AVERAGE(AJ82:AJ84)/AVERAGE(AJ79:AJ81))^4-1,"")</f>
        <v/>
      </c>
      <c r="AL84" s="10" t="n">
        <v>79.54000000000001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79.79640000000001</v>
      </c>
      <c r="AQ84" s="12">
        <f>IF(COUNT(AP79:AP84)=6,(AVERAGE(AP82:AP84)/AVERAGE(AP79:AP81))^4-1,"")</f>
        <v/>
      </c>
      <c r="AR84" s="10" t="n">
        <v>87.59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86.30200000000001</v>
      </c>
      <c r="AW84" s="12">
        <f>IF(COUNT(AV79:AV84)=6,(AVERAGE(AV82:AV84)/AVERAGE(AV79:AV81))^4-1,"")</f>
        <v/>
      </c>
      <c r="AX84" s="10" t="n">
        <v>88.5</v>
      </c>
      <c r="AY84" s="11">
        <f>IF(ISNUMBER(AX84),AX84/AX$65*100,"")</f>
        <v/>
      </c>
      <c r="AZ84" s="12">
        <f>IF(AND(ISNUMBER(AX84),ISNUMBER(AX83)),AX84/AX83-1,"")</f>
        <v/>
      </c>
      <c r="BA84" s="12">
        <f>IF(AND(ISNUMBER(AX84),ISNUMBER(AX72)),AX84/AX72-1,"")</f>
        <v/>
      </c>
      <c r="BB84" s="11" t="n">
        <v>87.9823</v>
      </c>
      <c r="BC84" s="12">
        <f>IF(COUNT(BB79:BB84)=6,(AVERAGE(BB82:BB84)/AVERAGE(BB79:BB81))^4-1,"")</f>
        <v/>
      </c>
    </row>
    <row r="85">
      <c r="A85" s="9" t="n">
        <v>44440</v>
      </c>
      <c r="B85" s="10" t="n">
        <v>86.93000000000001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87.2204</v>
      </c>
      <c r="G85" s="12">
        <f>IF(COUNT(F80:F85)=6,(AVERAGE(F83:F85)/AVERAGE(F80:F82))^4-1,"")</f>
        <v/>
      </c>
      <c r="H85" s="10" t="n">
        <v>89.83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89.89319999999999</v>
      </c>
      <c r="M85" s="12">
        <f>IF(COUNT(L80:L85)=6,(AVERAGE(L83:L85)/AVERAGE(L80:L82))^4-1,"")</f>
        <v/>
      </c>
      <c r="N85" s="10" t="n">
        <v>87.76000000000001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87.8973</v>
      </c>
      <c r="S85" s="12">
        <f>IF(COUNT(R80:R85)=6,(AVERAGE(R83:R85)/AVERAGE(R80:R82))^4-1,"")</f>
        <v/>
      </c>
      <c r="T85" s="10" t="n">
        <v>86.06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86.3044</v>
      </c>
      <c r="Y85" s="12">
        <f>IF(COUNT(X80:X85)=6,(AVERAGE(X83:X85)/AVERAGE(X80:X82))^4-1,"")</f>
        <v/>
      </c>
      <c r="Z85" s="10" t="n">
        <v>88.56999999999999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88.944</v>
      </c>
      <c r="AE85" s="12">
        <f>IF(COUNT(AD80:AD85)=6,(AVERAGE(AD83:AD85)/AVERAGE(AD80:AD82))^4-1,"")</f>
        <v/>
      </c>
      <c r="AF85" s="10" t="n">
        <v>81.43000000000001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81.5663</v>
      </c>
      <c r="AK85" s="12">
        <f>IF(COUNT(AJ80:AJ85)=6,(AVERAGE(AJ83:AJ85)/AVERAGE(AJ80:AJ82))^4-1,"")</f>
        <v/>
      </c>
      <c r="AL85" s="10" t="n">
        <v>80.62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81.2278</v>
      </c>
      <c r="AQ85" s="12">
        <f>IF(COUNT(AP80:AP85)=6,(AVERAGE(AP83:AP85)/AVERAGE(AP80:AP82))^4-1,"")</f>
        <v/>
      </c>
      <c r="AR85" s="10" t="n">
        <v>87.23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88.56310000000001</v>
      </c>
      <c r="AW85" s="12">
        <f>IF(COUNT(AV80:AV85)=6,(AVERAGE(AV83:AV85)/AVERAGE(AV80:AV82))^4-1,"")</f>
        <v/>
      </c>
      <c r="AX85" s="10" t="n">
        <v>88.31</v>
      </c>
      <c r="AY85" s="11">
        <f>IF(ISNUMBER(AX85),AX85/AX$65*100,"")</f>
        <v/>
      </c>
      <c r="AZ85" s="12">
        <f>IF(AND(ISNUMBER(AX85),ISNUMBER(AX84)),AX85/AX84-1,"")</f>
        <v/>
      </c>
      <c r="BA85" s="12">
        <f>IF(AND(ISNUMBER(AX85),ISNUMBER(AX73)),AX85/AX73-1,"")</f>
        <v/>
      </c>
      <c r="BB85" s="11" t="n">
        <v>88.586</v>
      </c>
      <c r="BC85" s="12">
        <f>IF(COUNT(BB80:BB85)=6,(AVERAGE(BB83:BB85)/AVERAGE(BB80:BB82))^4-1,"")</f>
        <v/>
      </c>
    </row>
    <row r="86">
      <c r="A86" s="9" t="n">
        <v>44470</v>
      </c>
      <c r="B86" s="10" t="n">
        <v>87.31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87.39870000000001</v>
      </c>
      <c r="G86" s="12">
        <f>IF(COUNT(F81:F86)=6,(AVERAGE(F84:F86)/AVERAGE(F81:F83))^4-1,"")</f>
        <v/>
      </c>
      <c r="H86" s="10" t="n">
        <v>89.86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89.9066</v>
      </c>
      <c r="M86" s="12">
        <f>IF(COUNT(L81:L86)=6,(AVERAGE(L84:L86)/AVERAGE(L81:L83))^4-1,"")</f>
        <v/>
      </c>
      <c r="N86" s="10" t="n">
        <v>87.75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87.8635</v>
      </c>
      <c r="S86" s="12">
        <f>IF(COUNT(R81:R86)=6,(AVERAGE(R84:R86)/AVERAGE(R81:R83))^4-1,"")</f>
        <v/>
      </c>
      <c r="T86" s="10" t="n">
        <v>86.78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86.7505</v>
      </c>
      <c r="Y86" s="12">
        <f>IF(COUNT(X81:X86)=6,(AVERAGE(X84:X86)/AVERAGE(X81:X83))^4-1,"")</f>
        <v/>
      </c>
      <c r="Z86" s="10" t="n">
        <v>88.48999999999999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88.8925</v>
      </c>
      <c r="AE86" s="12">
        <f>IF(COUNT(AD81:AD86)=6,(AVERAGE(AD84:AD86)/AVERAGE(AD81:AD83))^4-1,"")</f>
        <v/>
      </c>
      <c r="AF86" s="10" t="n">
        <v>81.31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81.6353</v>
      </c>
      <c r="AK86" s="12">
        <f>IF(COUNT(AJ81:AJ86)=6,(AVERAGE(AJ84:AJ86)/AVERAGE(AJ81:AJ83))^4-1,"")</f>
        <v/>
      </c>
      <c r="AL86" s="10" t="n">
        <v>84.51000000000001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83.9868</v>
      </c>
      <c r="AQ86" s="12">
        <f>IF(COUNT(AP81:AP86)=6,(AVERAGE(AP84:AP86)/AVERAGE(AP81:AP83))^4-1,"")</f>
        <v/>
      </c>
      <c r="AR86" s="10" t="n">
        <v>88.52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88.89190000000001</v>
      </c>
      <c r="AW86" s="12">
        <f>IF(COUNT(AV81:AV86)=6,(AVERAGE(AV84:AV86)/AVERAGE(AV81:AV83))^4-1,"")</f>
        <v/>
      </c>
      <c r="AX86" s="10" t="n">
        <v>88.67</v>
      </c>
      <c r="AY86" s="11">
        <f>IF(ISNUMBER(AX86),AX86/AX$65*100,"")</f>
        <v/>
      </c>
      <c r="AZ86" s="12">
        <f>IF(AND(ISNUMBER(AX86),ISNUMBER(AX85)),AX86/AX85-1,"")</f>
        <v/>
      </c>
      <c r="BA86" s="12">
        <f>IF(AND(ISNUMBER(AX86),ISNUMBER(AX74)),AX86/AX74-1,"")</f>
        <v/>
      </c>
      <c r="BB86" s="11" t="n">
        <v>88.82550000000001</v>
      </c>
      <c r="BC86" s="12">
        <f>IF(COUNT(BB81:BB86)=6,(AVERAGE(BB84:BB86)/AVERAGE(BB81:BB83))^4-1,"")</f>
        <v/>
      </c>
    </row>
    <row r="87">
      <c r="A87" s="9" t="n">
        <v>44501</v>
      </c>
      <c r="B87" s="10" t="n">
        <v>87.67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88.0172</v>
      </c>
      <c r="G87" s="12">
        <f>IF(COUNT(F82:F87)=6,(AVERAGE(F85:F87)/AVERAGE(F82:F84))^4-1,"")</f>
        <v/>
      </c>
      <c r="H87" s="10" t="n">
        <v>90.06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90.4358</v>
      </c>
      <c r="M87" s="12">
        <f>IF(COUNT(L82:L87)=6,(AVERAGE(L85:L87)/AVERAGE(L82:L84))^4-1,"")</f>
        <v/>
      </c>
      <c r="N87" s="10" t="n">
        <v>87.98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88.3083</v>
      </c>
      <c r="S87" s="12">
        <f>IF(COUNT(R82:R87)=6,(AVERAGE(R85:R87)/AVERAGE(R82:R84))^4-1,"")</f>
        <v/>
      </c>
      <c r="T87" s="10" t="n">
        <v>87.26000000000001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87.0408</v>
      </c>
      <c r="Y87" s="12">
        <f>IF(COUNT(X82:X87)=6,(AVERAGE(X85:X87)/AVERAGE(X82:X84))^4-1,"")</f>
        <v/>
      </c>
      <c r="Z87" s="10" t="n">
        <v>88.69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89.5138</v>
      </c>
      <c r="AE87" s="12">
        <f>IF(COUNT(AD82:AD87)=6,(AVERAGE(AD85:AD87)/AVERAGE(AD82:AD84))^4-1,"")</f>
        <v/>
      </c>
      <c r="AF87" s="10" t="n">
        <v>81.59999999999999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81.8668</v>
      </c>
      <c r="AK87" s="12">
        <f>IF(COUNT(AJ82:AJ87)=6,(AVERAGE(AJ85:AJ87)/AVERAGE(AJ82:AJ84))^4-1,"")</f>
        <v/>
      </c>
      <c r="AL87" s="10" t="n">
        <v>86.03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85.5337</v>
      </c>
      <c r="AQ87" s="12">
        <f>IF(COUNT(AP82:AP87)=6,(AVERAGE(AP85:AP87)/AVERAGE(AP82:AP84))^4-1,"")</f>
        <v/>
      </c>
      <c r="AR87" s="10" t="n">
        <v>89.06999999999999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89.968</v>
      </c>
      <c r="AW87" s="12">
        <f>IF(COUNT(AV82:AV87)=6,(AVERAGE(AV85:AV87)/AVERAGE(AV82:AV84))^4-1,"")</f>
        <v/>
      </c>
      <c r="AX87" s="10" t="n">
        <v>89</v>
      </c>
      <c r="AY87" s="11">
        <f>IF(ISNUMBER(AX87),AX87/AX$65*100,"")</f>
        <v/>
      </c>
      <c r="AZ87" s="12">
        <f>IF(AND(ISNUMBER(AX87),ISNUMBER(AX86)),AX87/AX86-1,"")</f>
        <v/>
      </c>
      <c r="BA87" s="12">
        <f>IF(AND(ISNUMBER(AX87),ISNUMBER(AX75)),AX87/AX75-1,"")</f>
        <v/>
      </c>
      <c r="BB87" s="11" t="n">
        <v>89.3017</v>
      </c>
      <c r="BC87" s="12">
        <f>IF(COUNT(BB82:BB87)=6,(AVERAGE(BB85:BB87)/AVERAGE(BB82:BB84))^4-1,"")</f>
        <v/>
      </c>
    </row>
    <row r="88">
      <c r="A88" s="9" t="n">
        <v>44531</v>
      </c>
      <c r="B88" s="10" t="n">
        <v>87.87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88.1943</v>
      </c>
      <c r="G88" s="12">
        <f>IF(COUNT(F83:F88)=6,(AVERAGE(F86:F88)/AVERAGE(F83:F85))^4-1,"")</f>
        <v/>
      </c>
      <c r="H88" s="10" t="n">
        <v>90.3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90.5211</v>
      </c>
      <c r="M88" s="12">
        <f>IF(COUNT(L83:L88)=6,(AVERAGE(L86:L88)/AVERAGE(L83:L85))^4-1,"")</f>
        <v/>
      </c>
      <c r="N88" s="10" t="n">
        <v>88.25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88.48950000000001</v>
      </c>
      <c r="S88" s="12">
        <f>IF(COUNT(R83:R88)=6,(AVERAGE(R86:R88)/AVERAGE(R83:R85))^4-1,"")</f>
        <v/>
      </c>
      <c r="T88" s="10" t="n">
        <v>87.34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87.3137</v>
      </c>
      <c r="Y88" s="12">
        <f>IF(COUNT(X83:X88)=6,(AVERAGE(X86:X88)/AVERAGE(X83:X85))^4-1,"")</f>
        <v/>
      </c>
      <c r="Z88" s="10" t="n">
        <v>89.06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89.57769999999999</v>
      </c>
      <c r="AE88" s="12">
        <f>IF(COUNT(AD83:AD88)=6,(AVERAGE(AD86:AD88)/AVERAGE(AD83:AD85))^4-1,"")</f>
        <v/>
      </c>
      <c r="AF88" s="10" t="n">
        <v>81.95999999999999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82.2706</v>
      </c>
      <c r="AK88" s="12">
        <f>IF(COUNT(AJ83:AJ88)=6,(AVERAGE(AJ86:AJ88)/AVERAGE(AJ83:AJ85))^4-1,"")</f>
        <v/>
      </c>
      <c r="AL88" s="10" t="n">
        <v>85.59999999999999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86.9718</v>
      </c>
      <c r="AQ88" s="12">
        <f>IF(COUNT(AP83:AP88)=6,(AVERAGE(AP86:AP88)/AVERAGE(AP83:AP85))^4-1,"")</f>
        <v/>
      </c>
      <c r="AR88" s="10" t="n">
        <v>89.03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89.77070000000001</v>
      </c>
      <c r="AW88" s="12">
        <f>IF(COUNT(AV83:AV88)=6,(AVERAGE(AV86:AV88)/AVERAGE(AV83:AV85))^4-1,"")</f>
        <v/>
      </c>
      <c r="AX88" s="10" t="n">
        <v>89.17</v>
      </c>
      <c r="AY88" s="11">
        <f>IF(ISNUMBER(AX88),AX88/AX$65*100,"")</f>
        <v/>
      </c>
      <c r="AZ88" s="12">
        <f>IF(AND(ISNUMBER(AX88),ISNUMBER(AX87)),AX88/AX87-1,"")</f>
        <v/>
      </c>
      <c r="BA88" s="12">
        <f>IF(AND(ISNUMBER(AX88),ISNUMBER(AX76)),AX88/AX76-1,"")</f>
        <v/>
      </c>
      <c r="BB88" s="11" t="n">
        <v>89.48609999999999</v>
      </c>
      <c r="BC88" s="12">
        <f>IF(COUNT(BB83:BB88)=6,(AVERAGE(BB86:BB88)/AVERAGE(BB83:BB85))^4-1,"")</f>
        <v/>
      </c>
    </row>
    <row r="89">
      <c r="A89" s="9" t="n">
        <v>44562</v>
      </c>
      <c r="B89" s="10" t="n">
        <v>88.01000000000001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88.3886</v>
      </c>
      <c r="G89" s="12">
        <f>IF(COUNT(F84:F89)=6,(AVERAGE(F87:F89)/AVERAGE(F84:F86))^4-1,"")</f>
        <v/>
      </c>
      <c r="H89" s="10" t="n">
        <v>90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90.935</v>
      </c>
      <c r="M89" s="12">
        <f>IF(COUNT(L84:L89)=6,(AVERAGE(L87:L89)/AVERAGE(L84:L86))^4-1,"")</f>
        <v/>
      </c>
      <c r="N89" s="10" t="n">
        <v>88.13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88.8762</v>
      </c>
      <c r="S89" s="12">
        <f>IF(COUNT(R84:R89)=6,(AVERAGE(R87:R89)/AVERAGE(R84:R86))^4-1,"")</f>
        <v/>
      </c>
      <c r="T89" s="10" t="n">
        <v>87.53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87.6557</v>
      </c>
      <c r="Y89" s="12">
        <f>IF(COUNT(X84:X89)=6,(AVERAGE(X87:X89)/AVERAGE(X84:X86))^4-1,"")</f>
        <v/>
      </c>
      <c r="Z89" s="10" t="n">
        <v>89.15000000000001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89.84690000000001</v>
      </c>
      <c r="AE89" s="12">
        <f>IF(COUNT(AD84:AD89)=6,(AVERAGE(AD87:AD89)/AVERAGE(AD84:AD86))^4-1,"")</f>
        <v/>
      </c>
      <c r="AF89" s="10" t="n">
        <v>82.39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82.28870000000001</v>
      </c>
      <c r="AK89" s="12">
        <f>IF(COUNT(AJ84:AJ89)=6,(AVERAGE(AJ87:AJ89)/AVERAGE(AJ84:AJ86))^4-1,"")</f>
        <v/>
      </c>
      <c r="AL89" s="10" t="n">
        <v>87.94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88.3608</v>
      </c>
      <c r="AQ89" s="12">
        <f>IF(COUNT(AP84:AP89)=6,(AVERAGE(AP87:AP89)/AVERAGE(AP84:AP86))^4-1,"")</f>
        <v/>
      </c>
      <c r="AR89" s="10" t="n">
        <v>89.73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90.1571</v>
      </c>
      <c r="AW89" s="12">
        <f>IF(COUNT(AV84:AV89)=6,(AVERAGE(AV87:AV89)/AVERAGE(AV84:AV86))^4-1,"")</f>
        <v/>
      </c>
      <c r="AX89" s="10" t="n">
        <v>89.39</v>
      </c>
      <c r="AY89" s="11">
        <f>IF(ISNUMBER(AX89),AX89/AX$65*100,"")</f>
        <v/>
      </c>
      <c r="AZ89" s="12">
        <f>IF(AND(ISNUMBER(AX89),ISNUMBER(AX88)),AX89/AX88-1,"")</f>
        <v/>
      </c>
      <c r="BA89" s="12">
        <f>IF(AND(ISNUMBER(AX89),ISNUMBER(AX77)),AX89/AX77-1,"")</f>
        <v/>
      </c>
      <c r="BB89" s="11" t="n">
        <v>89.7529</v>
      </c>
      <c r="BC89" s="12">
        <f>IF(COUNT(BB84:BB89)=6,(AVERAGE(BB87:BB89)/AVERAGE(BB84:BB86))^4-1,"")</f>
        <v/>
      </c>
    </row>
    <row r="90">
      <c r="A90" s="9" t="n">
        <v>44593</v>
      </c>
      <c r="B90" s="10" t="n">
        <v>88.8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89.2157</v>
      </c>
      <c r="G90" s="12">
        <f>IF(COUNT(F85:F90)=6,(AVERAGE(F88:F90)/AVERAGE(F85:F87))^4-1,"")</f>
        <v/>
      </c>
      <c r="H90" s="10" t="n">
        <v>90.58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91.16289999999999</v>
      </c>
      <c r="M90" s="12">
        <f>IF(COUNT(L85:L90)=6,(AVERAGE(L88:L90)/AVERAGE(L85:L87))^4-1,"")</f>
        <v/>
      </c>
      <c r="N90" s="10" t="n">
        <v>88.63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89.0907</v>
      </c>
      <c r="S90" s="12">
        <f>IF(COUNT(R85:R90)=6,(AVERAGE(R88:R90)/AVERAGE(R85:R87))^4-1,"")</f>
        <v/>
      </c>
      <c r="T90" s="10" t="n">
        <v>88.54000000000001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88.98269999999999</v>
      </c>
      <c r="Y90" s="12">
        <f>IF(COUNT(X85:X90)=6,(AVERAGE(X88:X90)/AVERAGE(X85:X87))^4-1,"")</f>
        <v/>
      </c>
      <c r="Z90" s="10" t="n">
        <v>89.64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90.0025</v>
      </c>
      <c r="AE90" s="12">
        <f>IF(COUNT(AD85:AD90)=6,(AVERAGE(AD88:AD90)/AVERAGE(AD85:AD87))^4-1,"")</f>
        <v/>
      </c>
      <c r="AF90" s="10" t="n">
        <v>82.65000000000001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82.6795</v>
      </c>
      <c r="AK90" s="12">
        <f>IF(COUNT(AJ85:AJ90)=6,(AVERAGE(AJ88:AJ90)/AVERAGE(AJ85:AJ87))^4-1,"")</f>
        <v/>
      </c>
      <c r="AL90" s="10" t="n">
        <v>91.18000000000001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89.6279</v>
      </c>
      <c r="AQ90" s="12">
        <f>IF(COUNT(AP85:AP90)=6,(AVERAGE(AP88:AP90)/AVERAGE(AP85:AP87))^4-1,"")</f>
        <v/>
      </c>
      <c r="AR90" s="10" t="n">
        <v>91.67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91.40779999999999</v>
      </c>
      <c r="AW90" s="12">
        <f>IF(COUNT(AV85:AV90)=6,(AVERAGE(AV88:AV90)/AVERAGE(AV85:AV87))^4-1,"")</f>
        <v/>
      </c>
      <c r="AX90" s="10" t="n">
        <v>90.06999999999999</v>
      </c>
      <c r="AY90" s="11">
        <f>IF(ISNUMBER(AX90),AX90/AX$65*100,"")</f>
        <v/>
      </c>
      <c r="AZ90" s="12">
        <f>IF(AND(ISNUMBER(AX90),ISNUMBER(AX89)),AX90/AX89-1,"")</f>
        <v/>
      </c>
      <c r="BA90" s="12">
        <f>IF(AND(ISNUMBER(AX90),ISNUMBER(AX78)),AX90/AX78-1,"")</f>
        <v/>
      </c>
      <c r="BB90" s="11" t="n">
        <v>90.3897</v>
      </c>
      <c r="BC90" s="12">
        <f>IF(COUNT(BB85:BB90)=6,(AVERAGE(BB88:BB90)/AVERAGE(BB85:BB87))^4-1,"")</f>
        <v/>
      </c>
    </row>
    <row r="91">
      <c r="A91" s="9" t="n">
        <v>44621</v>
      </c>
      <c r="B91" s="10" t="n">
        <v>90.22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90.2346</v>
      </c>
      <c r="G91" s="12">
        <f>IF(COUNT(F86:F91)=6,(AVERAGE(F89:F91)/AVERAGE(F86:F88))^4-1,"")</f>
        <v/>
      </c>
      <c r="H91" s="10" t="n">
        <v>91.22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91.3934</v>
      </c>
      <c r="M91" s="12">
        <f>IF(COUNT(L86:L91)=6,(AVERAGE(L89:L91)/AVERAGE(L86:L88))^4-1,"")</f>
        <v/>
      </c>
      <c r="N91" s="10" t="n">
        <v>89.28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89.4002</v>
      </c>
      <c r="S91" s="12">
        <f>IF(COUNT(R86:R91)=6,(AVERAGE(R89:R91)/AVERAGE(R86:R88))^4-1,"")</f>
        <v/>
      </c>
      <c r="T91" s="10" t="n">
        <v>90.88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90.5402</v>
      </c>
      <c r="Y91" s="12">
        <f>IF(COUNT(X86:X91)=6,(AVERAGE(X89:X91)/AVERAGE(X86:X88))^4-1,"")</f>
        <v/>
      </c>
      <c r="Z91" s="10" t="n">
        <v>89.84999999999999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90.3199</v>
      </c>
      <c r="AE91" s="12">
        <f>IF(COUNT(AD86:AD91)=6,(AVERAGE(AD89:AD91)/AVERAGE(AD86:AD88))^4-1,"")</f>
        <v/>
      </c>
      <c r="AF91" s="10" t="n">
        <v>83.3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83.21299999999999</v>
      </c>
      <c r="AK91" s="12">
        <f>IF(COUNT(AJ86:AJ91)=6,(AVERAGE(AJ89:AJ91)/AVERAGE(AJ86:AJ88))^4-1,"")</f>
        <v/>
      </c>
      <c r="AL91" s="10" t="n">
        <v>99.13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98.25749999999999</v>
      </c>
      <c r="AQ91" s="12">
        <f>IF(COUNT(AP86:AP91)=6,(AVERAGE(AP89:AP91)/AVERAGE(AP86:AP88))^4-1,"")</f>
        <v/>
      </c>
      <c r="AR91" s="10" t="n">
        <v>95.27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95.39019999999999</v>
      </c>
      <c r="AW91" s="12">
        <f>IF(COUNT(AV86:AV91)=6,(AVERAGE(AV89:AV91)/AVERAGE(AV86:AV88))^4-1,"")</f>
        <v/>
      </c>
      <c r="AX91" s="10" t="n">
        <v>91.34999999999999</v>
      </c>
      <c r="AY91" s="11">
        <f>IF(ISNUMBER(AX91),AX91/AX$65*100,"")</f>
        <v/>
      </c>
      <c r="AZ91" s="12">
        <f>IF(AND(ISNUMBER(AX91),ISNUMBER(AX90)),AX91/AX90-1,"")</f>
        <v/>
      </c>
      <c r="BA91" s="12">
        <f>IF(AND(ISNUMBER(AX91),ISNUMBER(AX79)),AX91/AX79-1,"")</f>
        <v/>
      </c>
      <c r="BB91" s="11" t="n">
        <v>91.34439999999999</v>
      </c>
      <c r="BC91" s="12">
        <f>IF(COUNT(BB86:BB91)=6,(AVERAGE(BB89:BB91)/AVERAGE(BB86:BB88))^4-1,"")</f>
        <v/>
      </c>
    </row>
    <row r="92">
      <c r="A92" s="9" t="n">
        <v>44652</v>
      </c>
      <c r="B92" s="10" t="n">
        <v>90.64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90.398</v>
      </c>
      <c r="G92" s="12">
        <f>IF(COUNT(F87:F92)=6,(AVERAGE(F90:F92)/AVERAGE(F87:F89))^4-1,"")</f>
        <v/>
      </c>
      <c r="H92" s="10" t="n">
        <v>91.89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91.5269</v>
      </c>
      <c r="M92" s="12">
        <f>IF(COUNT(L87:L92)=6,(AVERAGE(L90:L92)/AVERAGE(L87:L89))^4-1,"")</f>
        <v/>
      </c>
      <c r="N92" s="10" t="n">
        <v>90.04000000000001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89.7461</v>
      </c>
      <c r="S92" s="12">
        <f>IF(COUNT(R87:R92)=6,(AVERAGE(R90:R92)/AVERAGE(R87:R89))^4-1,"")</f>
        <v/>
      </c>
      <c r="T92" s="10" t="n">
        <v>91.05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90.7124</v>
      </c>
      <c r="Y92" s="12">
        <f>IF(COUNT(X87:X92)=6,(AVERAGE(X90:X92)/AVERAGE(X87:X89))^4-1,"")</f>
        <v/>
      </c>
      <c r="Z92" s="10" t="n">
        <v>90.59999999999999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90.3476</v>
      </c>
      <c r="AE92" s="12">
        <f>IF(COUNT(AD87:AD92)=6,(AVERAGE(AD90:AD92)/AVERAGE(AD87:AD89))^4-1,"")</f>
        <v/>
      </c>
      <c r="AF92" s="10" t="n">
        <v>84.36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84.2283</v>
      </c>
      <c r="AK92" s="12">
        <f>IF(COUNT(AJ87:AJ92)=6,(AVERAGE(AJ90:AJ92)/AVERAGE(AJ87:AJ89))^4-1,"")</f>
        <v/>
      </c>
      <c r="AL92" s="10" t="n">
        <v>96.65000000000001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95.57729999999999</v>
      </c>
      <c r="AQ92" s="12">
        <f>IF(COUNT(AP87:AP92)=6,(AVERAGE(AP90:AP92)/AVERAGE(AP87:AP89))^4-1,"")</f>
        <v/>
      </c>
      <c r="AR92" s="10" t="n">
        <v>94.44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93.4015</v>
      </c>
      <c r="AW92" s="12">
        <f>IF(COUNT(AV87:AV92)=6,(AVERAGE(AV90:AV92)/AVERAGE(AV87:AV89))^4-1,"")</f>
        <v/>
      </c>
      <c r="AX92" s="10" t="n">
        <v>91.75</v>
      </c>
      <c r="AY92" s="11">
        <f>IF(ISNUMBER(AX92),AX92/AX$65*100,"")</f>
        <v/>
      </c>
      <c r="AZ92" s="12">
        <f>IF(AND(ISNUMBER(AX92),ISNUMBER(AX91)),AX92/AX91-1,"")</f>
        <v/>
      </c>
      <c r="BA92" s="12">
        <f>IF(AND(ISNUMBER(AX92),ISNUMBER(AX80)),AX92/AX80-1,"")</f>
        <v/>
      </c>
      <c r="BB92" s="11" t="n">
        <v>91.4932</v>
      </c>
      <c r="BC92" s="12">
        <f>IF(COUNT(BB87:BB92)=6,(AVERAGE(BB90:BB92)/AVERAGE(BB87:BB89))^4-1,"")</f>
        <v/>
      </c>
    </row>
    <row r="93">
      <c r="A93" s="9" t="n">
        <v>44682</v>
      </c>
      <c r="B93" s="10" t="n">
        <v>91.31999999999999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90.92959999999999</v>
      </c>
      <c r="G93" s="12">
        <f>IF(COUNT(F88:F93)=6,(AVERAGE(F91:F93)/AVERAGE(F88:F90))^4-1,"")</f>
        <v/>
      </c>
      <c r="H93" s="10" t="n">
        <v>92.37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92.0607</v>
      </c>
      <c r="M93" s="12">
        <f>IF(COUNT(L88:L93)=6,(AVERAGE(L91:L93)/AVERAGE(L88:L90))^4-1,"")</f>
        <v/>
      </c>
      <c r="N93" s="10" t="n">
        <v>90.59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90.2101</v>
      </c>
      <c r="S93" s="12">
        <f>IF(COUNT(R88:R93)=6,(AVERAGE(R91:R93)/AVERAGE(R88:R90))^4-1,"")</f>
        <v/>
      </c>
      <c r="T93" s="10" t="n">
        <v>91.93000000000001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91.3539</v>
      </c>
      <c r="Y93" s="12">
        <f>IF(COUNT(X88:X93)=6,(AVERAGE(X91:X93)/AVERAGE(X88:X90))^4-1,"")</f>
        <v/>
      </c>
      <c r="Z93" s="10" t="n">
        <v>91.03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90.86020000000001</v>
      </c>
      <c r="AE93" s="12">
        <f>IF(COUNT(AD88:AD93)=6,(AVERAGE(AD91:AD93)/AVERAGE(AD88:AD90))^4-1,"")</f>
        <v/>
      </c>
      <c r="AF93" s="10" t="n">
        <v>85.06999999999999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84.6585</v>
      </c>
      <c r="AK93" s="12">
        <f>IF(COUNT(AJ88:AJ93)=6,(AVERAGE(AJ91:AJ93)/AVERAGE(AJ88:AJ90))^4-1,"")</f>
        <v/>
      </c>
      <c r="AL93" s="10" t="n">
        <v>98.5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98.6742</v>
      </c>
      <c r="AQ93" s="12">
        <f>IF(COUNT(AP88:AP93)=6,(AVERAGE(AP91:AP93)/AVERAGE(AP88:AP90))^4-1,"")</f>
        <v/>
      </c>
      <c r="AR93" s="10" t="n">
        <v>95.58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95.77249999999999</v>
      </c>
      <c r="AW93" s="12">
        <f>IF(COUNT(AV88:AV93)=6,(AVERAGE(AV91:AV93)/AVERAGE(AV88:AV90))^4-1,"")</f>
        <v/>
      </c>
      <c r="AX93" s="10" t="n">
        <v>92.36</v>
      </c>
      <c r="AY93" s="11">
        <f>IF(ISNUMBER(AX93),AX93/AX$65*100,"")</f>
        <v/>
      </c>
      <c r="AZ93" s="12">
        <f>IF(AND(ISNUMBER(AX93),ISNUMBER(AX92)),AX93/AX92-1,"")</f>
        <v/>
      </c>
      <c r="BA93" s="12">
        <f>IF(AND(ISNUMBER(AX93),ISNUMBER(AX81)),AX93/AX81-1,"")</f>
        <v/>
      </c>
      <c r="BB93" s="11" t="n">
        <v>92.0171</v>
      </c>
      <c r="BC93" s="12">
        <f>IF(COUNT(BB88:BB93)=6,(AVERAGE(BB91:BB93)/AVERAGE(BB88:BB90))^4-1,"")</f>
        <v/>
      </c>
    </row>
    <row r="94">
      <c r="A94" s="9" t="n">
        <v>44713</v>
      </c>
      <c r="B94" s="10" t="n">
        <v>92.09999999999999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91.7594</v>
      </c>
      <c r="G94" s="12">
        <f>IF(COUNT(F89:F94)=6,(AVERAGE(F92:F94)/AVERAGE(F89:F91))^4-1,"")</f>
        <v/>
      </c>
      <c r="H94" s="10" t="n">
        <v>92.55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92.0325</v>
      </c>
      <c r="M94" s="12">
        <f>IF(COUNT(L89:L94)=6,(AVERAGE(L92:L94)/AVERAGE(L89:L91))^4-1,"")</f>
        <v/>
      </c>
      <c r="N94" s="10" t="n">
        <v>90.87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90.4652</v>
      </c>
      <c r="S94" s="12">
        <f>IF(COUNT(R89:R94)=6,(AVERAGE(R92:R94)/AVERAGE(R89:R91))^4-1,"")</f>
        <v/>
      </c>
      <c r="T94" s="10" t="n">
        <v>93.08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92.7804</v>
      </c>
      <c r="Y94" s="12">
        <f>IF(COUNT(X89:X94)=6,(AVERAGE(X92:X94)/AVERAGE(X89:X91))^4-1,"")</f>
        <v/>
      </c>
      <c r="Z94" s="10" t="n">
        <v>91.31999999999999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91.0205</v>
      </c>
      <c r="AE94" s="12">
        <f>IF(COUNT(AD89:AD94)=6,(AVERAGE(AD92:AD94)/AVERAGE(AD89:AD91))^4-1,"")</f>
        <v/>
      </c>
      <c r="AF94" s="10" t="n">
        <v>85.66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85.57470000000001</v>
      </c>
      <c r="AK94" s="12">
        <f>IF(COUNT(AJ89:AJ94)=6,(AVERAGE(AJ92:AJ94)/AVERAGE(AJ89:AJ91))^4-1,"")</f>
        <v/>
      </c>
      <c r="AL94" s="10" t="n">
        <v>103.45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104.5828</v>
      </c>
      <c r="AQ94" s="12">
        <f>IF(COUNT(AP89:AP94)=6,(AVERAGE(AP92:AP94)/AVERAGE(AP89:AP91))^4-1,"")</f>
        <v/>
      </c>
      <c r="AR94" s="10" t="n">
        <v>98.98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98.9747</v>
      </c>
      <c r="AW94" s="12">
        <f>IF(COUNT(AV89:AV94)=6,(AVERAGE(AV92:AV94)/AVERAGE(AV89:AV91))^4-1,"")</f>
        <v/>
      </c>
      <c r="AX94" s="10" t="n">
        <v>93.06</v>
      </c>
      <c r="AY94" s="11">
        <f>IF(ISNUMBER(AX94),AX94/AX$65*100,"")</f>
        <v/>
      </c>
      <c r="AZ94" s="12">
        <f>IF(AND(ISNUMBER(AX94),ISNUMBER(AX93)),AX94/AX93-1,"")</f>
        <v/>
      </c>
      <c r="BA94" s="12">
        <f>IF(AND(ISNUMBER(AX94),ISNUMBER(AX82)),AX94/AX82-1,"")</f>
        <v/>
      </c>
      <c r="BB94" s="11" t="n">
        <v>92.7496</v>
      </c>
      <c r="BC94" s="12">
        <f>IF(COUNT(BB89:BB94)=6,(AVERAGE(BB92:BB94)/AVERAGE(BB89:BB91))^4-1,"")</f>
        <v/>
      </c>
    </row>
    <row r="95">
      <c r="A95" s="9" t="n">
        <v>44743</v>
      </c>
      <c r="B95" s="10" t="n">
        <v>92.38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92.0273</v>
      </c>
      <c r="G95" s="12">
        <f>IF(COUNT(F90:F95)=6,(AVERAGE(F93:F95)/AVERAGE(F90:F92))^4-1,"")</f>
        <v/>
      </c>
      <c r="H95" s="10" t="n">
        <v>92.95999999999999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92.52119999999999</v>
      </c>
      <c r="M95" s="12">
        <f>IF(COUNT(L90:L95)=6,(AVERAGE(L93:L95)/AVERAGE(L90:L92))^4-1,"")</f>
        <v/>
      </c>
      <c r="N95" s="10" t="n">
        <v>91.37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91.0154</v>
      </c>
      <c r="S95" s="12">
        <f>IF(COUNT(R90:R95)=6,(AVERAGE(R93:R95)/AVERAGE(R90:R92))^4-1,"")</f>
        <v/>
      </c>
      <c r="T95" s="10" t="n">
        <v>92.41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93.1165</v>
      </c>
      <c r="Y95" s="12">
        <f>IF(COUNT(X90:X95)=6,(AVERAGE(X93:X95)/AVERAGE(X90:X92))^4-1,"")</f>
        <v/>
      </c>
      <c r="Z95" s="10" t="n">
        <v>92.84999999999999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91.3468</v>
      </c>
      <c r="AE95" s="12">
        <f>IF(COUNT(AD90:AD95)=6,(AVERAGE(AD93:AD95)/AVERAGE(AD90:AD92))^4-1,"")</f>
        <v/>
      </c>
      <c r="AF95" s="10" t="n">
        <v>86.42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86.3767</v>
      </c>
      <c r="AK95" s="12">
        <f>IF(COUNT(AJ90:AJ95)=6,(AVERAGE(AJ93:AJ95)/AVERAGE(AJ90:AJ92))^4-1,"")</f>
        <v/>
      </c>
      <c r="AL95" s="10" t="n">
        <v>101.87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102.4908</v>
      </c>
      <c r="AQ95" s="12">
        <f>IF(COUNT(AP90:AP95)=6,(AVERAGE(AP93:AP95)/AVERAGE(AP90:AP92))^4-1,"")</f>
        <v/>
      </c>
      <c r="AR95" s="10" t="n">
        <v>99.64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97.92270000000001</v>
      </c>
      <c r="AW95" s="12">
        <f>IF(COUNT(AV90:AV95)=6,(AVERAGE(AV93:AV95)/AVERAGE(AV90:AV92))^4-1,"")</f>
        <v/>
      </c>
      <c r="AX95" s="10" t="n">
        <v>93.31999999999999</v>
      </c>
      <c r="AY95" s="11">
        <f>IF(ISNUMBER(AX95),AX95/AX$65*100,"")</f>
        <v/>
      </c>
      <c r="AZ95" s="12">
        <f>IF(AND(ISNUMBER(AX95),ISNUMBER(AX94)),AX95/AX94-1,"")</f>
        <v/>
      </c>
      <c r="BA95" s="12">
        <f>IF(AND(ISNUMBER(AX95),ISNUMBER(AX83)),AX95/AX83-1,"")</f>
        <v/>
      </c>
      <c r="BB95" s="11" t="n">
        <v>92.9949</v>
      </c>
      <c r="BC95" s="12">
        <f>IF(COUNT(BB90:BB95)=6,(AVERAGE(BB93:BB95)/AVERAGE(BB90:BB92))^4-1,"")</f>
        <v/>
      </c>
    </row>
    <row r="96">
      <c r="A96" s="9" t="n">
        <v>44774</v>
      </c>
      <c r="B96" s="10" t="n">
        <v>92.81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92.1433</v>
      </c>
      <c r="G96" s="12">
        <f>IF(COUNT(F91:F96)=6,(AVERAGE(F94:F96)/AVERAGE(F91:F93))^4-1,"")</f>
        <v/>
      </c>
      <c r="H96" s="10" t="n">
        <v>93.78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92.88509999999999</v>
      </c>
      <c r="M96" s="12">
        <f>IF(COUNT(L91:L96)=6,(AVERAGE(L94:L96)/AVERAGE(L91:L93))^4-1,"")</f>
        <v/>
      </c>
      <c r="N96" s="10" t="n">
        <v>92.3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91.496</v>
      </c>
      <c r="S96" s="12">
        <f>IF(COUNT(R91:R96)=6,(AVERAGE(R94:R96)/AVERAGE(R91:R93))^4-1,"")</f>
        <v/>
      </c>
      <c r="T96" s="10" t="n">
        <v>93.01000000000001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93.2586</v>
      </c>
      <c r="Y96" s="12">
        <f>IF(COUNT(X91:X96)=6,(AVERAGE(X94:X96)/AVERAGE(X91:X93))^4-1,"")</f>
        <v/>
      </c>
      <c r="Z96" s="10" t="n">
        <v>93.08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91.5504</v>
      </c>
      <c r="AE96" s="12">
        <f>IF(COUNT(AD91:AD96)=6,(AVERAGE(AD94:AD96)/AVERAGE(AD91:AD93))^4-1,"")</f>
        <v/>
      </c>
      <c r="AF96" s="10" t="n">
        <v>87.7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87.5595</v>
      </c>
      <c r="AK96" s="12">
        <f>IF(COUNT(AJ91:AJ96)=6,(AVERAGE(AJ94:AJ96)/AVERAGE(AJ91:AJ93))^4-1,"")</f>
        <v/>
      </c>
      <c r="AL96" s="10" t="n">
        <v>98.09999999999999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98.2244</v>
      </c>
      <c r="AQ96" s="12">
        <f>IF(COUNT(AP91:AP96)=6,(AVERAGE(AP94:AP96)/AVERAGE(AP91:AP93))^4-1,"")</f>
        <v/>
      </c>
      <c r="AR96" s="10" t="n">
        <v>97.33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95.717</v>
      </c>
      <c r="AW96" s="12">
        <f>IF(COUNT(AV91:AV96)=6,(AVERAGE(AV94:AV96)/AVERAGE(AV91:AV93))^4-1,"")</f>
        <v/>
      </c>
      <c r="AX96" s="10" t="n">
        <v>93.73999999999999</v>
      </c>
      <c r="AY96" s="11">
        <f>IF(ISNUMBER(AX96),AX96/AX$65*100,"")</f>
        <v/>
      </c>
      <c r="AZ96" s="12">
        <f>IF(AND(ISNUMBER(AX96),ISNUMBER(AX95)),AX96/AX95-1,"")</f>
        <v/>
      </c>
      <c r="BA96" s="12">
        <f>IF(AND(ISNUMBER(AX96),ISNUMBER(AX84)),AX96/AX84-1,"")</f>
        <v/>
      </c>
      <c r="BB96" s="11" t="n">
        <v>93.12179999999999</v>
      </c>
      <c r="BC96" s="12">
        <f>IF(COUNT(BB91:BB96)=6,(AVERAGE(BB94:BB96)/AVERAGE(BB91:BB93))^4-1,"")</f>
        <v/>
      </c>
    </row>
    <row r="97">
      <c r="A97" s="9" t="n">
        <v>44805</v>
      </c>
      <c r="B97" s="10" t="n">
        <v>92.34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92.682</v>
      </c>
      <c r="G97" s="12">
        <f>IF(COUNT(F92:F97)=6,(AVERAGE(F95:F97)/AVERAGE(F92:F94))^4-1,"")</f>
        <v/>
      </c>
      <c r="H97" s="10" t="n">
        <v>93.16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93.26730000000001</v>
      </c>
      <c r="M97" s="12">
        <f>IF(COUNT(L92:L97)=6,(AVERAGE(L95:L97)/AVERAGE(L92:L94))^4-1,"")</f>
        <v/>
      </c>
      <c r="N97" s="10" t="n">
        <v>92.06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92.2329</v>
      </c>
      <c r="S97" s="12">
        <f>IF(COUNT(R92:R97)=6,(AVERAGE(R95:R97)/AVERAGE(R92:R94))^4-1,"")</f>
        <v/>
      </c>
      <c r="T97" s="10" t="n">
        <v>93.31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93.6172</v>
      </c>
      <c r="Y97" s="12">
        <f>IF(COUNT(X92:X97)=6,(AVERAGE(X95:X97)/AVERAGE(X92:X94))^4-1,"")</f>
        <v/>
      </c>
      <c r="Z97" s="10" t="n">
        <v>91.58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91.9962</v>
      </c>
      <c r="AE97" s="12">
        <f>IF(COUNT(AD92:AD97)=6,(AVERAGE(AD95:AD97)/AVERAGE(AD92:AD94))^4-1,"")</f>
        <v/>
      </c>
      <c r="AF97" s="10" t="n">
        <v>88.56999999999999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88.68380000000001</v>
      </c>
      <c r="AK97" s="12">
        <f>IF(COUNT(AJ92:AJ97)=6,(AVERAGE(AJ95:AJ97)/AVERAGE(AJ92:AJ94))^4-1,"")</f>
        <v/>
      </c>
      <c r="AL97" s="10" t="n">
        <v>95.73999999999999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96.19110000000001</v>
      </c>
      <c r="AQ97" s="12">
        <f>IF(COUNT(AP92:AP97)=6,(AVERAGE(AP95:AP97)/AVERAGE(AP92:AP94))^4-1,"")</f>
        <v/>
      </c>
      <c r="AR97" s="10" t="n">
        <v>93.41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95.0001</v>
      </c>
      <c r="AW97" s="12">
        <f>IF(COUNT(AV92:AV97)=6,(AVERAGE(AV95:AV97)/AVERAGE(AV92:AV94))^4-1,"")</f>
        <v/>
      </c>
      <c r="AX97" s="10" t="n">
        <v>93.20999999999999</v>
      </c>
      <c r="AY97" s="11">
        <f>IF(ISNUMBER(AX97),AX97/AX$65*100,"")</f>
        <v/>
      </c>
      <c r="AZ97" s="12">
        <f>IF(AND(ISNUMBER(AX97),ISNUMBER(AX96)),AX97/AX96-1,"")</f>
        <v/>
      </c>
      <c r="BA97" s="12">
        <f>IF(AND(ISNUMBER(AX97),ISNUMBER(AX85)),AX97/AX85-1,"")</f>
        <v/>
      </c>
      <c r="BB97" s="11" t="n">
        <v>93.5428</v>
      </c>
      <c r="BC97" s="12">
        <f>IF(COUNT(BB92:BB97)=6,(AVERAGE(BB95:BB97)/AVERAGE(BB92:BB94))^4-1,"")</f>
        <v/>
      </c>
    </row>
    <row r="98">
      <c r="A98" s="9" t="n">
        <v>44835</v>
      </c>
      <c r="B98" s="10" t="n">
        <v>93.48999999999999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93.6069</v>
      </c>
      <c r="G98" s="12">
        <f>IF(COUNT(F93:F98)=6,(AVERAGE(F96:F98)/AVERAGE(F93:F95))^4-1,"")</f>
        <v/>
      </c>
      <c r="H98" s="10" t="n">
        <v>93.51000000000001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93.57129999999999</v>
      </c>
      <c r="M98" s="12">
        <f>IF(COUNT(L93:L98)=6,(AVERAGE(L96:L98)/AVERAGE(L93:L95))^4-1,"")</f>
        <v/>
      </c>
      <c r="N98" s="10" t="n">
        <v>92.67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92.79640000000001</v>
      </c>
      <c r="S98" s="12">
        <f>IF(COUNT(R93:R98)=6,(AVERAGE(R96:R98)/AVERAGE(R93:R95))^4-1,"")</f>
        <v/>
      </c>
      <c r="T98" s="10" t="n">
        <v>95.26000000000001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95.2731</v>
      </c>
      <c r="Y98" s="12">
        <f>IF(COUNT(X93:X98)=6,(AVERAGE(X96:X98)/AVERAGE(X93:X95))^4-1,"")</f>
        <v/>
      </c>
      <c r="Z98" s="10" t="n">
        <v>91.68000000000001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92.09520000000001</v>
      </c>
      <c r="AE98" s="12">
        <f>IF(COUNT(AD93:AD98)=6,(AVERAGE(AD96:AD98)/AVERAGE(AD93:AD95))^4-1,"")</f>
        <v/>
      </c>
      <c r="AF98" s="10" t="n">
        <v>89.94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90.2891</v>
      </c>
      <c r="AK98" s="12">
        <f>IF(COUNT(AJ93:AJ98)=6,(AVERAGE(AJ96:AJ98)/AVERAGE(AJ93:AJ95))^4-1,"")</f>
        <v/>
      </c>
      <c r="AL98" s="10" t="n">
        <v>101.37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100.6052</v>
      </c>
      <c r="AQ98" s="12">
        <f>IF(COUNT(AP93:AP98)=6,(AVERAGE(AP96:AP98)/AVERAGE(AP93:AP95))^4-1,"")</f>
        <v/>
      </c>
      <c r="AR98" s="10" t="n">
        <v>95.70999999999999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96.18049999999999</v>
      </c>
      <c r="AW98" s="12">
        <f>IF(COUNT(AV93:AV98)=6,(AVERAGE(AV96:AV98)/AVERAGE(AV93:AV95))^4-1,"")</f>
        <v/>
      </c>
      <c r="AX98" s="10" t="n">
        <v>94.17</v>
      </c>
      <c r="AY98" s="11">
        <f>IF(ISNUMBER(AX98),AX98/AX$65*100,"")</f>
        <v/>
      </c>
      <c r="AZ98" s="12">
        <f>IF(AND(ISNUMBER(AX98),ISNUMBER(AX97)),AX98/AX97-1,"")</f>
        <v/>
      </c>
      <c r="BA98" s="12">
        <f>IF(AND(ISNUMBER(AX98),ISNUMBER(AX86)),AX98/AX86-1,"")</f>
        <v/>
      </c>
      <c r="BB98" s="11" t="n">
        <v>94.36320000000001</v>
      </c>
      <c r="BC98" s="12">
        <f>IF(COUNT(BB93:BB98)=6,(AVERAGE(BB96:BB98)/AVERAGE(BB93:BB95))^4-1,"")</f>
        <v/>
      </c>
    </row>
    <row r="99">
      <c r="A99" s="9" t="n">
        <v>44866</v>
      </c>
      <c r="B99" s="10" t="n">
        <v>93.88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94.3009</v>
      </c>
      <c r="G99" s="12">
        <f>IF(COUNT(F94:F99)=6,(AVERAGE(F97:F99)/AVERAGE(F94:F96))^4-1,"")</f>
        <v/>
      </c>
      <c r="H99" s="10" t="n">
        <v>93.8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94.2394</v>
      </c>
      <c r="M99" s="12">
        <f>IF(COUNT(L94:L99)=6,(AVERAGE(L97:L99)/AVERAGE(L94:L96))^4-1,"")</f>
        <v/>
      </c>
      <c r="N99" s="10" t="n">
        <v>92.98999999999999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93.37569999999999</v>
      </c>
      <c r="S99" s="12">
        <f>IF(COUNT(R94:R99)=6,(AVERAGE(R97:R99)/AVERAGE(R94:R96))^4-1,"")</f>
        <v/>
      </c>
      <c r="T99" s="10" t="n">
        <v>95.78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95.5603</v>
      </c>
      <c r="Y99" s="12">
        <f>IF(COUNT(X94:X99)=6,(AVERAGE(X97:X99)/AVERAGE(X94:X96))^4-1,"")</f>
        <v/>
      </c>
      <c r="Z99" s="10" t="n">
        <v>91.90000000000001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92.7927</v>
      </c>
      <c r="AE99" s="12">
        <f>IF(COUNT(AD94:AD99)=6,(AVERAGE(AD97:AD99)/AVERAGE(AD94:AD96))^4-1,"")</f>
        <v/>
      </c>
      <c r="AF99" s="10" t="n">
        <v>90.37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90.6712</v>
      </c>
      <c r="AK99" s="12">
        <f>IF(COUNT(AJ94:AJ99)=6,(AVERAGE(AJ97:AJ99)/AVERAGE(AJ94:AJ96))^4-1,"")</f>
        <v/>
      </c>
      <c r="AL99" s="10" t="n">
        <v>102.35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101.7233</v>
      </c>
      <c r="AQ99" s="12">
        <f>IF(COUNT(AP94:AP99)=6,(AVERAGE(AP97:AP99)/AVERAGE(AP94:AP96))^4-1,"")</f>
        <v/>
      </c>
      <c r="AR99" s="10" t="n">
        <v>96.38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97.45010000000001</v>
      </c>
      <c r="AW99" s="12">
        <f>IF(COUNT(AV94:AV99)=6,(AVERAGE(AV97:AV99)/AVERAGE(AV94:AV96))^4-1,"")</f>
        <v/>
      </c>
      <c r="AX99" s="10" t="n">
        <v>94.47</v>
      </c>
      <c r="AY99" s="11">
        <f>IF(ISNUMBER(AX99),AX99/AX$65*100,"")</f>
        <v/>
      </c>
      <c r="AZ99" s="12">
        <f>IF(AND(ISNUMBER(AX99),ISNUMBER(AX98)),AX99/AX98-1,"")</f>
        <v/>
      </c>
      <c r="BA99" s="12">
        <f>IF(AND(ISNUMBER(AX99),ISNUMBER(AX87)),AX99/AX87-1,"")</f>
        <v/>
      </c>
      <c r="BB99" s="11" t="n">
        <v>94.8428</v>
      </c>
      <c r="BC99" s="12">
        <f>IF(COUNT(BB94:BB99)=6,(AVERAGE(BB97:BB99)/AVERAGE(BB94:BB96))^4-1,"")</f>
        <v/>
      </c>
    </row>
    <row r="100">
      <c r="A100" s="9" t="n">
        <v>44896</v>
      </c>
      <c r="B100" s="10" t="n">
        <v>93.79000000000001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94.19750000000001</v>
      </c>
      <c r="G100" s="12">
        <f>IF(COUNT(F95:F100)=6,(AVERAGE(F98:F100)/AVERAGE(F95:F97))^4-1,"")</f>
        <v/>
      </c>
      <c r="H100" s="10" t="n">
        <v>94.12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94.4158</v>
      </c>
      <c r="M100" s="12">
        <f>IF(COUNT(L95:L100)=6,(AVERAGE(L98:L100)/AVERAGE(L95:L97))^4-1,"")</f>
        <v/>
      </c>
      <c r="N100" s="10" t="n">
        <v>93.31999999999999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93.62860000000001</v>
      </c>
      <c r="S100" s="12">
        <f>IF(COUNT(R95:R100)=6,(AVERAGE(R98:R100)/AVERAGE(R95:R97))^4-1,"")</f>
        <v/>
      </c>
      <c r="T100" s="10" t="n">
        <v>95.34999999999999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95.3391</v>
      </c>
      <c r="Y100" s="12">
        <f>IF(COUNT(X95:X100)=6,(AVERAGE(X98:X100)/AVERAGE(X95:X97))^4-1,"")</f>
        <v/>
      </c>
      <c r="Z100" s="10" t="n">
        <v>92.26000000000001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92.8479</v>
      </c>
      <c r="AE100" s="12">
        <f>IF(COUNT(AD95:AD100)=6,(AVERAGE(AD98:AD100)/AVERAGE(AD95:AD97))^4-1,"")</f>
        <v/>
      </c>
      <c r="AF100" s="10" t="n">
        <v>90.75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91.1229</v>
      </c>
      <c r="AK100" s="12">
        <f>IF(COUNT(AJ95:AJ100)=6,(AVERAGE(AJ98:AJ100)/AVERAGE(AJ95:AJ97))^4-1,"")</f>
        <v/>
      </c>
      <c r="AL100" s="10" t="n">
        <v>98.70999999999999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100.7152</v>
      </c>
      <c r="AQ100" s="12">
        <f>IF(COUNT(AP95:AP100)=6,(AVERAGE(AP98:AP100)/AVERAGE(AP95:AP97))^4-1,"")</f>
        <v/>
      </c>
      <c r="AR100" s="10" t="n">
        <v>96.02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96.91849999999999</v>
      </c>
      <c r="AW100" s="12">
        <f>IF(COUNT(AV95:AV100)=6,(AVERAGE(AV98:AV100)/AVERAGE(AV95:AV97))^4-1,"")</f>
        <v/>
      </c>
      <c r="AX100" s="10" t="n">
        <v>94.38</v>
      </c>
      <c r="AY100" s="11">
        <f>IF(ISNUMBER(AX100),AX100/AX$65*100,"")</f>
        <v/>
      </c>
      <c r="AZ100" s="12">
        <f>IF(AND(ISNUMBER(AX100),ISNUMBER(AX99)),AX100/AX99-1,"")</f>
        <v/>
      </c>
      <c r="BA100" s="12">
        <f>IF(AND(ISNUMBER(AX100),ISNUMBER(AX88)),AX100/AX88-1,"")</f>
        <v/>
      </c>
      <c r="BB100" s="11" t="n">
        <v>94.7775</v>
      </c>
      <c r="BC100" s="12">
        <f>IF(COUNT(BB95:BB100)=6,(AVERAGE(BB98:BB100)/AVERAGE(BB95:BB97))^4-1,"")</f>
        <v/>
      </c>
    </row>
    <row r="101">
      <c r="A101" s="9" t="n">
        <v>44927</v>
      </c>
      <c r="B101" s="10" t="n">
        <v>94.2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94.6221</v>
      </c>
      <c r="G101" s="12">
        <f>IF(COUNT(F96:F101)=6,(AVERAGE(F99:F101)/AVERAGE(F96:F98))^4-1,"")</f>
        <v/>
      </c>
      <c r="H101" s="10" t="n">
        <v>93.8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94.83450000000001</v>
      </c>
      <c r="M101" s="12">
        <f>IF(COUNT(L96:L101)=6,(AVERAGE(L99:L101)/AVERAGE(L96:L98))^4-1,"")</f>
        <v/>
      </c>
      <c r="N101" s="10" t="n">
        <v>93.40000000000001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94.22839999999999</v>
      </c>
      <c r="S101" s="12">
        <f>IF(COUNT(R96:R101)=6,(AVERAGE(R99:R101)/AVERAGE(R96:R98))^4-1,"")</f>
        <v/>
      </c>
      <c r="T101" s="10" t="n">
        <v>96.08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96.15779999999999</v>
      </c>
      <c r="Y101" s="12">
        <f>IF(COUNT(X96:X101)=6,(AVERAGE(X99:X101)/AVERAGE(X96:X98))^4-1,"")</f>
        <v/>
      </c>
      <c r="Z101" s="10" t="n">
        <v>92.31999999999999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93.1319</v>
      </c>
      <c r="AE101" s="12">
        <f>IF(COUNT(AD96:AD101)=6,(AVERAGE(AD99:AD101)/AVERAGE(AD96:AD98))^4-1,"")</f>
        <v/>
      </c>
      <c r="AF101" s="10" t="n">
        <v>92.14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92.0018</v>
      </c>
      <c r="AK101" s="12">
        <f>IF(COUNT(AJ96:AJ101)=6,(AVERAGE(AJ99:AJ101)/AVERAGE(AJ96:AJ98))^4-1,"")</f>
        <v/>
      </c>
      <c r="AL101" s="10" t="n">
        <v>102.33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103.5035</v>
      </c>
      <c r="AQ101" s="12">
        <f>IF(COUNT(AP96:AP101)=6,(AVERAGE(AP99:AP101)/AVERAGE(AP96:AP98))^4-1,"")</f>
        <v/>
      </c>
      <c r="AR101" s="10" t="n">
        <v>97.34999999999999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97.9545</v>
      </c>
      <c r="AW101" s="12">
        <f>IF(COUNT(AV96:AV101)=6,(AVERAGE(AV99:AV101)/AVERAGE(AV96:AV98))^4-1,"")</f>
        <v/>
      </c>
      <c r="AX101" s="10" t="n">
        <v>94.75</v>
      </c>
      <c r="AY101" s="11">
        <f>IF(ISNUMBER(AX101),AX101/AX$65*100,"")</f>
        <v/>
      </c>
      <c r="AZ101" s="12">
        <f>IF(AND(ISNUMBER(AX101),ISNUMBER(AX100)),AX101/AX100-1,"")</f>
        <v/>
      </c>
      <c r="BA101" s="12">
        <f>IF(AND(ISNUMBER(AX101),ISNUMBER(AX89)),AX101/AX89-1,"")</f>
        <v/>
      </c>
      <c r="BB101" s="11" t="n">
        <v>95.1362</v>
      </c>
      <c r="BC101" s="12">
        <f>IF(COUNT(BB96:BB101)=6,(AVERAGE(BB99:BB101)/AVERAGE(BB96:BB98))^4-1,"")</f>
        <v/>
      </c>
    </row>
    <row r="102">
      <c r="A102" s="9" t="n">
        <v>44958</v>
      </c>
      <c r="B102" s="10" t="n">
        <v>95.27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95.69499999999999</v>
      </c>
      <c r="G102" s="12">
        <f>IF(COUNT(F97:F102)=6,(AVERAGE(F100:F102)/AVERAGE(F97:F99))^4-1,"")</f>
        <v/>
      </c>
      <c r="H102" s="10" t="n">
        <v>94.7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95.2928</v>
      </c>
      <c r="M102" s="12">
        <f>IF(COUNT(L97:L102)=6,(AVERAGE(L100:L102)/AVERAGE(L97:L99))^4-1,"")</f>
        <v/>
      </c>
      <c r="N102" s="10" t="n">
        <v>94.42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94.8951</v>
      </c>
      <c r="S102" s="12">
        <f>IF(COUNT(R97:R102)=6,(AVERAGE(R100:R102)/AVERAGE(R97:R99))^4-1,"")</f>
        <v/>
      </c>
      <c r="T102" s="10" t="n">
        <v>97.3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97.72620000000001</v>
      </c>
      <c r="Y102" s="12">
        <f>IF(COUNT(X97:X102)=6,(AVERAGE(X100:X102)/AVERAGE(X97:X99))^4-1,"")</f>
        <v/>
      </c>
      <c r="Z102" s="10" t="n">
        <v>93.22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93.6289</v>
      </c>
      <c r="AE102" s="12">
        <f>IF(COUNT(AD97:AD102)=6,(AVERAGE(AD100:AD102)/AVERAGE(AD97:AD99))^4-1,"")</f>
        <v/>
      </c>
      <c r="AF102" s="10" t="n">
        <v>93.53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93.5545</v>
      </c>
      <c r="AK102" s="12">
        <f>IF(COUNT(AJ97:AJ102)=6,(AVERAGE(AJ100:AJ102)/AVERAGE(AJ97:AJ99))^4-1,"")</f>
        <v/>
      </c>
      <c r="AL102" s="10" t="n">
        <v>103.94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102.0208</v>
      </c>
      <c r="AQ102" s="12">
        <f>IF(COUNT(AP97:AP102)=6,(AVERAGE(AP100:AP102)/AVERAGE(AP97:AP99))^4-1,"")</f>
        <v/>
      </c>
      <c r="AR102" s="10" t="n">
        <v>98.48999999999999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98.15860000000001</v>
      </c>
      <c r="AW102" s="12">
        <f>IF(COUNT(AV97:AV102)=6,(AVERAGE(AV100:AV102)/AVERAGE(AV97:AV99))^4-1,"")</f>
        <v/>
      </c>
      <c r="AX102" s="10" t="n">
        <v>95.73</v>
      </c>
      <c r="AY102" s="11">
        <f>IF(ISNUMBER(AX102),AX102/AX$65*100,"")</f>
        <v/>
      </c>
      <c r="AZ102" s="12">
        <f>IF(AND(ISNUMBER(AX102),ISNUMBER(AX101)),AX102/AX101-1,"")</f>
        <v/>
      </c>
      <c r="BA102" s="12">
        <f>IF(AND(ISNUMBER(AX102),ISNUMBER(AX90)),AX102/AX90-1,"")</f>
        <v/>
      </c>
      <c r="BB102" s="11" t="n">
        <v>96.0317</v>
      </c>
      <c r="BC102" s="12">
        <f>IF(COUNT(BB97:BB102)=6,(AVERAGE(BB100:BB102)/AVERAGE(BB97:BB99))^4-1,"")</f>
        <v/>
      </c>
    </row>
    <row r="103">
      <c r="A103" s="9" t="n">
        <v>44986</v>
      </c>
      <c r="B103" s="10" t="n">
        <v>96.25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96.3113</v>
      </c>
      <c r="G103" s="12">
        <f>IF(COUNT(F98:F103)=6,(AVERAGE(F101:F103)/AVERAGE(F98:F100))^4-1,"")</f>
        <v/>
      </c>
      <c r="H103" s="10" t="n">
        <v>95.38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95.60509999999999</v>
      </c>
      <c r="M103" s="12">
        <f>IF(COUNT(L98:L103)=6,(AVERAGE(L101:L103)/AVERAGE(L98:L100))^4-1,"")</f>
        <v/>
      </c>
      <c r="N103" s="10" t="n">
        <v>95.45999999999999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95.6271</v>
      </c>
      <c r="S103" s="12">
        <f>IF(COUNT(R98:R103)=6,(AVERAGE(R101:R103)/AVERAGE(R98:R100))^4-1,"")</f>
        <v/>
      </c>
      <c r="T103" s="10" t="n">
        <v>98.97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98.6249</v>
      </c>
      <c r="Y103" s="12">
        <f>IF(COUNT(X98:X103)=6,(AVERAGE(X101:X103)/AVERAGE(X98:X100))^4-1,"")</f>
        <v/>
      </c>
      <c r="Z103" s="10" t="n">
        <v>93.41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93.94329999999999</v>
      </c>
      <c r="AE103" s="12">
        <f>IF(COUNT(AD98:AD103)=6,(AVERAGE(AD101:AD103)/AVERAGE(AD98:AD100))^4-1,"")</f>
        <v/>
      </c>
      <c r="AF103" s="10" t="n">
        <v>95.77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95.6992</v>
      </c>
      <c r="AK103" s="12">
        <f>IF(COUNT(AJ98:AJ103)=6,(AVERAGE(AJ101:AJ103)/AVERAGE(AJ98:AJ100))^4-1,"")</f>
        <v/>
      </c>
      <c r="AL103" s="10" t="n">
        <v>104.3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103.2659</v>
      </c>
      <c r="AQ103" s="12">
        <f>IF(COUNT(AP98:AP103)=6,(AVERAGE(AP101:AP103)/AVERAGE(AP98:AP100))^4-1,"")</f>
        <v/>
      </c>
      <c r="AR103" s="10" t="n">
        <v>98.37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98.38460000000001</v>
      </c>
      <c r="AW103" s="12">
        <f>IF(COUNT(AV98:AV103)=6,(AVERAGE(AV101:AV103)/AVERAGE(AV98:AV100))^4-1,"")</f>
        <v/>
      </c>
      <c r="AX103" s="10" t="n">
        <v>96.56</v>
      </c>
      <c r="AY103" s="11">
        <f>IF(ISNUMBER(AX103),AX103/AX$65*100,"")</f>
        <v/>
      </c>
      <c r="AZ103" s="12">
        <f>IF(AND(ISNUMBER(AX103),ISNUMBER(AX102)),AX103/AX102-1,"")</f>
        <v/>
      </c>
      <c r="BA103" s="12">
        <f>IF(AND(ISNUMBER(AX103),ISNUMBER(AX91)),AX103/AX91-1,"")</f>
        <v/>
      </c>
      <c r="BB103" s="11" t="n">
        <v>96.5896</v>
      </c>
      <c r="BC103" s="12">
        <f>IF(COUNT(BB98:BB103)=6,(AVERAGE(BB101:BB103)/AVERAGE(BB98:BB100))^4-1,"")</f>
        <v/>
      </c>
    </row>
    <row r="104">
      <c r="A104" s="9" t="n">
        <v>45017</v>
      </c>
      <c r="B104" s="10" t="n">
        <v>96.88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96.5778</v>
      </c>
      <c r="G104" s="12">
        <f>IF(COUNT(F99:F104)=6,(AVERAGE(F102:F104)/AVERAGE(F99:F101))^4-1,"")</f>
        <v/>
      </c>
      <c r="H104" s="10" t="n">
        <v>96.2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95.795</v>
      </c>
      <c r="M104" s="12">
        <f>IF(COUNT(L99:L104)=6,(AVERAGE(L102:L104)/AVERAGE(L99:L101))^4-1,"")</f>
        <v/>
      </c>
      <c r="N104" s="10" t="n">
        <v>96.23999999999999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95.8985</v>
      </c>
      <c r="S104" s="12">
        <f>IF(COUNT(R99:R104)=6,(AVERAGE(R102:R104)/AVERAGE(R99:R101))^4-1,"")</f>
        <v/>
      </c>
      <c r="T104" s="10" t="n">
        <v>99.23999999999999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98.84690000000001</v>
      </c>
      <c r="Y104" s="12">
        <f>IF(COUNT(X99:X104)=6,(AVERAGE(X102:X104)/AVERAGE(X99:X101))^4-1,"")</f>
        <v/>
      </c>
      <c r="Z104" s="10" t="n">
        <v>94.45999999999999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94.1451</v>
      </c>
      <c r="AE104" s="12">
        <f>IF(COUNT(AD99:AD104)=6,(AVERAGE(AD102:AD104)/AVERAGE(AD99:AD101))^4-1,"")</f>
        <v/>
      </c>
      <c r="AF104" s="10" t="n">
        <v>96.43000000000001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96.26519999999999</v>
      </c>
      <c r="AK104" s="12">
        <f>IF(COUNT(AJ99:AJ104)=6,(AVERAGE(AJ102:AJ104)/AVERAGE(AJ99:AJ101))^4-1,"")</f>
        <v/>
      </c>
      <c r="AL104" s="10" t="n">
        <v>103.51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102.0599</v>
      </c>
      <c r="AQ104" s="12">
        <f>IF(COUNT(AP99:AP104)=6,(AVERAGE(AP102:AP104)/AVERAGE(AP99:AP101))^4-1,"")</f>
        <v/>
      </c>
      <c r="AR104" s="10" t="n">
        <v>99.95999999999999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98.7662</v>
      </c>
      <c r="AW104" s="12">
        <f>IF(COUNT(AV99:AV104)=6,(AVERAGE(AV102:AV104)/AVERAGE(AV99:AV101))^4-1,"")</f>
        <v/>
      </c>
      <c r="AX104" s="10" t="n">
        <v>97.15000000000001</v>
      </c>
      <c r="AY104" s="11">
        <f>IF(ISNUMBER(AX104),AX104/AX$65*100,"")</f>
        <v/>
      </c>
      <c r="AZ104" s="12">
        <f>IF(AND(ISNUMBER(AX104),ISNUMBER(AX103)),AX104/AX103-1,"")</f>
        <v/>
      </c>
      <c r="BA104" s="12">
        <f>IF(AND(ISNUMBER(AX104),ISNUMBER(AX92)),AX104/AX92-1,"")</f>
        <v/>
      </c>
      <c r="BB104" s="11" t="n">
        <v>96.8318</v>
      </c>
      <c r="BC104" s="12">
        <f>IF(COUNT(BB99:BB104)=6,(AVERAGE(BB102:BB104)/AVERAGE(BB99:BB101))^4-1,"")</f>
        <v/>
      </c>
    </row>
    <row r="105">
      <c r="A105" s="9" t="n">
        <v>45047</v>
      </c>
      <c r="B105" s="10" t="n">
        <v>96.81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96.3553</v>
      </c>
      <c r="G105" s="12">
        <f>IF(COUNT(F100:F105)=6,(AVERAGE(F103:F105)/AVERAGE(F100:F102))^4-1,"")</f>
        <v/>
      </c>
      <c r="H105" s="10" t="n">
        <v>96.40000000000001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96.05540000000001</v>
      </c>
      <c r="M105" s="12">
        <f>IF(COUNT(L100:L105)=6,(AVERAGE(L103:L105)/AVERAGE(L100:L102))^4-1,"")</f>
        <v/>
      </c>
      <c r="N105" s="10" t="n">
        <v>96.47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96.07380000000001</v>
      </c>
      <c r="S105" s="12">
        <f>IF(COUNT(R100:R105)=6,(AVERAGE(R103:R105)/AVERAGE(R100:R102))^4-1,"")</f>
        <v/>
      </c>
      <c r="T105" s="10" t="n">
        <v>98.89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98.2548</v>
      </c>
      <c r="Y105" s="12">
        <f>IF(COUNT(X100:X105)=6,(AVERAGE(X103:X105)/AVERAGE(X100:X102))^4-1,"")</f>
        <v/>
      </c>
      <c r="Z105" s="10" t="n">
        <v>94.70999999999999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94.4999</v>
      </c>
      <c r="AE105" s="12">
        <f>IF(COUNT(AD100:AD105)=6,(AVERAGE(AD103:AD105)/AVERAGE(AD100:AD102))^4-1,"")</f>
        <v/>
      </c>
      <c r="AF105" s="10" t="n">
        <v>96.76000000000001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96.3099</v>
      </c>
      <c r="AK105" s="12">
        <f>IF(COUNT(AJ100:AJ105)=6,(AVERAGE(AJ103:AJ105)/AVERAGE(AJ100:AJ102))^4-1,"")</f>
        <v/>
      </c>
      <c r="AL105" s="10" t="n">
        <v>100.55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100.7274</v>
      </c>
      <c r="AQ105" s="12">
        <f>IF(COUNT(AP100:AP105)=6,(AVERAGE(AP103:AP105)/AVERAGE(AP100:AP102))^4-1,"")</f>
        <v/>
      </c>
      <c r="AR105" s="10" t="n">
        <v>98.25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98.5514</v>
      </c>
      <c r="AW105" s="12">
        <f>IF(COUNT(AV100:AV105)=6,(AVERAGE(AV103:AV105)/AVERAGE(AV100:AV102))^4-1,"")</f>
        <v/>
      </c>
      <c r="AX105" s="10" t="n">
        <v>97.09999999999999</v>
      </c>
      <c r="AY105" s="11">
        <f>IF(ISNUMBER(AX105),AX105/AX$65*100,"")</f>
        <v/>
      </c>
      <c r="AZ105" s="12">
        <f>IF(AND(ISNUMBER(AX105),ISNUMBER(AX104)),AX105/AX104-1,"")</f>
        <v/>
      </c>
      <c r="BA105" s="12">
        <f>IF(AND(ISNUMBER(AX105),ISNUMBER(AX93)),AX105/AX93-1,"")</f>
        <v/>
      </c>
      <c r="BB105" s="11" t="n">
        <v>96.7124</v>
      </c>
      <c r="BC105" s="12">
        <f>IF(COUNT(BB100:BB105)=6,(AVERAGE(BB103:BB105)/AVERAGE(BB100:BB102))^4-1,"")</f>
        <v/>
      </c>
    </row>
    <row r="106">
      <c r="A106" s="9" t="n">
        <v>45078</v>
      </c>
      <c r="B106" s="10" t="n">
        <v>97.01000000000001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96.6596</v>
      </c>
      <c r="G106" s="12">
        <f>IF(COUNT(F101:F106)=6,(AVERAGE(F104:F106)/AVERAGE(F101:F103))^4-1,"")</f>
        <v/>
      </c>
      <c r="H106" s="10" t="n">
        <v>96.62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96.0608</v>
      </c>
      <c r="M106" s="12">
        <f>IF(COUNT(L101:L106)=6,(AVERAGE(L104:L106)/AVERAGE(L101:L103))^4-1,"")</f>
        <v/>
      </c>
      <c r="N106" s="10" t="n">
        <v>96.69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96.2439</v>
      </c>
      <c r="S106" s="12">
        <f>IF(COUNT(R101:R106)=6,(AVERAGE(R104:R106)/AVERAGE(R101:R103))^4-1,"")</f>
        <v/>
      </c>
      <c r="T106" s="10" t="n">
        <v>99.02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98.7701</v>
      </c>
      <c r="Y106" s="12">
        <f>IF(COUNT(X101:X106)=6,(AVERAGE(X104:X106)/AVERAGE(X101:X103))^4-1,"")</f>
        <v/>
      </c>
      <c r="Z106" s="10" t="n">
        <v>94.98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94.6151</v>
      </c>
      <c r="AE106" s="12">
        <f>IF(COUNT(AD101:AD106)=6,(AVERAGE(AD104:AD106)/AVERAGE(AD101:AD103))^4-1,"")</f>
        <v/>
      </c>
      <c r="AF106" s="10" t="n">
        <v>96.98999999999999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96.902</v>
      </c>
      <c r="AK106" s="12">
        <f>IF(COUNT(AJ101:AJ106)=6,(AVERAGE(AJ104:AJ106)/AVERAGE(AJ101:AJ103))^4-1,"")</f>
        <v/>
      </c>
      <c r="AL106" s="10" t="n">
        <v>100.59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101.8629</v>
      </c>
      <c r="AQ106" s="12">
        <f>IF(COUNT(AP101:AP106)=6,(AVERAGE(AP104:AP106)/AVERAGE(AP101:AP103))^4-1,"")</f>
        <v/>
      </c>
      <c r="AR106" s="10" t="n">
        <v>98.73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98.699</v>
      </c>
      <c r="AW106" s="12">
        <f>IF(COUNT(AV101:AV106)=6,(AVERAGE(AV104:AV106)/AVERAGE(AV101:AV103))^4-1,"")</f>
        <v/>
      </c>
      <c r="AX106" s="10" t="n">
        <v>97.27</v>
      </c>
      <c r="AY106" s="11">
        <f>IF(ISNUMBER(AX106),AX106/AX$65*100,"")</f>
        <v/>
      </c>
      <c r="AZ106" s="12">
        <f>IF(AND(ISNUMBER(AX106),ISNUMBER(AX105)),AX106/AX105-1,"")</f>
        <v/>
      </c>
      <c r="BA106" s="12">
        <f>IF(AND(ISNUMBER(AX106),ISNUMBER(AX94)),AX106/AX94-1,"")</f>
        <v/>
      </c>
      <c r="BB106" s="11" t="n">
        <v>96.9492</v>
      </c>
      <c r="BC106" s="12">
        <f>IF(COUNT(BB101:BB106)=6,(AVERAGE(BB104:BB106)/AVERAGE(BB101:BB103))^4-1,"")</f>
        <v/>
      </c>
    </row>
    <row r="107">
      <c r="A107" s="9" t="n">
        <v>45108</v>
      </c>
      <c r="B107" s="10" t="n">
        <v>97.06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96.6356</v>
      </c>
      <c r="G107" s="12">
        <f>IF(COUNT(F102:F107)=6,(AVERAGE(F105:F107)/AVERAGE(F102:F104))^4-1,"")</f>
        <v/>
      </c>
      <c r="H107" s="10" t="n">
        <v>96.93000000000001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96.3657</v>
      </c>
      <c r="M107" s="12">
        <f>IF(COUNT(L102:L107)=6,(AVERAGE(L105:L107)/AVERAGE(L102:L104))^4-1,"")</f>
        <v/>
      </c>
      <c r="N107" s="10" t="n">
        <v>96.95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96.49039999999999</v>
      </c>
      <c r="S107" s="12">
        <f>IF(COUNT(R102:R107)=6,(AVERAGE(R105:R107)/AVERAGE(R102:R104))^4-1,"")</f>
        <v/>
      </c>
      <c r="T107" s="10" t="n">
        <v>97.62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98.38339999999999</v>
      </c>
      <c r="Y107" s="12">
        <f>IF(COUNT(X102:X107)=6,(AVERAGE(X105:X107)/AVERAGE(X102:X104))^4-1,"")</f>
        <v/>
      </c>
      <c r="Z107" s="10" t="n">
        <v>96.66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94.99890000000001</v>
      </c>
      <c r="AE107" s="12">
        <f>IF(COUNT(AD102:AD107)=6,(AVERAGE(AD105:AD107)/AVERAGE(AD102:AD104))^4-1,"")</f>
        <v/>
      </c>
      <c r="AF107" s="10" t="n">
        <v>97.06999999999999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97.0382</v>
      </c>
      <c r="AK107" s="12">
        <f>IF(COUNT(AJ102:AJ107)=6,(AVERAGE(AJ105:AJ107)/AVERAGE(AJ102:AJ104))^4-1,"")</f>
        <v/>
      </c>
      <c r="AL107" s="10" t="n">
        <v>98.56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99.1293</v>
      </c>
      <c r="AQ107" s="12">
        <f>IF(COUNT(AP102:AP107)=6,(AVERAGE(AP105:AP107)/AVERAGE(AP102:AP104))^4-1,"")</f>
        <v/>
      </c>
      <c r="AR107" s="10" t="n">
        <v>101.04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99.0782</v>
      </c>
      <c r="AW107" s="12">
        <f>IF(COUNT(AV102:AV107)=6,(AVERAGE(AV105:AV107)/AVERAGE(AV102:AV104))^4-1,"")</f>
        <v/>
      </c>
      <c r="AX107" s="10" t="n">
        <v>97.31999999999999</v>
      </c>
      <c r="AY107" s="11">
        <f>IF(ISNUMBER(AX107),AX107/AX$65*100,"")</f>
        <v/>
      </c>
      <c r="AZ107" s="12">
        <f>IF(AND(ISNUMBER(AX107),ISNUMBER(AX106)),AX107/AX106-1,"")</f>
        <v/>
      </c>
      <c r="BA107" s="12">
        <f>IF(AND(ISNUMBER(AX107),ISNUMBER(AX95)),AX107/AX95-1,"")</f>
        <v/>
      </c>
      <c r="BB107" s="11" t="n">
        <v>96.9332</v>
      </c>
      <c r="BC107" s="12">
        <f>IF(COUNT(BB102:BB107)=6,(AVERAGE(BB105:BB107)/AVERAGE(BB102:BB104))^4-1,"")</f>
        <v/>
      </c>
    </row>
    <row r="108">
      <c r="A108" s="9" t="n">
        <v>45139</v>
      </c>
      <c r="B108" s="10" t="n">
        <v>98.13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97.3403</v>
      </c>
      <c r="G108" s="12">
        <f>IF(COUNT(F103:F108)=6,(AVERAGE(F106:F108)/AVERAGE(F103:F105))^4-1,"")</f>
        <v/>
      </c>
      <c r="H108" s="10" t="n">
        <v>97.52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96.5008</v>
      </c>
      <c r="M108" s="12">
        <f>IF(COUNT(L103:L108)=6,(AVERAGE(L106:L108)/AVERAGE(L103:L105))^4-1,"")</f>
        <v/>
      </c>
      <c r="N108" s="10" t="n">
        <v>97.47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96.5431</v>
      </c>
      <c r="S108" s="12">
        <f>IF(COUNT(R103:R108)=6,(AVERAGE(R106:R108)/AVERAGE(R103:R105))^4-1,"")</f>
        <v/>
      </c>
      <c r="T108" s="10" t="n">
        <v>99.53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99.7149</v>
      </c>
      <c r="Y108" s="12">
        <f>IF(COUNT(X103:X108)=6,(AVERAGE(X106:X108)/AVERAGE(X103:X105))^4-1,"")</f>
        <v/>
      </c>
      <c r="Z108" s="10" t="n">
        <v>96.78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95.13460000000001</v>
      </c>
      <c r="AE108" s="12">
        <f>IF(COUNT(AD103:AD108)=6,(AVERAGE(AD106:AD108)/AVERAGE(AD103:AD105))^4-1,"")</f>
        <v/>
      </c>
      <c r="AF108" s="10" t="n">
        <v>97.37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97.20740000000001</v>
      </c>
      <c r="AK108" s="12">
        <f>IF(COUNT(AJ103:AJ108)=6,(AVERAGE(AJ106:AJ108)/AVERAGE(AJ103:AJ105))^4-1,"")</f>
        <v/>
      </c>
      <c r="AL108" s="10" t="n">
        <v>104.88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104.7955</v>
      </c>
      <c r="AQ108" s="12">
        <f>IF(COUNT(AP103:AP108)=6,(AVERAGE(AP106:AP108)/AVERAGE(AP103:AP105))^4-1,"")</f>
        <v/>
      </c>
      <c r="AR108" s="10" t="n">
        <v>101.78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99.8917</v>
      </c>
      <c r="AW108" s="12">
        <f>IF(COUNT(AV103:AV108)=6,(AVERAGE(AV106:AV108)/AVERAGE(AV103:AV105))^4-1,"")</f>
        <v/>
      </c>
      <c r="AX108" s="10" t="n">
        <v>98.29000000000001</v>
      </c>
      <c r="AY108" s="11">
        <f>IF(ISNUMBER(AX108),AX108/AX$65*100,"")</f>
        <v/>
      </c>
      <c r="AZ108" s="12">
        <f>IF(AND(ISNUMBER(AX108),ISNUMBER(AX107)),AX108/AX107-1,"")</f>
        <v/>
      </c>
      <c r="BA108" s="12">
        <f>IF(AND(ISNUMBER(AX108),ISNUMBER(AX96)),AX108/AX96-1,"")</f>
        <v/>
      </c>
      <c r="BB108" s="11" t="n">
        <v>97.56780000000001</v>
      </c>
      <c r="BC108" s="12">
        <f>IF(COUNT(BB103:BB108)=6,(AVERAGE(BB106:BB108)/AVERAGE(BB103:BB105))^4-1,"")</f>
        <v/>
      </c>
    </row>
    <row r="109">
      <c r="A109" s="9" t="n">
        <v>45170</v>
      </c>
      <c r="B109" s="10" t="n">
        <v>97.56999999999999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97.9683</v>
      </c>
      <c r="G109" s="12">
        <f>IF(COUNT(F104:F109)=6,(AVERAGE(F107:F109)/AVERAGE(F104:F106))^4-1,"")</f>
        <v/>
      </c>
      <c r="H109" s="10" t="n">
        <v>96.51000000000001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96.6647</v>
      </c>
      <c r="M109" s="12">
        <f>IF(COUNT(L104:L109)=6,(AVERAGE(L107:L109)/AVERAGE(L104:L106))^4-1,"")</f>
        <v/>
      </c>
      <c r="N109" s="10" t="n">
        <v>96.64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96.8516</v>
      </c>
      <c r="S109" s="12">
        <f>IF(COUNT(R104:R109)=6,(AVERAGE(R107:R109)/AVERAGE(R104:R106))^4-1,"")</f>
        <v/>
      </c>
      <c r="T109" s="10" t="n">
        <v>100.12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100.4981</v>
      </c>
      <c r="Y109" s="12">
        <f>IF(COUNT(X104:X109)=6,(AVERAGE(X107:X109)/AVERAGE(X104:X106))^4-1,"")</f>
        <v/>
      </c>
      <c r="Z109" s="10" t="n">
        <v>94.93000000000001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95.39060000000001</v>
      </c>
      <c r="AE109" s="12">
        <f>IF(COUNT(AD104:AD109)=6,(AVERAGE(AD107:AD109)/AVERAGE(AD104:AD106))^4-1,"")</f>
        <v/>
      </c>
      <c r="AF109" s="10" t="n">
        <v>97.13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97.2139</v>
      </c>
      <c r="AK109" s="12">
        <f>IF(COUNT(AJ104:AJ109)=6,(AVERAGE(AJ107:AJ109)/AVERAGE(AJ104:AJ106))^4-1,"")</f>
        <v/>
      </c>
      <c r="AL109" s="10" t="n">
        <v>106.93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107.1132</v>
      </c>
      <c r="AQ109" s="12">
        <f>IF(COUNT(AP104:AP109)=6,(AVERAGE(AP107:AP109)/AVERAGE(AP104:AP106))^4-1,"")</f>
        <v/>
      </c>
      <c r="AR109" s="10" t="n">
        <v>100.11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101.9963</v>
      </c>
      <c r="AW109" s="12">
        <f>IF(COUNT(AV104:AV109)=6,(AVERAGE(AV107:AV109)/AVERAGE(AV104:AV106))^4-1,"")</f>
        <v/>
      </c>
      <c r="AX109" s="10" t="n">
        <v>97.78</v>
      </c>
      <c r="AY109" s="11">
        <f>IF(ISNUMBER(AX109),AX109/AX$65*100,"")</f>
        <v/>
      </c>
      <c r="AZ109" s="12">
        <f>IF(AND(ISNUMBER(AX109),ISNUMBER(AX108)),AX109/AX108-1,"")</f>
        <v/>
      </c>
      <c r="BA109" s="12">
        <f>IF(AND(ISNUMBER(AX109),ISNUMBER(AX97)),AX109/AX97-1,"")</f>
        <v/>
      </c>
      <c r="BB109" s="11" t="n">
        <v>98.1746</v>
      </c>
      <c r="BC109" s="12">
        <f>IF(COUNT(BB104:BB109)=6,(AVERAGE(BB107:BB109)/AVERAGE(BB104:BB106))^4-1,"")</f>
        <v/>
      </c>
    </row>
    <row r="110">
      <c r="A110" s="9" t="n">
        <v>45200</v>
      </c>
      <c r="B110" s="10" t="n">
        <v>97.73999999999999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97.884</v>
      </c>
      <c r="G110" s="12">
        <f>IF(COUNT(F105:F110)=6,(AVERAGE(F108:F110)/AVERAGE(F105:F107))^4-1,"")</f>
        <v/>
      </c>
      <c r="H110" s="10" t="n">
        <v>96.81999999999999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96.8967</v>
      </c>
      <c r="M110" s="12">
        <f>IF(COUNT(L105:L110)=6,(AVERAGE(L108:L110)/AVERAGE(L105:L107))^4-1,"")</f>
        <v/>
      </c>
      <c r="N110" s="10" t="n">
        <v>96.89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97.0282</v>
      </c>
      <c r="S110" s="12">
        <f>IF(COUNT(R105:R110)=6,(AVERAGE(R108:R110)/AVERAGE(R105:R107))^4-1,"")</f>
        <v/>
      </c>
      <c r="T110" s="10" t="n">
        <v>100.11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100.1694</v>
      </c>
      <c r="Y110" s="12">
        <f>IF(COUNT(X105:X110)=6,(AVERAGE(X108:X110)/AVERAGE(X105:X107))^4-1,"")</f>
        <v/>
      </c>
      <c r="Z110" s="10" t="n">
        <v>95.3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95.7303</v>
      </c>
      <c r="AE110" s="12">
        <f>IF(COUNT(AD105:AD110)=6,(AVERAGE(AD108:AD110)/AVERAGE(AD105:AD107))^4-1,"")</f>
        <v/>
      </c>
      <c r="AF110" s="10" t="n">
        <v>97.16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97.52290000000001</v>
      </c>
      <c r="AK110" s="12">
        <f>IF(COUNT(AJ105:AJ110)=6,(AVERAGE(AJ108:AJ110)/AVERAGE(AJ105:AJ107))^4-1,"")</f>
        <v/>
      </c>
      <c r="AL110" s="10" t="n">
        <v>106.38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105.4332</v>
      </c>
      <c r="AQ110" s="12">
        <f>IF(COUNT(AP105:AP110)=6,(AVERAGE(AP108:AP110)/AVERAGE(AP105:AP107))^4-1,"")</f>
        <v/>
      </c>
      <c r="AR110" s="10" t="n">
        <v>100.4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100.9693</v>
      </c>
      <c r="AW110" s="12">
        <f>IF(COUNT(AV105:AV110)=6,(AVERAGE(AV108:AV110)/AVERAGE(AV105:AV107))^4-1,"")</f>
        <v/>
      </c>
      <c r="AX110" s="10" t="n">
        <v>97.92</v>
      </c>
      <c r="AY110" s="11">
        <f>IF(ISNUMBER(AX110),AX110/AX$65*100,"")</f>
        <v/>
      </c>
      <c r="AZ110" s="12">
        <f>IF(AND(ISNUMBER(AX110),ISNUMBER(AX109)),AX110/AX109-1,"")</f>
        <v/>
      </c>
      <c r="BA110" s="12">
        <f>IF(AND(ISNUMBER(AX110),ISNUMBER(AX98)),AX110/AX98-1,"")</f>
        <v/>
      </c>
      <c r="BB110" s="11" t="n">
        <v>98.1493</v>
      </c>
      <c r="BC110" s="12">
        <f>IF(COUNT(BB105:BB110)=6,(AVERAGE(BB108:BB110)/AVERAGE(BB105:BB107))^4-1,"")</f>
        <v/>
      </c>
    </row>
    <row r="111">
      <c r="A111" s="9" t="n">
        <v>45231</v>
      </c>
      <c r="B111" s="10" t="n">
        <v>97.5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97.9889</v>
      </c>
      <c r="G111" s="12">
        <f>IF(COUNT(F106:F111)=6,(AVERAGE(F109:F111)/AVERAGE(F106:F108))^4-1,"")</f>
        <v/>
      </c>
      <c r="H111" s="10" t="n">
        <v>96.52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97.0224</v>
      </c>
      <c r="M111" s="12">
        <f>IF(COUNT(L106:L111)=6,(AVERAGE(L109:L111)/AVERAGE(L106:L108))^4-1,"")</f>
        <v/>
      </c>
      <c r="N111" s="10" t="n">
        <v>96.73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97.17230000000001</v>
      </c>
      <c r="S111" s="12">
        <f>IF(COUNT(R106:R111)=6,(AVERAGE(R109:R111)/AVERAGE(R106:R108))^4-1,"")</f>
        <v/>
      </c>
      <c r="T111" s="10" t="n">
        <v>100.07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99.8612</v>
      </c>
      <c r="Y111" s="12">
        <f>IF(COUNT(X106:X111)=6,(AVERAGE(X109:X111)/AVERAGE(X106:X108))^4-1,"")</f>
        <v/>
      </c>
      <c r="Z111" s="10" t="n">
        <v>94.84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95.80200000000001</v>
      </c>
      <c r="AE111" s="12">
        <f>IF(COUNT(AD106:AD111)=6,(AVERAGE(AD109:AD111)/AVERAGE(AD106:AD108))^4-1,"")</f>
        <v/>
      </c>
      <c r="AF111" s="10" t="n">
        <v>97.5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97.8289</v>
      </c>
      <c r="AK111" s="12">
        <f>IF(COUNT(AJ106:AJ111)=6,(AVERAGE(AJ109:AJ111)/AVERAGE(AJ106:AJ108))^4-1,"")</f>
        <v/>
      </c>
      <c r="AL111" s="10" t="n">
        <v>105.33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104.6525</v>
      </c>
      <c r="AQ111" s="12">
        <f>IF(COUNT(AP106:AP111)=6,(AVERAGE(AP109:AP111)/AVERAGE(AP106:AP108))^4-1,"")</f>
        <v/>
      </c>
      <c r="AR111" s="10" t="n">
        <v>98.63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99.83</v>
      </c>
      <c r="AW111" s="12">
        <f>IF(COUNT(AV106:AV111)=6,(AVERAGE(AV109:AV111)/AVERAGE(AV106:AV108))^4-1,"")</f>
        <v/>
      </c>
      <c r="AX111" s="10" t="n">
        <v>97.75</v>
      </c>
      <c r="AY111" s="11">
        <f>IF(ISNUMBER(AX111),AX111/AX$65*100,"")</f>
        <v/>
      </c>
      <c r="AZ111" s="12">
        <f>IF(AND(ISNUMBER(AX111),ISNUMBER(AX110)),AX111/AX110-1,"")</f>
        <v/>
      </c>
      <c r="BA111" s="12">
        <f>IF(AND(ISNUMBER(AX111),ISNUMBER(AX99)),AX111/AX99-1,"")</f>
        <v/>
      </c>
      <c r="BB111" s="11" t="n">
        <v>98.1915</v>
      </c>
      <c r="BC111" s="12">
        <f>IF(COUNT(BB106:BB111)=6,(AVERAGE(BB109:BB111)/AVERAGE(BB106:BB108))^4-1,"")</f>
        <v/>
      </c>
    </row>
    <row r="112">
      <c r="A112" s="9" t="n">
        <v>45261</v>
      </c>
      <c r="B112" s="10" t="n">
        <v>97.64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98.12730000000001</v>
      </c>
      <c r="G112" s="12">
        <f>IF(COUNT(F107:F112)=6,(AVERAGE(F110:F112)/AVERAGE(F107:F109))^4-1,"")</f>
        <v/>
      </c>
      <c r="H112" s="10" t="n">
        <v>96.87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97.2411</v>
      </c>
      <c r="M112" s="12">
        <f>IF(COUNT(L107:L112)=6,(AVERAGE(L110:L112)/AVERAGE(L107:L109))^4-1,"")</f>
        <v/>
      </c>
      <c r="N112" s="10" t="n">
        <v>97.01000000000001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97.3882</v>
      </c>
      <c r="S112" s="12">
        <f>IF(COUNT(R107:R112)=6,(AVERAGE(R110:R112)/AVERAGE(R107:R109))^4-1,"")</f>
        <v/>
      </c>
      <c r="T112" s="10" t="n">
        <v>99.73999999999999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99.7486</v>
      </c>
      <c r="Y112" s="12">
        <f>IF(COUNT(X107:X112)=6,(AVERAGE(X110:X112)/AVERAGE(X107:X109))^4-1,"")</f>
        <v/>
      </c>
      <c r="Z112" s="10" t="n">
        <v>95.51000000000001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96.172</v>
      </c>
      <c r="AE112" s="12">
        <f>IF(COUNT(AD107:AD112)=6,(AVERAGE(AD110:AD112)/AVERAGE(AD107:AD109))^4-1,"")</f>
        <v/>
      </c>
      <c r="AF112" s="10" t="n">
        <v>97.53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97.9645</v>
      </c>
      <c r="AK112" s="12">
        <f>IF(COUNT(AJ107:AJ112)=6,(AVERAGE(AJ110:AJ112)/AVERAGE(AJ107:AJ109))^4-1,"")</f>
        <v/>
      </c>
      <c r="AL112" s="10" t="n">
        <v>104.17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106.7491</v>
      </c>
      <c r="AQ112" s="12">
        <f>IF(COUNT(AP107:AP112)=6,(AVERAGE(AP110:AP112)/AVERAGE(AP107:AP109))^4-1,"")</f>
        <v/>
      </c>
      <c r="AR112" s="10" t="n">
        <v>99.05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100.0812</v>
      </c>
      <c r="AW112" s="12">
        <f>IF(COUNT(AV107:AV112)=6,(AVERAGE(AV110:AV112)/AVERAGE(AV107:AV109))^4-1,"")</f>
        <v/>
      </c>
      <c r="AX112" s="10" t="n">
        <v>97.88</v>
      </c>
      <c r="AY112" s="11">
        <f>IF(ISNUMBER(AX112),AX112/AX$65*100,"")</f>
        <v/>
      </c>
      <c r="AZ112" s="12">
        <f>IF(AND(ISNUMBER(AX112),ISNUMBER(AX111)),AX112/AX111-1,"")</f>
        <v/>
      </c>
      <c r="BA112" s="12">
        <f>IF(AND(ISNUMBER(AX112),ISNUMBER(AX100)),AX112/AX100-1,"")</f>
        <v/>
      </c>
      <c r="BB112" s="11" t="n">
        <v>98.35769999999999</v>
      </c>
      <c r="BC112" s="12">
        <f>IF(COUNT(BB107:BB112)=6,(AVERAGE(BB110:BB112)/AVERAGE(BB107:BB109))^4-1,"")</f>
        <v/>
      </c>
    </row>
    <row r="113">
      <c r="A113" s="9" t="n">
        <v>45292</v>
      </c>
      <c r="B113" s="10" t="n">
        <v>97.41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97.8682</v>
      </c>
      <c r="G113" s="12">
        <f>IF(COUNT(F108:F113)=6,(AVERAGE(F111:F113)/AVERAGE(F108:F110))^4-1,"")</f>
        <v/>
      </c>
      <c r="H113" s="10" t="n">
        <v>96.29000000000001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97.4157</v>
      </c>
      <c r="M113" s="12">
        <f>IF(COUNT(L108:L113)=6,(AVERAGE(L111:L113)/AVERAGE(L108:L110))^4-1,"")</f>
        <v/>
      </c>
      <c r="N113" s="10" t="n">
        <v>96.73999999999999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97.63800000000001</v>
      </c>
      <c r="S113" s="12">
        <f>IF(COUNT(R108:R113)=6,(AVERAGE(R111:R113)/AVERAGE(R108:R110))^4-1,"")</f>
        <v/>
      </c>
      <c r="T113" s="10" t="n">
        <v>99.27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99.2906</v>
      </c>
      <c r="Y113" s="12">
        <f>IF(COUNT(X108:X113)=6,(AVERAGE(X111:X113)/AVERAGE(X108:X110))^4-1,"")</f>
        <v/>
      </c>
      <c r="Z113" s="10" t="n">
        <v>95.52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96.45659999999999</v>
      </c>
      <c r="AE113" s="12">
        <f>IF(COUNT(AD108:AD113)=6,(AVERAGE(AD111:AD113)/AVERAGE(AD108:AD110))^4-1,"")</f>
        <v/>
      </c>
      <c r="AF113" s="10" t="n">
        <v>98.42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98.2466</v>
      </c>
      <c r="AK113" s="12">
        <f>IF(COUNT(AJ108:AJ113)=6,(AVERAGE(AJ111:AJ113)/AVERAGE(AJ108:AJ110))^4-1,"")</f>
        <v/>
      </c>
      <c r="AL113" s="10" t="n">
        <v>104.32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106.2345</v>
      </c>
      <c r="AQ113" s="12">
        <f>IF(COUNT(AP108:AP113)=6,(AVERAGE(AP111:AP113)/AVERAGE(AP108:AP110))^4-1,"")</f>
        <v/>
      </c>
      <c r="AR113" s="10" t="n">
        <v>98.38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99.134</v>
      </c>
      <c r="AW113" s="12">
        <f>IF(COUNT(AV108:AV113)=6,(AVERAGE(AV111:AV113)/AVERAGE(AV108:AV110))^4-1,"")</f>
        <v/>
      </c>
      <c r="AX113" s="10" t="n">
        <v>97.72</v>
      </c>
      <c r="AY113" s="11">
        <f>IF(ISNUMBER(AX113),AX113/AX$65*100,"")</f>
        <v/>
      </c>
      <c r="AZ113" s="12">
        <f>IF(AND(ISNUMBER(AX113),ISNUMBER(AX112)),AX113/AX112-1,"")</f>
        <v/>
      </c>
      <c r="BA113" s="12">
        <f>IF(AND(ISNUMBER(AX113),ISNUMBER(AX101)),AX113/AX101-1,"")</f>
        <v/>
      </c>
      <c r="BB113" s="11" t="n">
        <v>98.12269999999999</v>
      </c>
      <c r="BC113" s="12">
        <f>IF(COUNT(BB108:BB113)=6,(AVERAGE(BB111:BB113)/AVERAGE(BB108:BB110))^4-1,"")</f>
        <v/>
      </c>
    </row>
    <row r="114">
      <c r="A114" s="9" t="n">
        <v>45323</v>
      </c>
      <c r="B114" s="10" t="n">
        <v>98.33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98.74720000000001</v>
      </c>
      <c r="G114" s="12">
        <f>IF(COUNT(F109:F114)=6,(AVERAGE(F112:F114)/AVERAGE(F109:F111))^4-1,"")</f>
        <v/>
      </c>
      <c r="H114" s="10" t="n">
        <v>97.08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97.6712</v>
      </c>
      <c r="M114" s="12">
        <f>IF(COUNT(L109:L114)=6,(AVERAGE(L112:L114)/AVERAGE(L109:L111))^4-1,"")</f>
        <v/>
      </c>
      <c r="N114" s="10" t="n">
        <v>97.34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97.8139</v>
      </c>
      <c r="S114" s="12">
        <f>IF(COUNT(R109:R114)=6,(AVERAGE(R112:R114)/AVERAGE(R109:R111))^4-1,"")</f>
        <v/>
      </c>
      <c r="T114" s="10" t="n">
        <v>100.22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100.5969</v>
      </c>
      <c r="Y114" s="12">
        <f>IF(COUNT(X109:X114)=6,(AVERAGE(X112:X114)/AVERAGE(X109:X111))^4-1,"")</f>
        <v/>
      </c>
      <c r="Z114" s="10" t="n">
        <v>96.41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96.8656</v>
      </c>
      <c r="AE114" s="12">
        <f>IF(COUNT(AD109:AD114)=6,(AVERAGE(AD112:AD114)/AVERAGE(AD109:AD111))^4-1,"")</f>
        <v/>
      </c>
      <c r="AF114" s="10" t="n">
        <v>98.31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98.3253</v>
      </c>
      <c r="AK114" s="12">
        <f>IF(COUNT(AJ109:AJ114)=6,(AVERAGE(AJ112:AJ114)/AVERAGE(AJ109:AJ111))^4-1,"")</f>
        <v/>
      </c>
      <c r="AL114" s="10" t="n">
        <v>108.47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106.3063</v>
      </c>
      <c r="AQ114" s="12">
        <f>IF(COUNT(AP109:AP114)=6,(AVERAGE(AP112:AP114)/AVERAGE(AP109:AP111))^4-1,"")</f>
        <v/>
      </c>
      <c r="AR114" s="10" t="n">
        <v>100.16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99.7722</v>
      </c>
      <c r="AW114" s="12">
        <f>IF(COUNT(AV109:AV114)=6,(AVERAGE(AV112:AV114)/AVERAGE(AV109:AV111))^4-1,"")</f>
        <v/>
      </c>
      <c r="AX114" s="10" t="n">
        <v>98.56</v>
      </c>
      <c r="AY114" s="11">
        <f>IF(ISNUMBER(AX114),AX114/AX$65*100,"")</f>
        <v/>
      </c>
      <c r="AZ114" s="12">
        <f>IF(AND(ISNUMBER(AX114),ISNUMBER(AX113)),AX114/AX113-1,"")</f>
        <v/>
      </c>
      <c r="BA114" s="12">
        <f>IF(AND(ISNUMBER(AX114),ISNUMBER(AX102)),AX114/AX102-1,"")</f>
        <v/>
      </c>
      <c r="BB114" s="11" t="n">
        <v>98.8306</v>
      </c>
      <c r="BC114" s="12">
        <f>IF(COUNT(BB109:BB114)=6,(AVERAGE(BB112:BB114)/AVERAGE(BB109:BB111))^4-1,"")</f>
        <v/>
      </c>
    </row>
    <row r="115">
      <c r="A115" s="9" t="n">
        <v>45352</v>
      </c>
      <c r="B115" s="10" t="n">
        <v>98.56999999999999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98.6799</v>
      </c>
      <c r="G115" s="12">
        <f>IF(COUNT(F110:F115)=6,(AVERAGE(F113:F115)/AVERAGE(F110:F112))^4-1,"")</f>
        <v/>
      </c>
      <c r="H115" s="10" t="n">
        <v>97.5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97.774</v>
      </c>
      <c r="M115" s="12">
        <f>IF(COUNT(L110:L115)=6,(AVERAGE(L113:L115)/AVERAGE(L110:L112))^4-1,"")</f>
        <v/>
      </c>
      <c r="N115" s="10" t="n">
        <v>97.68000000000001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97.8901</v>
      </c>
      <c r="S115" s="12">
        <f>IF(COUNT(R110:R115)=6,(AVERAGE(R113:R115)/AVERAGE(R110:R112))^4-1,"")</f>
        <v/>
      </c>
      <c r="T115" s="10" t="n">
        <v>100.73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100.4042</v>
      </c>
      <c r="Y115" s="12">
        <f>IF(COUNT(X110:X115)=6,(AVERAGE(X113:X115)/AVERAGE(X110:X112))^4-1,"")</f>
        <v/>
      </c>
      <c r="Z115" s="10" t="n">
        <v>96.37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96.96559999999999</v>
      </c>
      <c r="AE115" s="12">
        <f>IF(COUNT(AD110:AD115)=6,(AVERAGE(AD113:AD115)/AVERAGE(AD110:AD112))^4-1,"")</f>
        <v/>
      </c>
      <c r="AF115" s="10" t="n">
        <v>98.36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98.3182</v>
      </c>
      <c r="AK115" s="12">
        <f>IF(COUNT(AJ110:AJ115)=6,(AVERAGE(AJ113:AJ115)/AVERAGE(AJ110:AJ112))^4-1,"")</f>
        <v/>
      </c>
      <c r="AL115" s="10" t="n">
        <v>107.66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106.4664</v>
      </c>
      <c r="AQ115" s="12">
        <f>IF(COUNT(AP110:AP115)=6,(AVERAGE(AP113:AP115)/AVERAGE(AP110:AP112))^4-1,"")</f>
        <v/>
      </c>
      <c r="AR115" s="10" t="n">
        <v>100.14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100.0402</v>
      </c>
      <c r="AW115" s="12">
        <f>IF(COUNT(AV110:AV115)=6,(AVERAGE(AV113:AV115)/AVERAGE(AV110:AV112))^4-1,"")</f>
        <v/>
      </c>
      <c r="AX115" s="10" t="n">
        <v>98.77</v>
      </c>
      <c r="AY115" s="11">
        <f>IF(ISNUMBER(AX115),AX115/AX$65*100,"")</f>
        <v/>
      </c>
      <c r="AZ115" s="12">
        <f>IF(AND(ISNUMBER(AX115),ISNUMBER(AX114)),AX115/AX114-1,"")</f>
        <v/>
      </c>
      <c r="BA115" s="12">
        <f>IF(AND(ISNUMBER(AX115),ISNUMBER(AX103)),AX115/AX103-1,"")</f>
        <v/>
      </c>
      <c r="BB115" s="11" t="n">
        <v>98.8361</v>
      </c>
      <c r="BC115" s="12">
        <f>IF(COUNT(BB110:BB115)=6,(AVERAGE(BB113:BB115)/AVERAGE(BB110:BB112))^4-1,"")</f>
        <v/>
      </c>
    </row>
    <row r="116">
      <c r="A116" s="9" t="n">
        <v>45383</v>
      </c>
      <c r="B116" s="10" t="n">
        <v>99.18000000000001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98.8241</v>
      </c>
      <c r="G116" s="12">
        <f>IF(COUNT(F111:F116)=6,(AVERAGE(F114:F116)/AVERAGE(F111:F113))^4-1,"")</f>
        <v/>
      </c>
      <c r="H116" s="10" t="n">
        <v>98.38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97.94070000000001</v>
      </c>
      <c r="M116" s="12">
        <f>IF(COUNT(L111:L116)=6,(AVERAGE(L114:L116)/AVERAGE(L111:L113))^4-1,"")</f>
        <v/>
      </c>
      <c r="N116" s="10" t="n">
        <v>98.39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98.01300000000001</v>
      </c>
      <c r="S116" s="12">
        <f>IF(COUNT(R111:R116)=6,(AVERAGE(R114:R116)/AVERAGE(R111:R113))^4-1,"")</f>
        <v/>
      </c>
      <c r="T116" s="10" t="n">
        <v>100.74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100.3148</v>
      </c>
      <c r="Y116" s="12">
        <f>IF(COUNT(X111:X116)=6,(AVERAGE(X114:X116)/AVERAGE(X111:X113))^4-1,"")</f>
        <v/>
      </c>
      <c r="Z116" s="10" t="n">
        <v>97.61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97.2308</v>
      </c>
      <c r="AE116" s="12">
        <f>IF(COUNT(AD111:AD116)=6,(AVERAGE(AD114:AD116)/AVERAGE(AD111:AD113))^4-1,"")</f>
        <v/>
      </c>
      <c r="AF116" s="10" t="n">
        <v>98.43000000000001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98.2482</v>
      </c>
      <c r="AK116" s="12">
        <f>IF(COUNT(AJ111:AJ116)=6,(AVERAGE(AJ114:AJ116)/AVERAGE(AJ111:AJ113))^4-1,"")</f>
        <v/>
      </c>
      <c r="AL116" s="10" t="n">
        <v>107.34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105.5201</v>
      </c>
      <c r="AQ116" s="12">
        <f>IF(COUNT(AP111:AP116)=6,(AVERAGE(AP114:AP116)/AVERAGE(AP111:AP113))^4-1,"")</f>
        <v/>
      </c>
      <c r="AR116" s="10" t="n">
        <v>101.62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100.3084</v>
      </c>
      <c r="AW116" s="12">
        <f>IF(COUNT(AV111:AV116)=6,(AVERAGE(AV114:AV116)/AVERAGE(AV111:AV113))^4-1,"")</f>
        <v/>
      </c>
      <c r="AX116" s="10" t="n">
        <v>99.27</v>
      </c>
      <c r="AY116" s="11">
        <f>IF(ISNUMBER(AX116),AX116/AX$65*100,"")</f>
        <v/>
      </c>
      <c r="AZ116" s="12">
        <f>IF(AND(ISNUMBER(AX116),ISNUMBER(AX115)),AX116/AX115-1,"")</f>
        <v/>
      </c>
      <c r="BA116" s="12">
        <f>IF(AND(ISNUMBER(AX116),ISNUMBER(AX104)),AX116/AX104-1,"")</f>
        <v/>
      </c>
      <c r="BB116" s="11" t="n">
        <v>98.8959</v>
      </c>
      <c r="BC116" s="12">
        <f>IF(COUNT(BB111:BB116)=6,(AVERAGE(BB114:BB116)/AVERAGE(BB111:BB113))^4-1,"")</f>
        <v/>
      </c>
    </row>
    <row r="117">
      <c r="A117" s="9" t="n">
        <v>45413</v>
      </c>
      <c r="B117" s="10" t="n">
        <v>99.31999999999999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98.80880000000001</v>
      </c>
      <c r="G117" s="12">
        <f>IF(COUNT(F112:F117)=6,(AVERAGE(F115:F117)/AVERAGE(F112:F114))^4-1,"")</f>
        <v/>
      </c>
      <c r="H117" s="10" t="n">
        <v>98.65000000000001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98.2732</v>
      </c>
      <c r="M117" s="12">
        <f>IF(COUNT(L112:L117)=6,(AVERAGE(L115:L117)/AVERAGE(L112:L114))^4-1,"")</f>
        <v/>
      </c>
      <c r="N117" s="10" t="n">
        <v>98.68000000000001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98.28400000000001</v>
      </c>
      <c r="S117" s="12">
        <f>IF(COUNT(R112:R117)=6,(AVERAGE(R115:R117)/AVERAGE(R112:R114))^4-1,"")</f>
        <v/>
      </c>
      <c r="T117" s="10" t="n">
        <v>100.88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100.2129</v>
      </c>
      <c r="Y117" s="12">
        <f>IF(COUNT(X112:X117)=6,(AVERAGE(X115:X117)/AVERAGE(X112:X114))^4-1,"")</f>
        <v/>
      </c>
      <c r="Z117" s="10" t="n">
        <v>97.76000000000001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97.5081</v>
      </c>
      <c r="AE117" s="12">
        <f>IF(COUNT(AD112:AD117)=6,(AVERAGE(AD115:AD117)/AVERAGE(AD112:AD114))^4-1,"")</f>
        <v/>
      </c>
      <c r="AF117" s="10" t="n">
        <v>98.78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98.3389</v>
      </c>
      <c r="AK117" s="12">
        <f>IF(COUNT(AJ112:AJ117)=6,(AVERAGE(AJ115:AJ117)/AVERAGE(AJ112:AJ114))^4-1,"")</f>
        <v/>
      </c>
      <c r="AL117" s="10" t="n">
        <v>106.04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106.2327</v>
      </c>
      <c r="AQ117" s="12">
        <f>IF(COUNT(AP112:AP117)=6,(AVERAGE(AP115:AP117)/AVERAGE(AP112:AP114))^4-1,"")</f>
        <v/>
      </c>
      <c r="AR117" s="10" t="n">
        <v>100.23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100.6486</v>
      </c>
      <c r="AW117" s="12">
        <f>IF(COUNT(AV112:AV117)=6,(AVERAGE(AV115:AV117)/AVERAGE(AV112:AV114))^4-1,"")</f>
        <v/>
      </c>
      <c r="AX117" s="10" t="n">
        <v>99.3</v>
      </c>
      <c r="AY117" s="11">
        <f>IF(ISNUMBER(AX117),AX117/AX$65*100,"")</f>
        <v/>
      </c>
      <c r="AZ117" s="12">
        <f>IF(AND(ISNUMBER(AX117),ISNUMBER(AX116)),AX117/AX116-1,"")</f>
        <v/>
      </c>
      <c r="BA117" s="12">
        <f>IF(AND(ISNUMBER(AX117),ISNUMBER(AX105)),AX117/AX105-1,"")</f>
        <v/>
      </c>
      <c r="BB117" s="11" t="n">
        <v>98.87390000000001</v>
      </c>
      <c r="BC117" s="12">
        <f>IF(COUNT(BB112:BB117)=6,(AVERAGE(BB115:BB117)/AVERAGE(BB112:BB114))^4-1,"")</f>
        <v/>
      </c>
    </row>
    <row r="118">
      <c r="A118" s="9" t="n">
        <v>45444</v>
      </c>
      <c r="B118" s="10" t="n">
        <v>99.48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99.1283</v>
      </c>
      <c r="G118" s="12">
        <f>IF(COUNT(F113:F118)=6,(AVERAGE(F116:F118)/AVERAGE(F113:F115))^4-1,"")</f>
        <v/>
      </c>
      <c r="H118" s="10" t="n">
        <v>99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98.4071</v>
      </c>
      <c r="M118" s="12">
        <f>IF(COUNT(L113:L118)=6,(AVERAGE(L116:L118)/AVERAGE(L113:L115))^4-1,"")</f>
        <v/>
      </c>
      <c r="N118" s="10" t="n">
        <v>98.93000000000001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98.45699999999999</v>
      </c>
      <c r="S118" s="12">
        <f>IF(COUNT(R113:R118)=6,(AVERAGE(R116:R118)/AVERAGE(R113:R115))^4-1,"")</f>
        <v/>
      </c>
      <c r="T118" s="10" t="n">
        <v>100.72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100.5338</v>
      </c>
      <c r="Y118" s="12">
        <f>IF(COUNT(X113:X118)=6,(AVERAGE(X116:X118)/AVERAGE(X113:X115))^4-1,"")</f>
        <v/>
      </c>
      <c r="Z118" s="10" t="n">
        <v>98.23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97.79640000000001</v>
      </c>
      <c r="AE118" s="12">
        <f>IF(COUNT(AD113:AD118)=6,(AVERAGE(AD116:AD118)/AVERAGE(AD113:AD115))^4-1,"")</f>
        <v/>
      </c>
      <c r="AF118" s="10" t="n">
        <v>98.62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98.5378</v>
      </c>
      <c r="AK118" s="12">
        <f>IF(COUNT(AJ113:AJ118)=6,(AVERAGE(AJ116:AJ118)/AVERAGE(AJ113:AJ115))^4-1,"")</f>
        <v/>
      </c>
      <c r="AL118" s="10" t="n">
        <v>105.2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106.7007</v>
      </c>
      <c r="AQ118" s="12">
        <f>IF(COUNT(AP113:AP118)=6,(AVERAGE(AP116:AP118)/AVERAGE(AP113:AP115))^4-1,"")</f>
        <v/>
      </c>
      <c r="AR118" s="10" t="n">
        <v>100.25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100.1883</v>
      </c>
      <c r="AW118" s="12">
        <f>IF(COUNT(AV113:AV118)=6,(AVERAGE(AV116:AV118)/AVERAGE(AV113:AV115))^4-1,"")</f>
        <v/>
      </c>
      <c r="AX118" s="10" t="n">
        <v>99.38</v>
      </c>
      <c r="AY118" s="11">
        <f>IF(ISNUMBER(AX118),AX118/AX$65*100,"")</f>
        <v/>
      </c>
      <c r="AZ118" s="12">
        <f>IF(AND(ISNUMBER(AX118),ISNUMBER(AX117)),AX118/AX117-1,"")</f>
        <v/>
      </c>
      <c r="BA118" s="12">
        <f>IF(AND(ISNUMBER(AX118),ISNUMBER(AX106)),AX118/AX106-1,"")</f>
        <v/>
      </c>
      <c r="BB118" s="11" t="n">
        <v>99.0553</v>
      </c>
      <c r="BC118" s="12">
        <f>IF(COUNT(BB113:BB118)=6,(AVERAGE(BB116:BB118)/AVERAGE(BB113:BB115))^4-1,"")</f>
        <v/>
      </c>
    </row>
    <row r="119">
      <c r="A119" s="9" t="n">
        <v>45474</v>
      </c>
      <c r="B119" s="10" t="n">
        <v>99.68000000000001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99.19199999999999</v>
      </c>
      <c r="G119" s="12">
        <f>IF(COUNT(F114:F119)=6,(AVERAGE(F117:F119)/AVERAGE(F114:F116))^4-1,"")</f>
        <v/>
      </c>
      <c r="H119" s="10" t="n">
        <v>99.15000000000001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98.46299999999999</v>
      </c>
      <c r="M119" s="12">
        <f>IF(COUNT(L114:L119)=6,(AVERAGE(L117:L119)/AVERAGE(L114:L116))^4-1,"")</f>
        <v/>
      </c>
      <c r="N119" s="10" t="n">
        <v>99.01000000000001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98.4562</v>
      </c>
      <c r="S119" s="12">
        <f>IF(COUNT(R114:R119)=6,(AVERAGE(R117:R119)/AVERAGE(R114:R116))^4-1,"")</f>
        <v/>
      </c>
      <c r="T119" s="10" t="n">
        <v>99.73999999999999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100.5441</v>
      </c>
      <c r="Y119" s="12">
        <f>IF(COUNT(X114:X119)=6,(AVERAGE(X117:X119)/AVERAGE(X114:X116))^4-1,"")</f>
        <v/>
      </c>
      <c r="Z119" s="10" t="n">
        <v>99.65000000000001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97.8366</v>
      </c>
      <c r="AE119" s="12">
        <f>IF(COUNT(AD114:AD119)=6,(AVERAGE(AD117:AD119)/AVERAGE(AD114:AD116))^4-1,"")</f>
        <v/>
      </c>
      <c r="AF119" s="10" t="n">
        <v>98.45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98.4362</v>
      </c>
      <c r="AK119" s="12">
        <f>IF(COUNT(AJ114:AJ119)=6,(AVERAGE(AJ117:AJ119)/AVERAGE(AJ114:AJ116))^4-1,"")</f>
        <v/>
      </c>
      <c r="AL119" s="10" t="n">
        <v>106.62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107.191</v>
      </c>
      <c r="AQ119" s="12">
        <f>IF(COUNT(AP114:AP119)=6,(AVERAGE(AP117:AP119)/AVERAGE(AP114:AP116))^4-1,"")</f>
        <v/>
      </c>
      <c r="AR119" s="10" t="n">
        <v>102.36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100.141</v>
      </c>
      <c r="AW119" s="12">
        <f>IF(COUNT(AV114:AV119)=6,(AVERAGE(AV117:AV119)/AVERAGE(AV114:AV116))^4-1,"")</f>
        <v/>
      </c>
      <c r="AX119" s="10" t="n">
        <v>99.56</v>
      </c>
      <c r="AY119" s="11">
        <f>IF(ISNUMBER(AX119),AX119/AX$65*100,"")</f>
        <v/>
      </c>
      <c r="AZ119" s="12">
        <f>IF(AND(ISNUMBER(AX119),ISNUMBER(AX118)),AX119/AX118-1,"")</f>
        <v/>
      </c>
      <c r="BA119" s="12">
        <f>IF(AND(ISNUMBER(AX119),ISNUMBER(AX107)),AX119/AX107-1,"")</f>
        <v/>
      </c>
      <c r="BB119" s="11" t="n">
        <v>99.1187</v>
      </c>
      <c r="BC119" s="12">
        <f>IF(COUNT(BB114:BB119)=6,(AVERAGE(BB117:BB119)/AVERAGE(BB114:BB116))^4-1,"")</f>
        <v/>
      </c>
    </row>
    <row r="120">
      <c r="A120" s="9" t="n">
        <v>45505</v>
      </c>
      <c r="B120" s="10" t="n">
        <v>100.27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99.3753</v>
      </c>
      <c r="G120" s="12">
        <f>IF(COUNT(F115:F120)=6,(AVERAGE(F118:F120)/AVERAGE(F115:F117))^4-1,"")</f>
        <v/>
      </c>
      <c r="H120" s="10" t="n">
        <v>100.06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98.9226</v>
      </c>
      <c r="M120" s="12">
        <f>IF(COUNT(L115:L120)=6,(AVERAGE(L118:L120)/AVERAGE(L115:L117))^4-1,"")</f>
        <v/>
      </c>
      <c r="N120" s="10" t="n">
        <v>99.79000000000001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98.7606</v>
      </c>
      <c r="S120" s="12">
        <f>IF(COUNT(R115:R120)=6,(AVERAGE(R118:R120)/AVERAGE(R115:R117))^4-1,"")</f>
        <v/>
      </c>
      <c r="T120" s="10" t="n">
        <v>100.33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100.4333</v>
      </c>
      <c r="Y120" s="12">
        <f>IF(COUNT(X115:X120)=6,(AVERAGE(X118:X120)/AVERAGE(X115:X117))^4-1,"")</f>
        <v/>
      </c>
      <c r="Z120" s="10" t="n">
        <v>100.24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98.47929999999999</v>
      </c>
      <c r="AE120" s="12">
        <f>IF(COUNT(AD115:AD120)=6,(AVERAGE(AD118:AD120)/AVERAGE(AD115:AD117))^4-1,"")</f>
        <v/>
      </c>
      <c r="AF120" s="10" t="n">
        <v>98.73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98.5612</v>
      </c>
      <c r="AK120" s="12">
        <f>IF(COUNT(AJ115:AJ120)=6,(AVERAGE(AJ118:AJ120)/AVERAGE(AJ115:AJ117))^4-1,"")</f>
        <v/>
      </c>
      <c r="AL120" s="10" t="n">
        <v>105.33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105.0211</v>
      </c>
      <c r="AQ120" s="12">
        <f>IF(COUNT(AP115:AP120)=6,(AVERAGE(AP118:AP120)/AVERAGE(AP115:AP117))^4-1,"")</f>
        <v/>
      </c>
      <c r="AR120" s="10" t="n">
        <v>101.98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99.88209999999999</v>
      </c>
      <c r="AW120" s="12">
        <f>IF(COUNT(AV115:AV120)=6,(AVERAGE(AV118:AV120)/AVERAGE(AV115:AV117))^4-1,"")</f>
        <v/>
      </c>
      <c r="AX120" s="10" t="n">
        <v>100.09</v>
      </c>
      <c r="AY120" s="11">
        <f>IF(ISNUMBER(AX120),AX120/AX$65*100,"")</f>
        <v/>
      </c>
      <c r="AZ120" s="12">
        <f>IF(AND(ISNUMBER(AX120),ISNUMBER(AX119)),AX120/AX119-1,"")</f>
        <v/>
      </c>
      <c r="BA120" s="12">
        <f>IF(AND(ISNUMBER(AX120),ISNUMBER(AX108)),AX120/AX108-1,"")</f>
        <v/>
      </c>
      <c r="BB120" s="11" t="n">
        <v>99.2784</v>
      </c>
      <c r="BC120" s="12">
        <f>IF(COUNT(BB115:BB120)=6,(AVERAGE(BB118:BB120)/AVERAGE(BB115:BB117))^4-1,"")</f>
        <v/>
      </c>
    </row>
    <row r="121">
      <c r="A121" s="9" t="n">
        <v>45536</v>
      </c>
      <c r="B121" s="10" t="n">
        <v>98.97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99.4091</v>
      </c>
      <c r="G121" s="12">
        <f>IF(COUNT(F116:F121)=6,(AVERAGE(F119:F121)/AVERAGE(F116:F118))^4-1,"")</f>
        <v/>
      </c>
      <c r="H121" s="10" t="n">
        <v>98.56999999999999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98.773</v>
      </c>
      <c r="M121" s="12">
        <f>IF(COUNT(L116:L121)=6,(AVERAGE(L119:L121)/AVERAGE(L116:L118))^4-1,"")</f>
        <v/>
      </c>
      <c r="N121" s="10" t="n">
        <v>98.54000000000001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98.7847</v>
      </c>
      <c r="S121" s="12">
        <f>IF(COUNT(R116:R121)=6,(AVERAGE(R119:R121)/AVERAGE(R116:R118))^4-1,"")</f>
        <v/>
      </c>
      <c r="T121" s="10" t="n">
        <v>100.12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100.5439</v>
      </c>
      <c r="Y121" s="12">
        <f>IF(COUNT(X116:X121)=6,(AVERAGE(X119:X121)/AVERAGE(X116:X118))^4-1,"")</f>
        <v/>
      </c>
      <c r="Z121" s="10" t="n">
        <v>97.83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98.3331</v>
      </c>
      <c r="AE121" s="12">
        <f>IF(COUNT(AD116:AD121)=6,(AVERAGE(AD119:AD121)/AVERAGE(AD116:AD118))^4-1,"")</f>
        <v/>
      </c>
      <c r="AF121" s="10" t="n">
        <v>98.44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98.48090000000001</v>
      </c>
      <c r="AK121" s="12">
        <f>IF(COUNT(AJ116:AJ121)=6,(AVERAGE(AJ119:AJ121)/AVERAGE(AJ116:AJ118))^4-1,"")</f>
        <v/>
      </c>
      <c r="AL121" s="10" t="n">
        <v>103.45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103.2969</v>
      </c>
      <c r="AQ121" s="12">
        <f>IF(COUNT(AP116:AP121)=6,(AVERAGE(AP119:AP121)/AVERAGE(AP116:AP118))^4-1,"")</f>
        <v/>
      </c>
      <c r="AR121" s="10" t="n">
        <v>97.91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99.93470000000001</v>
      </c>
      <c r="AW121" s="12">
        <f>IF(COUNT(AV116:AV121)=6,(AVERAGE(AV119:AV121)/AVERAGE(AV116:AV118))^4-1,"")</f>
        <v/>
      </c>
      <c r="AX121" s="10" t="n">
        <v>98.84999999999999</v>
      </c>
      <c r="AY121" s="11">
        <f>IF(ISNUMBER(AX121),AX121/AX$65*100,"")</f>
        <v/>
      </c>
      <c r="AZ121" s="12">
        <f>IF(AND(ISNUMBER(AX121),ISNUMBER(AX120)),AX121/AX120-1,"")</f>
        <v/>
      </c>
      <c r="BA121" s="12">
        <f>IF(AND(ISNUMBER(AX121),ISNUMBER(AX109)),AX121/AX109-1,"")</f>
        <v/>
      </c>
      <c r="BB121" s="11" t="n">
        <v>99.2937</v>
      </c>
      <c r="BC121" s="12">
        <f>IF(COUNT(BB116:BB121)=6,(AVERAGE(BB119:BB121)/AVERAGE(BB116:BB118))^4-1,"")</f>
        <v/>
      </c>
    </row>
    <row r="122">
      <c r="A122" s="9" t="n">
        <v>45566</v>
      </c>
      <c r="B122" s="10" t="n">
        <v>99.28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99.44880000000001</v>
      </c>
      <c r="G122" s="12">
        <f>IF(COUNT(F117:F122)=6,(AVERAGE(F120:F122)/AVERAGE(F117:F119))^4-1,"")</f>
        <v/>
      </c>
      <c r="H122" s="10" t="n">
        <v>98.84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98.9324</v>
      </c>
      <c r="M122" s="12">
        <f>IF(COUNT(L117:L122)=6,(AVERAGE(L120:L122)/AVERAGE(L117:L119))^4-1,"")</f>
        <v/>
      </c>
      <c r="N122" s="10" t="n">
        <v>98.8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98.9466</v>
      </c>
      <c r="S122" s="12">
        <f>IF(COUNT(R117:R122)=6,(AVERAGE(R120:R122)/AVERAGE(R117:R119))^4-1,"")</f>
        <v/>
      </c>
      <c r="T122" s="10" t="n">
        <v>100.48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100.583</v>
      </c>
      <c r="Y122" s="12">
        <f>IF(COUNT(X117:X122)=6,(AVERAGE(X120:X122)/AVERAGE(X117:X119))^4-1,"")</f>
        <v/>
      </c>
      <c r="Z122" s="10" t="n">
        <v>98.08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98.52200000000001</v>
      </c>
      <c r="AE122" s="12">
        <f>IF(COUNT(AD117:AD122)=6,(AVERAGE(AD120:AD122)/AVERAGE(AD117:AD119))^4-1,"")</f>
        <v/>
      </c>
      <c r="AF122" s="10" t="n">
        <v>98.64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98.9898</v>
      </c>
      <c r="AK122" s="12">
        <f>IF(COUNT(AJ117:AJ122)=6,(AVERAGE(AJ120:AJ122)/AVERAGE(AJ117:AJ119))^4-1,"")</f>
        <v/>
      </c>
      <c r="AL122" s="10" t="n">
        <v>104.33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103.2652</v>
      </c>
      <c r="AQ122" s="12">
        <f>IF(COUNT(AP117:AP122)=6,(AVERAGE(AP120:AP122)/AVERAGE(AP117:AP119))^4-1,"")</f>
        <v/>
      </c>
      <c r="AR122" s="10" t="n">
        <v>99.28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99.922</v>
      </c>
      <c r="AW122" s="12">
        <f>IF(COUNT(AV117:AV122)=6,(AVERAGE(AV120:AV122)/AVERAGE(AV117:AV119))^4-1,"")</f>
        <v/>
      </c>
      <c r="AX122" s="10" t="n">
        <v>99.13</v>
      </c>
      <c r="AY122" s="11">
        <f>IF(ISNUMBER(AX122),AX122/AX$65*100,"")</f>
        <v/>
      </c>
      <c r="AZ122" s="12">
        <f>IF(AND(ISNUMBER(AX122),ISNUMBER(AX121)),AX122/AX121-1,"")</f>
        <v/>
      </c>
      <c r="BA122" s="12">
        <f>IF(AND(ISNUMBER(AX122),ISNUMBER(AX110)),AX122/AX110-1,"")</f>
        <v/>
      </c>
      <c r="BB122" s="11" t="n">
        <v>99.39060000000001</v>
      </c>
      <c r="BC122" s="12">
        <f>IF(COUNT(BB117:BB122)=6,(AVERAGE(BB120:BB122)/AVERAGE(BB117:BB119))^4-1,"")</f>
        <v/>
      </c>
    </row>
    <row r="123">
      <c r="A123" s="9" t="n">
        <v>45597</v>
      </c>
      <c r="B123" s="10" t="n">
        <v>99.14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99.68980000000001</v>
      </c>
      <c r="G123" s="12">
        <f>IF(COUNT(F118:F123)=6,(AVERAGE(F121:F123)/AVERAGE(F118:F120))^4-1,"")</f>
        <v/>
      </c>
      <c r="H123" s="10" t="n">
        <v>98.63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99.1956</v>
      </c>
      <c r="M123" s="12">
        <f>IF(COUNT(L118:L123)=6,(AVERAGE(L121:L123)/AVERAGE(L118:L120))^4-1,"")</f>
        <v/>
      </c>
      <c r="N123" s="10" t="n">
        <v>98.62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99.1143</v>
      </c>
      <c r="S123" s="12">
        <f>IF(COUNT(R118:R123)=6,(AVERAGE(R121:R123)/AVERAGE(R118:R120))^4-1,"")</f>
        <v/>
      </c>
      <c r="T123" s="10" t="n">
        <v>100.51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100.3211</v>
      </c>
      <c r="Y123" s="12">
        <f>IF(COUNT(X118:X123)=6,(AVERAGE(X121:X123)/AVERAGE(X118:X120))^4-1,"")</f>
        <v/>
      </c>
      <c r="Z123" s="10" t="n">
        <v>97.77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98.8051</v>
      </c>
      <c r="AE123" s="12">
        <f>IF(COUNT(AD118:AD123)=6,(AVERAGE(AD121:AD123)/AVERAGE(AD118:AD120))^4-1,"")</f>
        <v/>
      </c>
      <c r="AF123" s="10" t="n">
        <v>98.58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98.91589999999999</v>
      </c>
      <c r="AK123" s="12">
        <f>IF(COUNT(AJ118:AJ123)=6,(AVERAGE(AJ121:AJ123)/AVERAGE(AJ118:AJ120))^4-1,"")</f>
        <v/>
      </c>
      <c r="AL123" s="10" t="n">
        <v>104.56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103.864</v>
      </c>
      <c r="AQ123" s="12">
        <f>IF(COUNT(AP118:AP123)=6,(AVERAGE(AP121:AP123)/AVERAGE(AP118:AP120))^4-1,"")</f>
        <v/>
      </c>
      <c r="AR123" s="10" t="n">
        <v>98.47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99.7818</v>
      </c>
      <c r="AW123" s="12">
        <f>IF(COUNT(AV118:AV123)=6,(AVERAGE(AV121:AV123)/AVERAGE(AV118:AV120))^4-1,"")</f>
        <v/>
      </c>
      <c r="AX123" s="10" t="n">
        <v>98.98</v>
      </c>
      <c r="AY123" s="11">
        <f>IF(ISNUMBER(AX123),AX123/AX$65*100,"")</f>
        <v/>
      </c>
      <c r="AZ123" s="12">
        <f>IF(AND(ISNUMBER(AX123),ISNUMBER(AX122)),AX123/AX122-1,"")</f>
        <v/>
      </c>
      <c r="BA123" s="12">
        <f>IF(AND(ISNUMBER(AX123),ISNUMBER(AX111)),AX123/AX111-1,"")</f>
        <v/>
      </c>
      <c r="BB123" s="11" t="n">
        <v>99.4849</v>
      </c>
      <c r="BC123" s="12">
        <f>IF(COUNT(BB118:BB123)=6,(AVERAGE(BB121:BB123)/AVERAGE(BB118:BB120))^4-1,"")</f>
        <v/>
      </c>
    </row>
    <row r="124">
      <c r="A124" s="9" t="n">
        <v>45627</v>
      </c>
      <c r="B124" s="10" t="n">
        <v>99.34999999999999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99.9085</v>
      </c>
      <c r="G124" s="12">
        <f>IF(COUNT(F119:F124)=6,(AVERAGE(F122:F124)/AVERAGE(F119:F121))^4-1,"")</f>
        <v/>
      </c>
      <c r="H124" s="10" t="n">
        <v>98.84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99.2855</v>
      </c>
      <c r="M124" s="12">
        <f>IF(COUNT(L119:L124)=6,(AVERAGE(L122:L124)/AVERAGE(L119:L121))^4-1,"")</f>
        <v/>
      </c>
      <c r="N124" s="10" t="n">
        <v>98.77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99.2131</v>
      </c>
      <c r="S124" s="12">
        <f>IF(COUNT(R119:R124)=6,(AVERAGE(R122:R124)/AVERAGE(R119:R121))^4-1,"")</f>
        <v/>
      </c>
      <c r="T124" s="10" t="n">
        <v>100.38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100.4079</v>
      </c>
      <c r="Y124" s="12">
        <f>IF(COUNT(X119:X124)=6,(AVERAGE(X122:X124)/AVERAGE(X119:X121))^4-1,"")</f>
        <v/>
      </c>
      <c r="Z124" s="10" t="n">
        <v>98.31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99.0462</v>
      </c>
      <c r="AE124" s="12">
        <f>IF(COUNT(AD119:AD124)=6,(AVERAGE(AD122:AD124)/AVERAGE(AD119:AD121))^4-1,"")</f>
        <v/>
      </c>
      <c r="AF124" s="10" t="n">
        <v>98.45999999999999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98.9345</v>
      </c>
      <c r="AK124" s="12">
        <f>IF(COUNT(AJ119:AJ124)=6,(AVERAGE(AJ122:AJ124)/AVERAGE(AJ119:AJ121))^4-1,"")</f>
        <v/>
      </c>
      <c r="AL124" s="10" t="n">
        <v>105.38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108.4779</v>
      </c>
      <c r="AQ124" s="12">
        <f>IF(COUNT(AP119:AP124)=6,(AVERAGE(AP122:AP124)/AVERAGE(AP119:AP121))^4-1,"")</f>
        <v/>
      </c>
      <c r="AR124" s="10" t="n">
        <v>100.09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101.2353</v>
      </c>
      <c r="AW124" s="12">
        <f>IF(COUNT(AV119:AV124)=6,(AVERAGE(AV122:AV124)/AVERAGE(AV119:AV121))^4-1,"")</f>
        <v/>
      </c>
      <c r="AX124" s="10" t="n">
        <v>99.17</v>
      </c>
      <c r="AY124" s="11">
        <f>IF(ISNUMBER(AX124),AX124/AX$65*100,"")</f>
        <v/>
      </c>
      <c r="AZ124" s="12">
        <f>IF(AND(ISNUMBER(AX124),ISNUMBER(AX123)),AX124/AX123-1,"")</f>
        <v/>
      </c>
      <c r="BA124" s="12">
        <f>IF(AND(ISNUMBER(AX124),ISNUMBER(AX112)),AX124/AX112-1,"")</f>
        <v/>
      </c>
      <c r="BB124" s="11" t="n">
        <v>99.7197</v>
      </c>
      <c r="BC124" s="12">
        <f>IF(COUNT(BB119:BB124)=6,(AVERAGE(BB122:BB124)/AVERAGE(BB119:BB121))^4-1,"")</f>
        <v/>
      </c>
    </row>
    <row r="125">
      <c r="A125" s="9" t="n">
        <v>45658</v>
      </c>
      <c r="B125" s="10" t="n">
        <v>99.19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99.68380000000001</v>
      </c>
      <c r="G125" s="12">
        <f>IF(COUNT(F120:F125)=6,(AVERAGE(F123:F125)/AVERAGE(F120:F122))^4-1,"")</f>
        <v/>
      </c>
      <c r="H125" s="10" t="n">
        <v>98.26000000000001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99.476</v>
      </c>
      <c r="M125" s="12">
        <f>IF(COUNT(L120:L125)=6,(AVERAGE(L123:L125)/AVERAGE(L120:L122))^4-1,"")</f>
        <v/>
      </c>
      <c r="N125" s="10" t="n">
        <v>98.43000000000001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99.3853</v>
      </c>
      <c r="S125" s="12">
        <f>IF(COUNT(R120:R125)=6,(AVERAGE(R123:R125)/AVERAGE(R120:R122))^4-1,"")</f>
        <v/>
      </c>
      <c r="T125" s="10" t="n">
        <v>100.38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100.3442</v>
      </c>
      <c r="Y125" s="12">
        <f>IF(COUNT(X120:X125)=6,(AVERAGE(X123:X125)/AVERAGE(X120:X122))^4-1,"")</f>
        <v/>
      </c>
      <c r="Z125" s="10" t="n">
        <v>98.01000000000001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99.0729</v>
      </c>
      <c r="AE125" s="12">
        <f>IF(COUNT(AD120:AD125)=6,(AVERAGE(AD123:AD125)/AVERAGE(AD120:AD122))^4-1,"")</f>
        <v/>
      </c>
      <c r="AF125" s="10" t="n">
        <v>99.11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98.9123</v>
      </c>
      <c r="AK125" s="12">
        <f>IF(COUNT(AJ120:AJ125)=6,(AVERAGE(AJ123:AJ125)/AVERAGE(AJ120:AJ122))^4-1,"")</f>
        <v/>
      </c>
      <c r="AL125" s="10" t="n">
        <v>107.07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109.8016</v>
      </c>
      <c r="AQ125" s="12">
        <f>IF(COUNT(AP120:AP125)=6,(AVERAGE(AP123:AP125)/AVERAGE(AP120:AP122))^4-1,"")</f>
        <v/>
      </c>
      <c r="AR125" s="10" t="n">
        <v>99.39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100.2948</v>
      </c>
      <c r="AW125" s="12">
        <f>IF(COUNT(AV120:AV125)=6,(AVERAGE(AV123:AV125)/AVERAGE(AV120:AV122))^4-1,"")</f>
        <v/>
      </c>
      <c r="AX125" s="10" t="n">
        <v>99.33</v>
      </c>
      <c r="AY125" s="11">
        <f>IF(ISNUMBER(AX125),AX125/AX$65*100,"")</f>
        <v/>
      </c>
      <c r="AZ125" s="12">
        <f>IF(AND(ISNUMBER(AX125),ISNUMBER(AX124)),AX125/AX124-1,"")</f>
        <v/>
      </c>
      <c r="BA125" s="12">
        <f>IF(AND(ISNUMBER(AX125),ISNUMBER(AX113)),AX125/AX113-1,"")</f>
        <v/>
      </c>
      <c r="BB125" s="11" t="n">
        <v>99.746</v>
      </c>
      <c r="BC125" s="12">
        <f>IF(COUNT(BB120:BB125)=6,(AVERAGE(BB123:BB125)/AVERAGE(BB120:BB122))^4-1,"")</f>
        <v/>
      </c>
    </row>
    <row r="126">
      <c r="A126" s="9" t="n">
        <v>45689</v>
      </c>
      <c r="B126" s="10" t="n">
        <v>99.23999999999999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99.63849999999999</v>
      </c>
      <c r="G126" s="12">
        <f>IF(COUNT(F121:F126)=6,(AVERAGE(F124:F126)/AVERAGE(F121:F123))^4-1,"")</f>
        <v/>
      </c>
      <c r="H126" s="10" t="n">
        <v>98.92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99.5061</v>
      </c>
      <c r="M126" s="12">
        <f>IF(COUNT(L121:L126)=6,(AVERAGE(L124:L126)/AVERAGE(L121:L123))^4-1,"")</f>
        <v/>
      </c>
      <c r="N126" s="10" t="n">
        <v>98.95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99.41630000000001</v>
      </c>
      <c r="S126" s="12">
        <f>IF(COUNT(R121:R126)=6,(AVERAGE(R124:R126)/AVERAGE(R121:R123))^4-1,"")</f>
        <v/>
      </c>
      <c r="T126" s="10" t="n">
        <v>99.70999999999999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100.0216</v>
      </c>
      <c r="Y126" s="12">
        <f>IF(COUNT(X121:X126)=6,(AVERAGE(X124:X126)/AVERAGE(X121:X123))^4-1,"")</f>
        <v/>
      </c>
      <c r="Z126" s="10" t="n">
        <v>98.78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99.2805</v>
      </c>
      <c r="AE126" s="12">
        <f>IF(COUNT(AD121:AD126)=6,(AVERAGE(AD124:AD126)/AVERAGE(AD121:AD123))^4-1,"")</f>
        <v/>
      </c>
      <c r="AF126" s="10" t="n">
        <v>99.05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99.05459999999999</v>
      </c>
      <c r="AK126" s="12">
        <f>IF(COUNT(AJ121:AJ126)=6,(AVERAGE(AJ124:AJ126)/AVERAGE(AJ121:AJ123))^4-1,"")</f>
        <v/>
      </c>
      <c r="AL126" s="10" t="n">
        <v>102.32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100.1267</v>
      </c>
      <c r="AQ126" s="12">
        <f>IF(COUNT(AP121:AP126)=6,(AVERAGE(AP124:AP126)/AVERAGE(AP121:AP123))^4-1,"")</f>
        <v/>
      </c>
      <c r="AR126" s="10" t="n">
        <v>100.19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99.7526</v>
      </c>
      <c r="AW126" s="12">
        <f>IF(COUNT(AV121:AV126)=6,(AVERAGE(AV124:AV126)/AVERAGE(AV121:AV123))^4-1,"")</f>
        <v/>
      </c>
      <c r="AX126" s="10" t="n">
        <v>99.34999999999999</v>
      </c>
      <c r="AY126" s="11">
        <f>IF(ISNUMBER(AX126),AX126/AX$65*100,"")</f>
        <v/>
      </c>
      <c r="AZ126" s="12">
        <f>IF(AND(ISNUMBER(AX126),ISNUMBER(AX125)),AX126/AX125-1,"")</f>
        <v/>
      </c>
      <c r="BA126" s="12">
        <f>IF(AND(ISNUMBER(AX126),ISNUMBER(AX114)),AX126/AX114-1,"")</f>
        <v/>
      </c>
      <c r="BB126" s="11" t="n">
        <v>99.58110000000001</v>
      </c>
      <c r="BC126" s="12">
        <f>IF(COUNT(BB121:BB126)=6,(AVERAGE(BB124:BB126)/AVERAGE(BB121:BB123))^4-1,"")</f>
        <v/>
      </c>
    </row>
    <row r="127">
      <c r="A127" s="9" t="n">
        <v>45717</v>
      </c>
      <c r="B127" s="10" t="n">
        <v>99.44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99.5998</v>
      </c>
      <c r="G127" s="12">
        <f>IF(COUNT(F122:F127)=6,(AVERAGE(F125:F127)/AVERAGE(F122:F124))^4-1,"")</f>
        <v/>
      </c>
      <c r="H127" s="10" t="n">
        <v>99.3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99.6229</v>
      </c>
      <c r="M127" s="12">
        <f>IF(COUNT(L122:L127)=6,(AVERAGE(L125:L127)/AVERAGE(L122:L124))^4-1,"")</f>
        <v/>
      </c>
      <c r="N127" s="10" t="n">
        <v>99.3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99.55289999999999</v>
      </c>
      <c r="S127" s="12">
        <f>IF(COUNT(R122:R127)=6,(AVERAGE(R125:R127)/AVERAGE(R122:R124))^4-1,"")</f>
        <v/>
      </c>
      <c r="T127" s="10" t="n">
        <v>100.1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99.8036</v>
      </c>
      <c r="Y127" s="12">
        <f>IF(COUNT(X122:X127)=6,(AVERAGE(X125:X127)/AVERAGE(X122:X124))^4-1,"")</f>
        <v/>
      </c>
      <c r="Z127" s="10" t="n">
        <v>98.78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99.43680000000001</v>
      </c>
      <c r="AE127" s="12">
        <f>IF(COUNT(AD122:AD127)=6,(AVERAGE(AD125:AD127)/AVERAGE(AD122:AD124))^4-1,"")</f>
        <v/>
      </c>
      <c r="AF127" s="10" t="n">
        <v>99.3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99.2893</v>
      </c>
      <c r="AK127" s="12">
        <f>IF(COUNT(AJ122:AJ127)=6,(AVERAGE(AJ125:AJ127)/AVERAGE(AJ122:AJ124))^4-1,"")</f>
        <v/>
      </c>
      <c r="AL127" s="10" t="n">
        <v>100.88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99.64700000000001</v>
      </c>
      <c r="AQ127" s="12">
        <f>IF(COUNT(AP122:AP127)=6,(AVERAGE(AP125:AP127)/AVERAGE(AP122:AP124))^4-1,"")</f>
        <v/>
      </c>
      <c r="AR127" s="10" t="n">
        <v>98.92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98.7081</v>
      </c>
      <c r="AW127" s="12">
        <f>IF(COUNT(AV122:AV127)=6,(AVERAGE(AV125:AV127)/AVERAGE(AV122:AV124))^4-1,"")</f>
        <v/>
      </c>
      <c r="AX127" s="10" t="n">
        <v>99.53</v>
      </c>
      <c r="AY127" s="11">
        <f>IF(ISNUMBER(AX127),AX127/AX$65*100,"")</f>
        <v/>
      </c>
      <c r="AZ127" s="12">
        <f>IF(AND(ISNUMBER(AX127),ISNUMBER(AX126)),AX127/AX126-1,"")</f>
        <v/>
      </c>
      <c r="BA127" s="12">
        <f>IF(AND(ISNUMBER(AX127),ISNUMBER(AX115)),AX127/AX115-1,"")</f>
        <v/>
      </c>
      <c r="BB127" s="11" t="n">
        <v>99.6335</v>
      </c>
      <c r="BC127" s="12">
        <f>IF(COUNT(BB122:BB127)=6,(AVERAGE(BB125:BB127)/AVERAGE(BB122:BB124))^4-1,"")</f>
        <v/>
      </c>
    </row>
    <row r="128">
      <c r="A128" s="9" t="n">
        <v>45748</v>
      </c>
      <c r="B128" s="10" t="n">
        <v>100.09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99.6811</v>
      </c>
      <c r="G128" s="12">
        <f>IF(COUNT(F123:F128)=6,(AVERAGE(F126:F128)/AVERAGE(F123:F125))^4-1,"")</f>
        <v/>
      </c>
      <c r="H128" s="10" t="n">
        <v>100.23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99.75660000000001</v>
      </c>
      <c r="M128" s="12">
        <f>IF(COUNT(L123:L128)=6,(AVERAGE(L126:L128)/AVERAGE(L123:L125))^4-1,"")</f>
        <v/>
      </c>
      <c r="N128" s="10" t="n">
        <v>100.16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99.74760000000001</v>
      </c>
      <c r="S128" s="12">
        <f>IF(COUNT(R123:R128)=6,(AVERAGE(R126:R128)/AVERAGE(R123:R125))^4-1,"")</f>
        <v/>
      </c>
      <c r="T128" s="10" t="n">
        <v>100.12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99.6703</v>
      </c>
      <c r="Y128" s="12">
        <f>IF(COUNT(X123:X128)=6,(AVERAGE(X126:X128)/AVERAGE(X123:X125))^4-1,"")</f>
        <v/>
      </c>
      <c r="Z128" s="10" t="n">
        <v>100.07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99.626</v>
      </c>
      <c r="AE128" s="12">
        <f>IF(COUNT(AD123:AD128)=6,(AVERAGE(AD126:AD128)/AVERAGE(AD123:AD125))^4-1,"")</f>
        <v/>
      </c>
      <c r="AF128" s="10" t="n">
        <v>99.92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99.7229</v>
      </c>
      <c r="AK128" s="12">
        <f>IF(COUNT(AJ123:AJ128)=6,(AVERAGE(AJ126:AJ128)/AVERAGE(AJ123:AJ125))^4-1,"")</f>
        <v/>
      </c>
      <c r="AL128" s="10" t="n">
        <v>99.34999999999999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97.3723</v>
      </c>
      <c r="AQ128" s="12">
        <f>IF(COUNT(AP123:AP128)=6,(AVERAGE(AP126:AP128)/AVERAGE(AP123:AP125))^4-1,"")</f>
        <v/>
      </c>
      <c r="AR128" s="10" t="n">
        <v>100.39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99.002</v>
      </c>
      <c r="AW128" s="12">
        <f>IF(COUNT(AV123:AV128)=6,(AVERAGE(AV126:AV128)/AVERAGE(AV123:AV125))^4-1,"")</f>
        <v/>
      </c>
      <c r="AX128" s="10" t="n">
        <v>100.09</v>
      </c>
      <c r="AY128" s="11">
        <f>IF(ISNUMBER(AX128),AX128/AX$65*100,"")</f>
        <v/>
      </c>
      <c r="AZ128" s="12">
        <f>IF(AND(ISNUMBER(AX128),ISNUMBER(AX127)),AX128/AX127-1,"")</f>
        <v/>
      </c>
      <c r="BA128" s="12">
        <f>IF(AND(ISNUMBER(AX128),ISNUMBER(AX116)),AX128/AX116-1,"")</f>
        <v/>
      </c>
      <c r="BB128" s="11" t="n">
        <v>99.6613</v>
      </c>
      <c r="BC128" s="12">
        <f>IF(COUNT(BB123:BB128)=6,(AVERAGE(BB126:BB128)/AVERAGE(BB123:BB125))^4-1,"")</f>
        <v/>
      </c>
    </row>
    <row r="129">
      <c r="A129" s="9" t="n">
        <v>45778</v>
      </c>
      <c r="B129" s="10" t="n">
        <v>99.91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99.34910000000001</v>
      </c>
      <c r="G129" s="12">
        <f>IF(COUNT(F124:F129)=6,(AVERAGE(F127:F129)/AVERAGE(F124:F126))^4-1,"")</f>
        <v/>
      </c>
      <c r="H129" s="10" t="n">
        <v>100.04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99.6324</v>
      </c>
      <c r="M129" s="12">
        <f>IF(COUNT(L124:L129)=6,(AVERAGE(L127:L129)/AVERAGE(L124:L126))^4-1,"")</f>
        <v/>
      </c>
      <c r="N129" s="10" t="n">
        <v>100.1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99.70869999999999</v>
      </c>
      <c r="S129" s="12">
        <f>IF(COUNT(R124:R129)=6,(AVERAGE(R127:R129)/AVERAGE(R124:R126))^4-1,"")</f>
        <v/>
      </c>
      <c r="T129" s="10" t="n">
        <v>100.08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99.39749999999999</v>
      </c>
      <c r="Y129" s="12">
        <f>IF(COUNT(X124:X129)=6,(AVERAGE(X127:X129)/AVERAGE(X124:X126))^4-1,"")</f>
        <v/>
      </c>
      <c r="Z129" s="10" t="n">
        <v>99.73999999999999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99.4482</v>
      </c>
      <c r="AE129" s="12">
        <f>IF(COUNT(AD124:AD129)=6,(AVERAGE(AD127:AD129)/AVERAGE(AD124:AD126))^4-1,"")</f>
        <v/>
      </c>
      <c r="AF129" s="10" t="n">
        <v>100.36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99.931</v>
      </c>
      <c r="AK129" s="12">
        <f>IF(COUNT(AJ124:AJ129)=6,(AVERAGE(AJ127:AJ129)/AVERAGE(AJ124:AJ126))^4-1,"")</f>
        <v/>
      </c>
      <c r="AL129" s="10" t="n">
        <v>97.93000000000001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98.1027</v>
      </c>
      <c r="AQ129" s="12">
        <f>IF(COUNT(AP124:AP129)=6,(AVERAGE(AP127:AP129)/AVERAGE(AP124:AP126))^4-1,"")</f>
        <v/>
      </c>
      <c r="AR129" s="10" t="n">
        <v>98.92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99.4465</v>
      </c>
      <c r="AW129" s="12">
        <f>IF(COUNT(AV124:AV129)=6,(AVERAGE(AV127:AV129)/AVERAGE(AV124:AV126))^4-1,"")</f>
        <v/>
      </c>
      <c r="AX129" s="10" t="n">
        <v>99.95999999999999</v>
      </c>
      <c r="AY129" s="11">
        <f>IF(ISNUMBER(AX129),AX129/AX$65*100,"")</f>
        <v/>
      </c>
      <c r="AZ129" s="12">
        <f>IF(AND(ISNUMBER(AX129),ISNUMBER(AX128)),AX129/AX128-1,"")</f>
        <v/>
      </c>
      <c r="BA129" s="12">
        <f>IF(AND(ISNUMBER(AX129),ISNUMBER(AX117)),AX129/AX117-1,"")</f>
        <v/>
      </c>
      <c r="BB129" s="11" t="n">
        <v>99.5005</v>
      </c>
      <c r="BC129" s="12">
        <f>IF(COUNT(BB124:BB129)=6,(AVERAGE(BB127:BB129)/AVERAGE(BB124:BB126))^4-1,"")</f>
        <v/>
      </c>
    </row>
    <row r="130">
      <c r="A130" s="9" t="n">
        <v>45809</v>
      </c>
      <c r="B130" s="10" t="n">
        <v>100.33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99.9841</v>
      </c>
      <c r="G130" s="12">
        <f>IF(COUNT(F125:F130)=6,(AVERAGE(F128:F130)/AVERAGE(F125:F127))^4-1,"")</f>
        <v/>
      </c>
      <c r="H130" s="10" t="n">
        <v>100.59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99.968</v>
      </c>
      <c r="M130" s="12">
        <f>IF(COUNT(L125:L130)=6,(AVERAGE(L128:L130)/AVERAGE(L125:L127))^4-1,"")</f>
        <v/>
      </c>
      <c r="N130" s="10" t="n">
        <v>100.52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100.0221</v>
      </c>
      <c r="S130" s="12">
        <f>IF(COUNT(R125:R130)=6,(AVERAGE(R128:R130)/AVERAGE(R125:R127))^4-1,"")</f>
        <v/>
      </c>
      <c r="T130" s="10" t="n">
        <v>100.19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100.0733</v>
      </c>
      <c r="Y130" s="12">
        <f>IF(COUNT(X125:X130)=6,(AVERAGE(X128:X130)/AVERAGE(X125:X127))^4-1,"")</f>
        <v/>
      </c>
      <c r="Z130" s="10" t="n">
        <v>100.48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99.97790000000001</v>
      </c>
      <c r="AE130" s="12">
        <f>IF(COUNT(AD125:AD130)=6,(AVERAGE(AD128:AD130)/AVERAGE(AD125:AD127))^4-1,"")</f>
        <v/>
      </c>
      <c r="AF130" s="10" t="n">
        <v>100.25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100.1718</v>
      </c>
      <c r="AK130" s="12">
        <f>IF(COUNT(AJ125:AJ130)=6,(AVERAGE(AJ128:AJ130)/AVERAGE(AJ125:AJ127))^4-1,"")</f>
        <v/>
      </c>
      <c r="AL130" s="10" t="n">
        <v>98.40000000000001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99.9414</v>
      </c>
      <c r="AQ130" s="12">
        <f>IF(COUNT(AP125:AP130)=6,(AVERAGE(AP128:AP130)/AVERAGE(AP125:AP127))^4-1,"")</f>
        <v/>
      </c>
      <c r="AR130" s="10" t="n">
        <v>100.15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100.0518</v>
      </c>
      <c r="AW130" s="12">
        <f>IF(COUNT(AV125:AV130)=6,(AVERAGE(AV128:AV130)/AVERAGE(AV125:AV127))^4-1,"")</f>
        <v/>
      </c>
      <c r="AX130" s="10" t="n">
        <v>100.34</v>
      </c>
      <c r="AY130" s="11">
        <f>IF(ISNUMBER(AX130),AX130/AX$65*100,"")</f>
        <v/>
      </c>
      <c r="AZ130" s="12">
        <f>IF(AND(ISNUMBER(AX130),ISNUMBER(AX129)),AX130/AX129-1,"")</f>
        <v/>
      </c>
      <c r="BA130" s="12">
        <f>IF(AND(ISNUMBER(AX130),ISNUMBER(AX118)),AX130/AX118-1,"")</f>
        <v/>
      </c>
      <c r="BB130" s="11" t="n">
        <v>100.0161</v>
      </c>
      <c r="BC130" s="12">
        <f>IF(COUNT(BB125:BB130)=6,(AVERAGE(BB128:BB130)/AVERAGE(BB125:BB127))^4-1,"")</f>
        <v/>
      </c>
    </row>
    <row r="131">
      <c r="A131" s="9" t="n">
        <v>45839</v>
      </c>
      <c r="B131" s="10" t="n">
        <v>100.62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100.0776</v>
      </c>
      <c r="G131" s="12">
        <f>IF(COUNT(F126:F131)=6,(AVERAGE(F129:F131)/AVERAGE(F126:F128))^4-1,"")</f>
        <v/>
      </c>
      <c r="H131" s="10" t="n">
        <v>100.88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100.0688</v>
      </c>
      <c r="M131" s="12">
        <f>IF(COUNT(L126:L131)=6,(AVERAGE(L129:L131)/AVERAGE(L126:L128))^4-1,"")</f>
        <v/>
      </c>
      <c r="N131" s="10" t="n">
        <v>100.76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100.1106</v>
      </c>
      <c r="S131" s="12">
        <f>IF(COUNT(R126:R131)=6,(AVERAGE(R129:R131)/AVERAGE(R126:R128))^4-1,"")</f>
        <v/>
      </c>
      <c r="T131" s="10" t="n">
        <v>99.23999999999999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100.0707</v>
      </c>
      <c r="Y131" s="12">
        <f>IF(COUNT(X126:X131)=6,(AVERAGE(X129:X131)/AVERAGE(X126:X128))^4-1,"")</f>
        <v/>
      </c>
      <c r="Z131" s="10" t="n">
        <v>102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100.0394</v>
      </c>
      <c r="AE131" s="12">
        <f>IF(COUNT(AD126:AD131)=6,(AVERAGE(AD129:AD131)/AVERAGE(AD126:AD128))^4-1,"")</f>
        <v/>
      </c>
      <c r="AF131" s="10" t="n">
        <v>100.29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100.295</v>
      </c>
      <c r="AK131" s="12">
        <f>IF(COUNT(AJ126:AJ131)=6,(AVERAGE(AJ129:AJ131)/AVERAGE(AJ126:AJ128))^4-1,"")</f>
        <v/>
      </c>
      <c r="AL131" s="10" t="n">
        <v>99.2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99.67230000000001</v>
      </c>
      <c r="AQ131" s="12">
        <f>IF(COUNT(AP126:AP131)=6,(AVERAGE(AP129:AP131)/AVERAGE(AP126:AP128))^4-1,"")</f>
        <v/>
      </c>
      <c r="AR131" s="10" t="n">
        <v>102.79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100.3187</v>
      </c>
      <c r="AW131" s="12">
        <f>IF(COUNT(AV126:AV131)=6,(AVERAGE(AV129:AV131)/AVERAGE(AV126:AV128))^4-1,"")</f>
        <v/>
      </c>
      <c r="AX131" s="10" t="n">
        <v>100.55</v>
      </c>
      <c r="AY131" s="11">
        <f>IF(ISNUMBER(AX131),AX131/AX$65*100,"")</f>
        <v/>
      </c>
      <c r="AZ131" s="12">
        <f>IF(AND(ISNUMBER(AX131),ISNUMBER(AX130)),AX131/AX130-1,"")</f>
        <v/>
      </c>
      <c r="BA131" s="12">
        <f>IF(AND(ISNUMBER(AX131),ISNUMBER(AX119)),AX131/AX119-1,"")</f>
        <v/>
      </c>
      <c r="BB131" s="11" t="n">
        <v>100.061</v>
      </c>
      <c r="BC131" s="12">
        <f>IF(COUNT(BB126:BB131)=6,(AVERAGE(BB129:BB131)/AVERAGE(BB126:BB128))^4-1,"")</f>
        <v/>
      </c>
    </row>
    <row r="132">
      <c r="A132" s="9" t="n">
        <v>45870</v>
      </c>
      <c r="B132" s="10" t="n">
        <v>101.1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100.1085</v>
      </c>
      <c r="G132" s="12">
        <f>IF(COUNT(F127:F132)=6,(AVERAGE(F130:F132)/AVERAGE(F127:F129))^4-1,"")</f>
        <v/>
      </c>
      <c r="H132" s="10" t="n">
        <v>101.49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100.2424</v>
      </c>
      <c r="M132" s="12">
        <f>IF(COUNT(L127:L132)=6,(AVERAGE(L130:L132)/AVERAGE(L127:L129))^4-1,"")</f>
        <v/>
      </c>
      <c r="N132" s="10" t="n">
        <v>101.3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100.1737</v>
      </c>
      <c r="S132" s="12">
        <f>IF(COUNT(R127:R132)=6,(AVERAGE(R130:R132)/AVERAGE(R127:R129))^4-1,"")</f>
        <v/>
      </c>
      <c r="T132" s="10" t="n">
        <v>99.97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99.9893</v>
      </c>
      <c r="Y132" s="12">
        <f>IF(COUNT(X127:X132)=6,(AVERAGE(X130:X132)/AVERAGE(X127:X129))^4-1,"")</f>
        <v/>
      </c>
      <c r="Z132" s="10" t="n">
        <v>102.23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100.3756</v>
      </c>
      <c r="AE132" s="12">
        <f>IF(COUNT(AD127:AD132)=6,(AVERAGE(AD130:AD132)/AVERAGE(AD127:AD129))^4-1,"")</f>
        <v/>
      </c>
      <c r="AF132" s="10" t="n">
        <v>100.56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100.385</v>
      </c>
      <c r="AK132" s="12">
        <f>IF(COUNT(AJ127:AJ132)=6,(AVERAGE(AJ130:AJ132)/AVERAGE(AJ127:AJ129))^4-1,"")</f>
        <v/>
      </c>
      <c r="AL132" s="10" t="n">
        <v>98.98999999999999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98.4883</v>
      </c>
      <c r="AQ132" s="12">
        <f>IF(COUNT(AP127:AP132)=6,(AVERAGE(AP130:AP132)/AVERAGE(AP127:AP129))^4-1,"")</f>
        <v/>
      </c>
      <c r="AR132" s="10" t="n">
        <v>101.74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99.4427</v>
      </c>
      <c r="AW132" s="12">
        <f>IF(COUNT(AV127:AV132)=6,(AVERAGE(AV130:AV132)/AVERAGE(AV127:AV129))^4-1,"")</f>
        <v/>
      </c>
      <c r="AX132" s="10" t="n">
        <v>100.97</v>
      </c>
      <c r="AY132" s="11">
        <f>IF(ISNUMBER(AX132),AX132/AX$65*100,"")</f>
        <v/>
      </c>
      <c r="AZ132" s="12">
        <f>IF(AND(ISNUMBER(AX132),ISNUMBER(AX131)),AX132/AX131-1,"")</f>
        <v/>
      </c>
      <c r="BA132" s="12">
        <f>IF(AND(ISNUMBER(AX132),ISNUMBER(AX120)),AX132/AX120-1,"")</f>
        <v/>
      </c>
      <c r="BB132" s="11" t="n">
        <v>100.0741</v>
      </c>
      <c r="BC132" s="12">
        <f>IF(COUNT(BB127:BB132)=6,(AVERAGE(BB130:BB132)/AVERAGE(BB127:BB129))^4-1,"")</f>
        <v/>
      </c>
    </row>
    <row r="133">
      <c r="A133" s="9" t="n">
        <v>45901</v>
      </c>
      <c r="B133" s="10" t="n">
        <v>100.03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100.5047</v>
      </c>
      <c r="G133" s="12">
        <f>IF(COUNT(F128:F133)=6,(AVERAGE(F131:F133)/AVERAGE(F128:F130))^4-1,"")</f>
        <v/>
      </c>
      <c r="H133" s="10" t="n">
        <v>100.07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100.3221</v>
      </c>
      <c r="M133" s="12">
        <f>IF(COUNT(L128:L133)=6,(AVERAGE(L131:L133)/AVERAGE(L128:L130))^4-1,"")</f>
        <v/>
      </c>
      <c r="N133" s="10" t="n">
        <v>100.13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100.4055</v>
      </c>
      <c r="S133" s="12">
        <f>IF(COUNT(R128:R133)=6,(AVERAGE(R131:R133)/AVERAGE(R128:R130))^4-1,"")</f>
        <v/>
      </c>
      <c r="T133" s="10" t="n">
        <v>100.08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100.543</v>
      </c>
      <c r="Y133" s="12">
        <f>IF(COUNT(X128:X133)=6,(AVERAGE(X131:X133)/AVERAGE(X128:X130))^4-1,"")</f>
        <v/>
      </c>
      <c r="Z133" s="10" t="n">
        <v>99.98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100.521</v>
      </c>
      <c r="AE133" s="12">
        <f>IF(COUNT(AD128:AD133)=6,(AVERAGE(AD131:AD133)/AVERAGE(AD128:AD130))^4-1,"")</f>
        <v/>
      </c>
      <c r="AF133" s="10" t="n">
        <v>100.39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100.3847</v>
      </c>
      <c r="AK133" s="12">
        <f>IF(COUNT(AJ128:AJ133)=6,(AVERAGE(AJ131:AJ133)/AVERAGE(AJ128:AJ130))^4-1,"")</f>
        <v/>
      </c>
      <c r="AL133" s="10" t="n">
        <v>98.98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98.497</v>
      </c>
      <c r="AQ133" s="12">
        <f>IF(COUNT(AP128:AP133)=6,(AVERAGE(AP131:AP133)/AVERAGE(AP128:AP130))^4-1,"")</f>
        <v/>
      </c>
      <c r="AR133" s="10" t="n">
        <v>98.67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100.8875</v>
      </c>
      <c r="AW133" s="12">
        <f>IF(COUNT(AV128:AV133)=6,(AVERAGE(AV131:AV133)/AVERAGE(AV128:AV130))^4-1,"")</f>
        <v/>
      </c>
      <c r="AX133" s="10" t="n">
        <v>99.98999999999999</v>
      </c>
      <c r="AY133" s="11">
        <f>IF(ISNUMBER(AX133),AX133/AX$65*100,"")</f>
        <v/>
      </c>
      <c r="AZ133" s="12">
        <f>IF(AND(ISNUMBER(AX133),ISNUMBER(AX132)),AX133/AX132-1,"")</f>
        <v/>
      </c>
      <c r="BA133" s="12">
        <f>IF(AND(ISNUMBER(AX133),ISNUMBER(AX121)),AX133/AX121-1,"")</f>
        <v/>
      </c>
      <c r="BB133" s="11" t="n">
        <v>100.4809</v>
      </c>
      <c r="BC133" s="12">
        <f>IF(COUNT(BB128:BB133)=6,(AVERAGE(BB131:BB133)/AVERAGE(BB128:BB130))^4-1,"")</f>
        <v/>
      </c>
    </row>
    <row r="134">
      <c r="A134" s="9" t="n">
        <v>45931</v>
      </c>
      <c r="B134" s="10" t="n">
        <v>100.12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100.3151</v>
      </c>
      <c r="G134" s="12">
        <f>IF(COUNT(F129:F134)=6,(AVERAGE(F132:F134)/AVERAGE(F129:F131))^4-1,"")</f>
        <v/>
      </c>
      <c r="H134" s="10" t="n">
        <v>100.28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100.3886</v>
      </c>
      <c r="M134" s="12">
        <f>IF(COUNT(L129:L134)=6,(AVERAGE(L132:L134)/AVERAGE(L129:L131))^4-1,"")</f>
        <v/>
      </c>
      <c r="N134" s="10" t="n">
        <v>100.27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100.424</v>
      </c>
      <c r="S134" s="12">
        <f>IF(COUNT(R129:R134)=6,(AVERAGE(R132:R134)/AVERAGE(R129:R131))^4-1,"")</f>
        <v/>
      </c>
      <c r="T134" s="10" t="n">
        <v>100.05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100.1951</v>
      </c>
      <c r="Y134" s="12">
        <f>IF(COUNT(X129:X134)=6,(AVERAGE(X132:X134)/AVERAGE(X129:X131))^4-1,"")</f>
        <v/>
      </c>
      <c r="Z134" s="10" t="n">
        <v>100.19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100.6404</v>
      </c>
      <c r="AE134" s="12">
        <f>IF(COUNT(AD129:AD134)=6,(AVERAGE(AD132:AD134)/AVERAGE(AD129:AD131))^4-1,"")</f>
        <v/>
      </c>
      <c r="AF134" s="10" t="n">
        <v>100.22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100.552</v>
      </c>
      <c r="AK134" s="12">
        <f>IF(COUNT(AJ129:AJ134)=6,(AVERAGE(AJ132:AJ134)/AVERAGE(AJ129:AJ131))^4-1,"")</f>
        <v/>
      </c>
      <c r="AL134" s="10" t="n">
        <v>98.59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97.4669</v>
      </c>
      <c r="AQ134" s="12">
        <f>IF(COUNT(AP129:AP134)=6,(AVERAGE(AP132:AP134)/AVERAGE(AP129:AP131))^4-1,"")</f>
        <v/>
      </c>
      <c r="AR134" s="10" t="n">
        <v>99.75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100.4799</v>
      </c>
      <c r="AW134" s="12">
        <f>IF(COUNT(AV129:AV134)=6,(AVERAGE(AV132:AV134)/AVERAGE(AV129:AV131))^4-1,"")</f>
        <v/>
      </c>
      <c r="AX134" s="10" t="n">
        <v>100.06</v>
      </c>
      <c r="AY134" s="11">
        <f>IF(ISNUMBER(AX134),AX134/AX$65*100,"")</f>
        <v/>
      </c>
      <c r="AZ134" s="12">
        <f>IF(AND(ISNUMBER(AX134),ISNUMBER(AX133)),AX134/AX133-1,"")</f>
        <v/>
      </c>
      <c r="BA134" s="12">
        <f>IF(AND(ISNUMBER(AX134),ISNUMBER(AX122)),AX134/AX122-1,"")</f>
        <v/>
      </c>
      <c r="BB134" s="11" t="n">
        <v>100.3524</v>
      </c>
      <c r="BC134" s="12">
        <f>IF(COUNT(BB129:BB134)=6,(AVERAGE(BB132:BB134)/AVERAGE(BB129:BB131))^4-1,"")</f>
        <v/>
      </c>
    </row>
    <row r="135">
      <c r="A135" s="9" t="n">
        <v>45962</v>
      </c>
      <c r="B135" s="10" t="n">
        <v>99.92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100.5274</v>
      </c>
      <c r="G135" s="12">
        <f>IF(COUNT(F130:F135)=6,(AVERAGE(F133:F135)/AVERAGE(F130:F132))^4-1,"")</f>
        <v/>
      </c>
      <c r="H135" s="10" t="n">
        <v>99.84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100.466</v>
      </c>
      <c r="M135" s="12">
        <f>IF(COUNT(L130:L135)=6,(AVERAGE(L133:L135)/AVERAGE(L130:L132))^4-1,"")</f>
        <v/>
      </c>
      <c r="N135" s="10" t="n">
        <v>99.91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100.4561</v>
      </c>
      <c r="S135" s="12">
        <f>IF(COUNT(R130:R135)=6,(AVERAGE(R133:R135)/AVERAGE(R130:R132))^4-1,"")</f>
        <v/>
      </c>
      <c r="T135" s="10" t="n">
        <v>100.22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100.0549</v>
      </c>
      <c r="Y135" s="12">
        <f>IF(COUNT(X130:X135)=6,(AVERAGE(X133:X135)/AVERAGE(X130:X132))^4-1,"")</f>
        <v/>
      </c>
      <c r="Z135" s="10" t="n">
        <v>99.61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100.7101</v>
      </c>
      <c r="AE135" s="12">
        <f>IF(COUNT(AD130:AD135)=6,(AVERAGE(AD133:AD135)/AVERAGE(AD130:AD132))^4-1,"")</f>
        <v/>
      </c>
      <c r="AF135" s="10" t="n">
        <v>100.2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100.5456</v>
      </c>
      <c r="AK135" s="12">
        <f>IF(COUNT(AJ130:AJ135)=6,(AVERAGE(AJ133:AJ135)/AVERAGE(AJ130:AJ132))^4-1,"")</f>
        <v/>
      </c>
      <c r="AL135" s="10" t="n">
        <v>99.94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99.26260000000001</v>
      </c>
      <c r="AQ135" s="12">
        <f>IF(COUNT(AP130:AP135)=6,(AVERAGE(AP133:AP135)/AVERAGE(AP130:AP132))^4-1,"")</f>
        <v/>
      </c>
      <c r="AR135" s="10" t="n">
        <v>99.19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100.6386</v>
      </c>
      <c r="AW135" s="12">
        <f>IF(COUNT(AV130:AV135)=6,(AVERAGE(AV133:AV135)/AVERAGE(AV130:AV132))^4-1,"")</f>
        <v/>
      </c>
      <c r="AX135" s="10" t="n">
        <v>99.88</v>
      </c>
      <c r="AY135" s="11">
        <f>IF(ISNUMBER(AX135),AX135/AX$65*100,"")</f>
        <v/>
      </c>
      <c r="AZ135" s="12">
        <f>IF(AND(ISNUMBER(AX135),ISNUMBER(AX134)),AX135/AX134-1,"")</f>
        <v/>
      </c>
      <c r="BA135" s="12">
        <f>IF(AND(ISNUMBER(AX135),ISNUMBER(AX123)),AX135/AX123-1,"")</f>
        <v/>
      </c>
      <c r="BB135" s="11" t="n">
        <v>100.4501</v>
      </c>
      <c r="BC135" s="12">
        <f>IF(COUNT(BB130:BB135)=6,(AVERAGE(BB133:BB135)/AVERAGE(BB130:BB132))^4-1,"")</f>
        <v/>
      </c>
    </row>
    <row r="136">
      <c r="A136" s="9" t="n">
        <v>45992</v>
      </c>
      <c r="B136" s="10" t="n">
        <v>100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100.6243</v>
      </c>
      <c r="G136" s="12">
        <f>IF(COUNT(F131:F136)=6,(AVERAGE(F134:F136)/AVERAGE(F131:F133))^4-1,"")</f>
        <v/>
      </c>
      <c r="H136" s="10" t="n">
        <v>100.11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100.6277</v>
      </c>
      <c r="M136" s="12">
        <f>IF(COUNT(L131:L136)=6,(AVERAGE(L134:L136)/AVERAGE(L131:L133))^4-1,"")</f>
        <v/>
      </c>
      <c r="N136" s="10" t="n">
        <v>100.16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100.6677</v>
      </c>
      <c r="S136" s="12">
        <f>IF(COUNT(R131:R136)=6,(AVERAGE(R134:R136)/AVERAGE(R131:R133))^4-1,"")</f>
        <v/>
      </c>
      <c r="T136" s="10" t="n">
        <v>99.87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99.91419999999999</v>
      </c>
      <c r="Y136" s="12">
        <f>IF(COUNT(X131:X136)=6,(AVERAGE(X134:X136)/AVERAGE(X131:X133))^4-1,"")</f>
        <v/>
      </c>
      <c r="Z136" s="10" t="n">
        <v>100.13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100.9348</v>
      </c>
      <c r="AE136" s="12">
        <f>IF(COUNT(AD131:AD136)=6,(AVERAGE(AD134:AD136)/AVERAGE(AD131:AD133))^4-1,"")</f>
        <v/>
      </c>
      <c r="AF136" s="10" t="n">
        <v>100.35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100.871</v>
      </c>
      <c r="AK136" s="12">
        <f>IF(COUNT(AJ131:AJ136)=6,(AVERAGE(AJ134:AJ136)/AVERAGE(AJ131:AJ133))^4-1,"")</f>
        <v/>
      </c>
      <c r="AL136" s="10" t="n">
        <v>98.34999999999999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101.7238</v>
      </c>
      <c r="AQ136" s="12">
        <f>IF(COUNT(AP131:AP136)=6,(AVERAGE(AP134:AP136)/AVERAGE(AP131:AP133))^4-1,"")</f>
        <v/>
      </c>
      <c r="AR136" s="10" t="n">
        <v>99.89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101.134</v>
      </c>
      <c r="AW136" s="12">
        <f>IF(COUNT(AV131:AV136)=6,(AVERAGE(AV134:AV136)/AVERAGE(AV131:AV133))^4-1,"")</f>
        <v/>
      </c>
      <c r="AX136" s="10" t="n">
        <v>99.95</v>
      </c>
      <c r="AY136" s="11">
        <f>IF(ISNUMBER(AX136),AX136/AX$65*100,"")</f>
        <v/>
      </c>
      <c r="AZ136" s="12">
        <f>IF(AND(ISNUMBER(AX136),ISNUMBER(AX135)),AX136/AX135-1,"")</f>
        <v/>
      </c>
      <c r="BA136" s="12">
        <f>IF(AND(ISNUMBER(AX136),ISNUMBER(AX124)),AX136/AX124-1,"")</f>
        <v/>
      </c>
      <c r="BB136" s="11" t="n">
        <v>100.5698</v>
      </c>
      <c r="BC136" s="12">
        <f>IF(COUNT(BB131:BB136)=6,(AVERAGE(BB134:BB136)/AVERAGE(BB131:BB133))^4-1,"")</f>
        <v/>
      </c>
    </row>
    <row r="137">
      <c r="A137" s="9" t="n">
        <v>46023</v>
      </c>
      <c r="B137" s="10" t="n">
        <v>99.59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100.1167</v>
      </c>
      <c r="G137" s="12">
        <f>IF(COUNT(F132:F137)=6,(AVERAGE(F135:F137)/AVERAGE(F132:F134))^4-1,"")</f>
        <v/>
      </c>
      <c r="H137" s="10" t="n">
        <v>99.29000000000001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100.589</v>
      </c>
      <c r="M137" s="12">
        <f>IF(COUNT(L132:L137)=6,(AVERAGE(L135:L137)/AVERAGE(L132:L134))^4-1,"")</f>
        <v/>
      </c>
      <c r="N137" s="10" t="n">
        <v>99.64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100.6504</v>
      </c>
      <c r="S137" s="12">
        <f>IF(COUNT(R132:R137)=6,(AVERAGE(R135:R137)/AVERAGE(R132:R134))^4-1,"")</f>
        <v/>
      </c>
      <c r="T137" s="10" t="n">
        <v>99.26000000000001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99.1698</v>
      </c>
      <c r="Y137" s="12">
        <f>IF(COUNT(X132:X137)=6,(AVERAGE(X135:X137)/AVERAGE(X132:X134))^4-1,"")</f>
        <v/>
      </c>
      <c r="Z137" s="10" t="n">
        <v>99.93000000000001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101.1199</v>
      </c>
      <c r="AE137" s="12">
        <f>IF(COUNT(AD132:AD137)=6,(AVERAGE(AD135:AD137)/AVERAGE(AD132:AD134))^4-1,"")</f>
        <v/>
      </c>
      <c r="AF137" s="10" t="n">
        <v>101.02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100.7995</v>
      </c>
      <c r="AK137" s="12">
        <f>IF(COUNT(AJ132:AJ137)=6,(AVERAGE(AJ135:AJ137)/AVERAGE(AJ132:AJ134))^4-1,"")</f>
        <v/>
      </c>
      <c r="AL137" s="10" t="n">
        <v>99.09999999999999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102.3781</v>
      </c>
      <c r="AQ137" s="12">
        <f>IF(COUNT(AP132:AP137)=6,(AVERAGE(AP135:AP137)/AVERAGE(AP132:AP134))^4-1,"")</f>
        <v/>
      </c>
      <c r="AR137" s="10" t="n">
        <v>98.55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99.5825</v>
      </c>
      <c r="AW137" s="12">
        <f>IF(COUNT(AV132:AV137)=6,(AVERAGE(AV135:AV137)/AVERAGE(AV132:AV134))^4-1,"")</f>
        <v/>
      </c>
      <c r="AX137" s="10" t="n">
        <v>99.62</v>
      </c>
      <c r="AY137" s="11">
        <f>IF(ISNUMBER(AX137),AX137/AX$65*100,"")</f>
        <v/>
      </c>
      <c r="AZ137" s="12">
        <f>IF(AND(ISNUMBER(AX137),ISNUMBER(AX136)),AX137/AX136-1,"")</f>
        <v/>
      </c>
      <c r="BA137" s="12">
        <f>IF(AND(ISNUMBER(AX137),ISNUMBER(AX125)),AX137/AX125-1,"")</f>
        <v/>
      </c>
      <c r="BB137" s="11" t="n">
        <v>100.0438</v>
      </c>
      <c r="BC137" s="12">
        <f>IF(COUNT(BB132:BB137)=6,(AVERAGE(BB135:BB137)/AVERAGE(BB132:BB134))^4-1,"")</f>
        <v/>
      </c>
    </row>
    <row r="138">
      <c r="A138" s="9" t="n">
        <v>46054</v>
      </c>
      <c r="B138" s="10" t="n">
        <v>100.3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100.6799</v>
      </c>
      <c r="G138" s="12">
        <f>IF(COUNT(F133:F138)=6,(AVERAGE(F136:F138)/AVERAGE(F133:F135))^4-1,"")</f>
        <v/>
      </c>
      <c r="H138" s="10" t="n">
        <v>100.21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100.7881</v>
      </c>
      <c r="M138" s="12">
        <f>IF(COUNT(L133:L138)=6,(AVERAGE(L136:L138)/AVERAGE(L133:L135))^4-1,"")</f>
        <v/>
      </c>
      <c r="N138" s="10" t="n">
        <v>100.39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100.8484</v>
      </c>
      <c r="S138" s="12">
        <f>IF(COUNT(R133:R138)=6,(AVERAGE(R136:R138)/AVERAGE(R133:R135))^4-1,"")</f>
        <v/>
      </c>
      <c r="T138" s="10" t="n">
        <v>100.06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100.3083</v>
      </c>
      <c r="Y138" s="12">
        <f>IF(COUNT(X133:X138)=6,(AVERAGE(X136:X138)/AVERAGE(X133:X135))^4-1,"")</f>
        <v/>
      </c>
      <c r="Z138" s="10" t="n">
        <v>100.54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101.0851</v>
      </c>
      <c r="AE138" s="12">
        <f>IF(COUNT(AD133:AD138)=6,(AVERAGE(AD136:AD138)/AVERAGE(AD133:AD135))^4-1,"")</f>
        <v/>
      </c>
      <c r="AF138" s="10" t="n">
        <v>101.09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101.0842</v>
      </c>
      <c r="AK138" s="12">
        <f>IF(COUNT(AJ133:AJ138)=6,(AVERAGE(AJ136:AJ138)/AVERAGE(AJ133:AJ135))^4-1,"")</f>
        <v/>
      </c>
      <c r="AL138" s="10" t="n">
        <v>99.38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97.1035</v>
      </c>
      <c r="AQ138" s="12">
        <f>IF(COUNT(AP133:AP138)=6,(AVERAGE(AP136:AP138)/AVERAGE(AP133:AP135))^4-1,"")</f>
        <v/>
      </c>
      <c r="AR138" s="10" t="n">
        <v>100.14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99.6546</v>
      </c>
      <c r="AW138" s="12">
        <f>IF(COUNT(AV133:AV138)=6,(AVERAGE(AV136:AV138)/AVERAGE(AV133:AV135))^4-1,"")</f>
        <v/>
      </c>
      <c r="AX138" s="10" t="n">
        <v>100.24</v>
      </c>
      <c r="AY138" s="11">
        <f>IF(ISNUMBER(AX138),AX138/AX$65*100,"")</f>
        <v/>
      </c>
      <c r="AZ138" s="12">
        <f>IF(AND(ISNUMBER(AX138),ISNUMBER(AX137)),AX138/AX137-1,"")</f>
        <v/>
      </c>
      <c r="BA138" s="12">
        <f>IF(AND(ISNUMBER(AX138),ISNUMBER(AX126)),AX138/AX126-1,"")</f>
        <v/>
      </c>
      <c r="BB138" s="11" t="n">
        <v>100.4305</v>
      </c>
      <c r="BC138" s="12">
        <f>IF(COUNT(BB133:BB138)=6,(AVERAGE(BB136:BB138)/AVERAGE(BB133:BB135))^4-1,"")</f>
        <v/>
      </c>
    </row>
    <row r="139">
      <c r="A139" s="9" t="n">
        <v>46082</v>
      </c>
      <c r="B139" s="10" t="n">
        <v>101.4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101.6146</v>
      </c>
      <c r="G139" s="12">
        <f>IF(COUNT(F134:F139)=6,(AVERAGE(F137:F139)/AVERAGE(F134:F136))^4-1,"")</f>
        <v/>
      </c>
      <c r="H139" s="10" t="n">
        <v>100.63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101.0004</v>
      </c>
      <c r="M139" s="12">
        <f>IF(COUNT(L134:L139)=6,(AVERAGE(L137:L139)/AVERAGE(L134:L136))^4-1,"")</f>
        <v/>
      </c>
      <c r="N139" s="10" t="n">
        <v>100.75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101.0456</v>
      </c>
      <c r="S139" s="12">
        <f>IF(COUNT(R134:R139)=6,(AVERAGE(R137:R139)/AVERAGE(R134:R136))^4-1,"")</f>
        <v/>
      </c>
      <c r="T139" s="10" t="n">
        <v>102.04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101.7691</v>
      </c>
      <c r="Y139" s="12">
        <f>IF(COUNT(X134:X139)=6,(AVERAGE(X137:X139)/AVERAGE(X134:X136))^4-1,"")</f>
        <v/>
      </c>
      <c r="Z139" s="10" t="n">
        <v>100.72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101.4375</v>
      </c>
      <c r="AE139" s="12">
        <f>IF(COUNT(AD134:AD139)=6,(AVERAGE(AD137:AD139)/AVERAGE(AD134:AD136))^4-1,"")</f>
        <v/>
      </c>
      <c r="AF139" s="10" t="n">
        <v>101.21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101.2315</v>
      </c>
      <c r="AK139" s="12">
        <f>IF(COUNT(AJ134:AJ139)=6,(AVERAGE(AJ137:AJ139)/AVERAGE(AJ134:AJ136))^4-1,"")</f>
        <v/>
      </c>
      <c r="AL139" s="10" t="n">
        <v>108.1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106.666</v>
      </c>
      <c r="AQ139" s="12">
        <f>IF(COUNT(AP134:AP139)=6,(AVERAGE(AP137:AP139)/AVERAGE(AP134:AP136))^4-1,"")</f>
        <v/>
      </c>
      <c r="AR139" s="10" t="n">
        <v>104.21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103.8675</v>
      </c>
      <c r="AW139" s="12">
        <f>IF(COUNT(AV134:AV139)=6,(AVERAGE(AV137:AV139)/AVERAGE(AV134:AV136))^4-1,"")</f>
        <v/>
      </c>
      <c r="AX139" s="10" t="n">
        <v>101.21</v>
      </c>
      <c r="AY139" s="11">
        <f>IF(ISNUMBER(AX139),AX139/AX$65*100,"")</f>
        <v/>
      </c>
      <c r="AZ139" s="12">
        <f>IF(AND(ISNUMBER(AX139),ISNUMBER(AX138)),AX139/AX138-1,"")</f>
        <v/>
      </c>
      <c r="BA139" s="12">
        <f>IF(AND(ISNUMBER(AX139),ISNUMBER(AX127)),AX139/AX127-1,"")</f>
        <v/>
      </c>
      <c r="BB139" s="11" t="n">
        <v>101.3541</v>
      </c>
      <c r="BC139" s="12">
        <f>IF(COUNT(BB134:BB139)=6,(AVERAGE(BB137:BB139)/AVERAGE(BB134:BB136))^4-1,"")</f>
        <v/>
      </c>
    </row>
    <row r="140">
      <c r="A140" s="9" t="n">
        <v>46113</v>
      </c>
      <c r="B140" s="10" t="n">
        <v>102.57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102.0966</v>
      </c>
      <c r="G140" s="12">
        <f>IF(COUNT(F135:F140)=6,(AVERAGE(F138:F140)/AVERAGE(F135:F137))^4-1,"")</f>
        <v/>
      </c>
      <c r="H140" s="10" t="n">
        <v>101.59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101.0833</v>
      </c>
      <c r="M140" s="12">
        <f>IF(COUNT(L135:L140)=6,(AVERAGE(L138:L140)/AVERAGE(L135:L137))^4-1,"")</f>
        <v/>
      </c>
      <c r="N140" s="10" t="n">
        <v>101.55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101.1022</v>
      </c>
      <c r="S140" s="12">
        <f>IF(COUNT(R135:R140)=6,(AVERAGE(R138:R140)/AVERAGE(R135:R137))^4-1,"")</f>
        <v/>
      </c>
      <c r="T140" s="10" t="n">
        <v>103.01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102.517</v>
      </c>
      <c r="Y140" s="12">
        <f>IF(COUNT(X135:X140)=6,(AVERAGE(X138:X140)/AVERAGE(X135:X137))^4-1,"")</f>
        <v/>
      </c>
      <c r="Z140" s="10" t="n">
        <v>102.12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101.611</v>
      </c>
      <c r="AE140" s="12">
        <f>IF(COUNT(AD135:AD140)=6,(AVERAGE(AD138:AD140)/AVERAGE(AD135:AD137))^4-1,"")</f>
        <v/>
      </c>
      <c r="AF140" s="10" t="n">
        <v>101.38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101.1683</v>
      </c>
      <c r="AK140" s="12">
        <f>IF(COUNT(AJ135:AJ140)=6,(AVERAGE(AJ138:AJ140)/AVERAGE(AJ135:AJ137))^4-1,"")</f>
        <v/>
      </c>
      <c r="AL140" s="10" t="n">
        <v>113.19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110.5942</v>
      </c>
      <c r="AQ140" s="12">
        <f>IF(COUNT(AP135:AP140)=6,(AVERAGE(AP138:AP140)/AVERAGE(AP135:AP137))^4-1,"")</f>
        <v/>
      </c>
      <c r="AR140" s="10" t="n">
        <v>108.64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107.0485</v>
      </c>
      <c r="AW140" s="12">
        <f>IF(COUNT(AV135:AV140)=6,(AVERAGE(AV138:AV140)/AVERAGE(AV135:AV137))^4-1,"")</f>
        <v/>
      </c>
      <c r="AX140" s="10" t="n">
        <v>102.25</v>
      </c>
      <c r="AY140" s="11">
        <f>IF(ISNUMBER(AX140),AX140/AX$65*100,"")</f>
        <v/>
      </c>
      <c r="AZ140" s="12">
        <f>IF(AND(ISNUMBER(AX140),ISNUMBER(AX139)),AX140/AX139-1,"")</f>
        <v/>
      </c>
      <c r="BA140" s="12">
        <f>IF(AND(ISNUMBER(AX140),ISNUMBER(AX128)),AX140/AX128-1,"")</f>
        <v/>
      </c>
      <c r="BB140" s="11" t="n">
        <v>101.7569</v>
      </c>
      <c r="BC140" s="12">
        <f>IF(COUNT(BB135:BB140)=6,(AVERAGE(BB138:BB140)/AVERAGE(BB135:BB137))^4-1,"")</f>
        <v/>
      </c>
    </row>
    <row r="141">
      <c r="A141" s="9" t="n">
        <v>46143</v>
      </c>
      <c r="B141" s="10" t="n">
        <v>102.71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102.0833</v>
      </c>
      <c r="G141" s="12">
        <f>IF(COUNT(F136:F141)=6,(AVERAGE(F139:F141)/AVERAGE(F136:F138))^4-1,"")</f>
        <v/>
      </c>
      <c r="H141" s="10" t="n">
        <v>101.62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101.1799</v>
      </c>
      <c r="M141" s="12">
        <f>IF(COUNT(L136:L141)=6,(AVERAGE(L139:L141)/AVERAGE(L136:L138))^4-1,"")</f>
        <v/>
      </c>
      <c r="N141" s="10" t="n">
        <v>101.62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101.2342</v>
      </c>
      <c r="S141" s="12">
        <f>IF(COUNT(R136:R141)=6,(AVERAGE(R139:R141)/AVERAGE(R136:R138))^4-1,"")</f>
        <v/>
      </c>
      <c r="T141" s="10" t="n">
        <v>103.29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102.5619</v>
      </c>
      <c r="Y141" s="12">
        <f>IF(COUNT(X136:X141)=6,(AVERAGE(X139:X141)/AVERAGE(X136:X138))^4-1,"")</f>
        <v/>
      </c>
      <c r="Z141" s="10" t="n">
        <v>102.09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101.7579</v>
      </c>
      <c r="AE141" s="12">
        <f>IF(COUNT(AD136:AD141)=6,(AVERAGE(AD139:AD141)/AVERAGE(AD136:AD138))^4-1,"")</f>
        <v/>
      </c>
      <c r="AF141" s="10" t="n">
        <v>101.66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101.2452</v>
      </c>
      <c r="AK141" s="12">
        <f>IF(COUNT(AJ136:AJ141)=6,(AVERAGE(AJ139:AJ141)/AVERAGE(AJ136:AJ138))^4-1,"")</f>
        <v/>
      </c>
      <c r="AL141" s="10" t="n">
        <v>113.88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114.0451</v>
      </c>
      <c r="AQ141" s="12">
        <f>IF(COUNT(AP136:AP141)=6,(AVERAGE(AP139:AP141)/AVERAGE(AP136:AP138))^4-1,"")</f>
        <v/>
      </c>
      <c r="AR141" s="10" t="n">
        <v>107.33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108.0296</v>
      </c>
      <c r="AW141" s="12">
        <f>IF(COUNT(AV136:AV141)=6,(AVERAGE(AV139:AV141)/AVERAGE(AV136:AV138))^4-1,"")</f>
        <v/>
      </c>
      <c r="AX141" s="10" t="n">
        <v>102.38</v>
      </c>
      <c r="AY141" s="11">
        <f>IF(ISNUMBER(AX141),AX141/AX$65*100,"")</f>
        <v/>
      </c>
      <c r="AZ141" s="12">
        <f>IF(AND(ISNUMBER(AX141),ISNUMBER(AX140)),AX141/AX140-1,"")</f>
        <v/>
      </c>
      <c r="BA141" s="12">
        <f>IF(AND(ISNUMBER(AX141),ISNUMBER(AX129)),AX141/AX129-1,"")</f>
        <v/>
      </c>
      <c r="BB141" s="11" t="n">
        <v>101.8776</v>
      </c>
      <c r="BC141" s="12">
        <f>IF(COUNT(BB136:BB141)=6,(AVERAGE(BB139:BB141)/AVERAGE(BB136:BB138))^4-1,"")</f>
        <v/>
      </c>
    </row>
    <row r="142">
      <c r="A142" s="9" t="n">
        <v>46174</v>
      </c>
      <c r="B142" s="10" t="n">
        <v>102.36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102.0184</v>
      </c>
      <c r="G142" s="12">
        <f>IF(COUNT(F137:F142)=6,(AVERAGE(F140:F142)/AVERAGE(F137:F139))^4-1,"")</f>
        <v/>
      </c>
      <c r="H142" s="10" t="n">
        <v>101.79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101.1425</v>
      </c>
      <c r="M142" s="12">
        <f>IF(COUNT(L137:L142)=6,(AVERAGE(L140:L142)/AVERAGE(L137:L139))^4-1,"")</f>
        <v/>
      </c>
      <c r="N142" s="10" t="n">
        <v>101.7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101.179</v>
      </c>
      <c r="S142" s="12">
        <f>IF(COUNT(R137:R142)=6,(AVERAGE(R140:R142)/AVERAGE(R137:R139))^4-1,"")</f>
        <v/>
      </c>
      <c r="T142" s="10" t="n">
        <v>102.18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102.1342</v>
      </c>
      <c r="Y142" s="12">
        <f>IF(COUNT(X137:X142)=6,(AVERAGE(X140:X142)/AVERAGE(X137:X139))^4-1,"")</f>
        <v/>
      </c>
      <c r="Z142" s="10" t="n">
        <v>102.54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101.9671</v>
      </c>
      <c r="AE142" s="12">
        <f>IF(COUNT(AD137:AD142)=6,(AVERAGE(AD140:AD142)/AVERAGE(AD137:AD139))^4-1,"")</f>
        <v/>
      </c>
      <c r="AF142" s="10" t="n">
        <v>101.35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101.275</v>
      </c>
      <c r="AK142" s="12">
        <f>IF(COUNT(AJ137:AJ142)=6,(AVERAGE(AJ140:AJ142)/AVERAGE(AJ137:AJ139))^4-1,"")</f>
        <v/>
      </c>
      <c r="AL142" s="10" t="n">
        <v>109.24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111.0786</v>
      </c>
      <c r="AQ142" s="12">
        <f>IF(COUNT(AP137:AP142)=6,(AVERAGE(AP140:AP142)/AVERAGE(AP137:AP139))^4-1,"")</f>
        <v/>
      </c>
      <c r="AR142" s="10" t="n">
        <v>105.25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105.1008</v>
      </c>
      <c r="AW142" s="12">
        <f>IF(COUNT(AV137:AV142)=6,(AVERAGE(AV140:AV142)/AVERAGE(AV137:AV139))^4-1,"")</f>
        <v/>
      </c>
      <c r="AX142" s="10" t="n">
        <v>102.11</v>
      </c>
      <c r="AY142" s="11">
        <f>IF(ISNUMBER(AX142),AX142/AX$65*100,"")</f>
        <v/>
      </c>
      <c r="AZ142" s="12">
        <f>IF(AND(ISNUMBER(AX142),ISNUMBER(AX141)),AX142/AX141-1,"")</f>
        <v/>
      </c>
      <c r="BA142" s="12">
        <f>IF(AND(ISNUMBER(AX142),ISNUMBER(AX130)),AX142/AX130-1,"")</f>
        <v/>
      </c>
      <c r="BB142" s="11" t="n">
        <v>101.786</v>
      </c>
      <c r="BC142" s="12">
        <f>IF(COUNT(BB137:BB142)=6,(AVERAGE(BB140:BB142)/AVERAGE(BB137:BB139))^4-1,"")</f>
        <v/>
      </c>
    </row>
    <row r="143">
      <c r="A143" s="9" t="n">
        <v>46204</v>
      </c>
      <c r="B143" s="10" t="n">
        <v>103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102.3958</v>
      </c>
      <c r="G143" s="12">
        <f>IF(COUNT(F138:F143)=6,(AVERAGE(F141:F143)/AVERAGE(F138:F140))^4-1,"")</f>
        <v/>
      </c>
      <c r="H143" s="10" t="n">
        <v>102.34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101.4026</v>
      </c>
      <c r="M143" s="12">
        <f>IF(COUNT(L138:L143)=6,(AVERAGE(L141:L143)/AVERAGE(L138:L140))^4-1,"")</f>
        <v/>
      </c>
      <c r="N143" s="10" t="n">
        <v>102.17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101.4242</v>
      </c>
      <c r="S143" s="12">
        <f>IF(COUNT(R138:R143)=6,(AVERAGE(R141:R143)/AVERAGE(R138:R140))^4-1,"")</f>
        <v/>
      </c>
      <c r="T143" s="10" t="n">
        <v>101.61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102.4981</v>
      </c>
      <c r="Y143" s="12">
        <f>IF(COUNT(X138:X143)=6,(AVERAGE(X141:X143)/AVERAGE(X138:X140))^4-1,"")</f>
        <v/>
      </c>
      <c r="Z143" s="10" t="n">
        <v>104.45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102.334</v>
      </c>
      <c r="AE143" s="12">
        <f>IF(COUNT(AD138:AD143)=6,(AVERAGE(AD141:AD143)/AVERAGE(AD138:AD140))^4-1,"")</f>
        <v/>
      </c>
      <c r="AF143" s="10" t="n">
        <v>101.49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101.5135</v>
      </c>
      <c r="AK143" s="12">
        <f>IF(COUNT(AJ138:AJ143)=6,(AVERAGE(AJ141:AJ143)/AVERAGE(AJ138:AJ140))^4-1,"")</f>
        <v/>
      </c>
      <c r="AL143" s="10" t="n">
        <v>111.6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112.0501</v>
      </c>
      <c r="AQ143" s="12">
        <f>IF(COUNT(AP138:AP143)=6,(AVERAGE(AP141:AP143)/AVERAGE(AP138:AP140))^4-1,"")</f>
        <v/>
      </c>
      <c r="AR143" s="10" t="n">
        <v>108.45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105.5753</v>
      </c>
      <c r="AW143" s="12">
        <f>IF(COUNT(AV138:AV143)=6,(AVERAGE(AV141:AV143)/AVERAGE(AV138:AV140))^4-1,"")</f>
        <v/>
      </c>
      <c r="AX143" s="10" t="n">
        <v>102.68</v>
      </c>
      <c r="AY143" s="11">
        <f>IF(ISNUMBER(AX143),AX143/AX$65*100,"")</f>
        <v/>
      </c>
      <c r="AZ143" s="12">
        <f>IF(AND(ISNUMBER(AX143),ISNUMBER(AX142)),AX143/AX142-1,"")</f>
        <v/>
      </c>
      <c r="BA143" s="12">
        <f>IF(AND(ISNUMBER(AX143),ISNUMBER(AX131)),AX143/AX131-1,"")</f>
        <v/>
      </c>
      <c r="BB143" s="11" t="n">
        <v>102.1382</v>
      </c>
      <c r="BC143" s="12">
        <f>IF(COUNT(BB138:BB143)=6,(AVERAGE(BB141:BB143)/AVERAGE(BB138:BB140))^4-1,"")</f>
        <v/>
      </c>
    </row>
    <row r="144">
      <c r="A144" s="9" t="n">
        <v>46235</v>
      </c>
      <c r="B144" s="10" t="n">
        <v>103.76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102.6502</v>
      </c>
      <c r="G144" s="12">
        <f>IF(COUNT(F139:F144)=6,(AVERAGE(F142:F144)/AVERAGE(F139:F141))^4-1,"")</f>
        <v/>
      </c>
      <c r="H144" s="10" t="n">
        <v>102.84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101.4794</v>
      </c>
      <c r="M144" s="12">
        <f>IF(COUNT(L139:L144)=6,(AVERAGE(L142:L144)/AVERAGE(L139:L141))^4-1,"")</f>
        <v/>
      </c>
      <c r="N144" s="10" t="n">
        <v>102.64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101.4178</v>
      </c>
      <c r="S144" s="12">
        <f>IF(COUNT(R139:R144)=6,(AVERAGE(R142:R144)/AVERAGE(R139:R141))^4-1,"")</f>
        <v/>
      </c>
      <c r="T144" s="10" t="n">
        <v>103.22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103.1524</v>
      </c>
      <c r="Y144" s="12">
        <f>IF(COUNT(X139:X144)=6,(AVERAGE(X142:X144)/AVERAGE(X139:X141))^4-1,"")</f>
        <v/>
      </c>
      <c r="Z144" s="10" t="n">
        <v>104.32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102.3659</v>
      </c>
      <c r="AE144" s="12">
        <f>IF(COUNT(AD139:AD144)=6,(AVERAGE(AD142:AD144)/AVERAGE(AD139:AD141))^4-1,"")</f>
        <v/>
      </c>
      <c r="AF144" s="10" t="n">
        <v>101.85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101.6694</v>
      </c>
      <c r="AK144" s="12">
        <f>IF(COUNT(AJ139:AJ144)=6,(AVERAGE(AJ142:AJ144)/AVERAGE(AJ139:AJ141))^4-1,"")</f>
        <v/>
      </c>
      <c r="AL144" s="10" t="n">
        <v>115.36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114.5313</v>
      </c>
      <c r="AQ144" s="12">
        <f>IF(COUNT(AP139:AP144)=6,(AVERAGE(AP142:AP144)/AVERAGE(AP139:AP141))^4-1,"")</f>
        <v/>
      </c>
      <c r="AR144" s="10" t="n">
        <v>109.06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106.3808</v>
      </c>
      <c r="AW144" s="12">
        <f>IF(COUNT(AV139:AV144)=6,(AVERAGE(AV142:AV144)/AVERAGE(AV139:AV141))^4-1,"")</f>
        <v/>
      </c>
      <c r="AX144" s="10" t="n">
        <v>103.35</v>
      </c>
      <c r="AY144" s="11">
        <f>IF(ISNUMBER(AX144),AX144/AX$65*100,"")</f>
        <v/>
      </c>
      <c r="AZ144" s="12">
        <f>IF(AND(ISNUMBER(AX144),ISNUMBER(AX143)),AX144/AX143-1,"")</f>
        <v/>
      </c>
      <c r="BA144" s="12">
        <f>IF(AND(ISNUMBER(AX144),ISNUMBER(AX132)),AX144/AX132-1,"")</f>
        <v/>
      </c>
      <c r="BB144" s="11" t="n">
        <v>102.354</v>
      </c>
      <c r="BC144" s="12">
        <f>IF(COUNT(BB139:BB144)=6,(AVERAGE(BB142:BB144)/AVERAGE(BB139:BB141))^4-1,"")</f>
        <v/>
      </c>
    </row>
    <row r="145">
      <c r="A145" s="9" t="n">
        <v>46266</v>
      </c>
      <c r="B145" s="10" t="n">
        <v>103.45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103.9676</v>
      </c>
      <c r="G145" s="12">
        <f>IF(COUNT(F140:F145)=6,(AVERAGE(F143:F145)/AVERAGE(F140:F142))^4-1,"")</f>
        <v/>
      </c>
      <c r="H145" s="10" t="n">
        <v>101.84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102.1432</v>
      </c>
      <c r="M145" s="12">
        <f>IF(COUNT(L140:L145)=6,(AVERAGE(L143:L145)/AVERAGE(L140:L142))^4-1,"")</f>
        <v/>
      </c>
      <c r="N145" s="10" t="n">
        <v>101.87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102.1748</v>
      </c>
      <c r="S145" s="12">
        <f>IF(COUNT(R140:R145)=6,(AVERAGE(R143:R145)/AVERAGE(R140:R142))^4-1,"")</f>
        <v/>
      </c>
      <c r="T145" s="10" t="n">
        <v>104.32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104.8361</v>
      </c>
      <c r="Y145" s="12">
        <f>IF(COUNT(X140:X145)=6,(AVERAGE(X143:X145)/AVERAGE(X140:X142))^4-1,"")</f>
        <v/>
      </c>
      <c r="Z145" s="10" t="n">
        <v>102.54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103.1197</v>
      </c>
      <c r="AE145" s="12">
        <f>IF(COUNT(AD140:AD145)=6,(AVERAGE(AD143:AD145)/AVERAGE(AD140:AD142))^4-1,"")</f>
        <v/>
      </c>
      <c r="AF145" s="10" t="n">
        <v>101.98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101.9246</v>
      </c>
      <c r="AK145" s="12">
        <f>IF(COUNT(AJ140:AJ145)=6,(AVERAGE(AJ143:AJ145)/AVERAGE(AJ140:AJ142))^4-1,"")</f>
        <v/>
      </c>
      <c r="AL145" s="10" t="n">
        <v>119.83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118.8063</v>
      </c>
      <c r="AQ145" s="12">
        <f>IF(COUNT(AP140:AP145)=6,(AVERAGE(AP143:AP145)/AVERAGE(AP140:AP142))^4-1,"")</f>
        <v/>
      </c>
      <c r="AR145" s="10" t="n">
        <v>108.68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111.3084</v>
      </c>
      <c r="AW145" s="12">
        <f>IF(COUNT(AV140:AV145)=6,(AVERAGE(AV143:AV145)/AVERAGE(AV140:AV142))^4-1,"")</f>
        <v/>
      </c>
      <c r="AX145" s="10" t="n">
        <v>103.07</v>
      </c>
      <c r="AY145" s="11">
        <f>IF(ISNUMBER(AX145),AX145/AX$65*100,"")</f>
        <v/>
      </c>
      <c r="AZ145" s="12">
        <f>IF(AND(ISNUMBER(AX145),ISNUMBER(AX144)),AX145/AX144-1,"")</f>
        <v/>
      </c>
      <c r="BA145" s="12">
        <f>IF(AND(ISNUMBER(AX145),ISNUMBER(AX133)),AX145/AX133-1,"")</f>
        <v/>
      </c>
      <c r="BB145" s="11" t="n">
        <v>103.6151</v>
      </c>
      <c r="BC145" s="12">
        <f>IF(COUNT(BB140:BB145)=6,(AVERAGE(BB143:BB145)/AVERAGE(BB140:BB142))^4-1,"")</f>
        <v/>
      </c>
    </row>
  </sheetData>
  <mergeCells count="9">
    <mergeCell ref="B3:G3"/>
    <mergeCell ref="AX3:BC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Spagna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  <c r="AX3" s="5" t="inlineStr">
        <is>
          <t>CPI nazionale - IPC (INE)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  <c r="AX4" s="5" t="inlineStr">
        <is>
          <t>Indice fonte</t>
        </is>
      </c>
      <c r="AY4" s="5" t="inlineStr">
        <is>
          <t>Base gen20=100</t>
        </is>
      </c>
      <c r="AZ4" s="5" t="inlineStr">
        <is>
          <t>m/m</t>
        </is>
      </c>
      <c r="BA4" s="5" t="inlineStr">
        <is>
          <t>a/a</t>
        </is>
      </c>
      <c r="BB4" s="5" t="inlineStr">
        <is>
          <t>Indice SA</t>
        </is>
      </c>
      <c r="BC4" s="5" t="inlineStr">
        <is>
          <t>3m/3m ann.</t>
        </is>
      </c>
    </row>
    <row r="5">
      <c r="A5" s="9" t="n">
        <v>42005</v>
      </c>
      <c r="B5" s="10" t="n">
        <v>77.41</v>
      </c>
      <c r="C5" s="11">
        <f>IF(ISNUMBER(B5),B5/B$65*100,"")</f>
        <v/>
      </c>
      <c r="D5" s="12" t="n"/>
      <c r="E5" s="12" t="n"/>
      <c r="F5" s="11" t="n">
        <v>78.589</v>
      </c>
      <c r="G5" s="12" t="n"/>
      <c r="H5" s="10" t="n">
        <v>81.27</v>
      </c>
      <c r="I5" s="11">
        <f>IF(ISNUMBER(H5),H5/H$65*100,"")</f>
        <v/>
      </c>
      <c r="J5" s="12" t="n"/>
      <c r="K5" s="12" t="n"/>
      <c r="L5" s="11" t="n">
        <v>83.0818</v>
      </c>
      <c r="M5" s="12" t="n"/>
      <c r="N5" s="10" t="n">
        <v>77.69</v>
      </c>
      <c r="O5" s="11">
        <f>IF(ISNUMBER(N5),N5/N$65*100,"")</f>
        <v/>
      </c>
      <c r="P5" s="12" t="n"/>
      <c r="Q5" s="12" t="n"/>
      <c r="R5" s="11" t="n">
        <v>78.9024</v>
      </c>
      <c r="S5" s="12" t="n"/>
      <c r="T5" s="10" t="n">
        <v>76.78</v>
      </c>
      <c r="U5" s="11">
        <f>IF(ISNUMBER(T5),T5/T$65*100,"")</f>
        <v/>
      </c>
      <c r="V5" s="12" t="n"/>
      <c r="W5" s="12" t="n"/>
      <c r="X5" s="11" t="n">
        <v>78.343</v>
      </c>
      <c r="Y5" s="12" t="n"/>
      <c r="Z5" s="10" t="n">
        <v>79.3</v>
      </c>
      <c r="AA5" s="11">
        <f>IF(ISNUMBER(Z5),Z5/Z$65*100,"")</f>
        <v/>
      </c>
      <c r="AB5" s="12" t="n"/>
      <c r="AC5" s="12" t="n"/>
      <c r="AD5" s="11" t="n">
        <v>79.8446</v>
      </c>
      <c r="AE5" s="12" t="n"/>
      <c r="AF5" s="10" t="n">
        <v>69.39</v>
      </c>
      <c r="AG5" s="11">
        <f>IF(ISNUMBER(AF5),AF5/AF$65*100,"")</f>
        <v/>
      </c>
      <c r="AH5" s="12" t="n"/>
      <c r="AI5" s="12" t="n"/>
      <c r="AJ5" s="11" t="n">
        <v>69.1521</v>
      </c>
      <c r="AK5" s="12" t="n"/>
      <c r="AL5" s="10" t="n">
        <v>78.06</v>
      </c>
      <c r="AM5" s="11">
        <f>IF(ISNUMBER(AL5),AL5/AL$65*100,"")</f>
        <v/>
      </c>
      <c r="AN5" s="12" t="n"/>
      <c r="AO5" s="12" t="n"/>
      <c r="AP5" s="11" t="n">
        <v>78.1048</v>
      </c>
      <c r="AQ5" s="12" t="n"/>
      <c r="AR5" s="10" t="n">
        <v>79.06999999999999</v>
      </c>
      <c r="AS5" s="11">
        <f>IF(ISNUMBER(AR5),AR5/AR$65*100,"")</f>
        <v/>
      </c>
      <c r="AT5" s="12" t="n"/>
      <c r="AU5" s="12" t="n"/>
      <c r="AV5" s="11" t="n">
        <v>78.8522</v>
      </c>
      <c r="AW5" s="12" t="n"/>
      <c r="AX5" s="10" t="n">
        <v>77.812</v>
      </c>
      <c r="AY5" s="11">
        <f>IF(ISNUMBER(AX5),AX5/AX$65*100,"")</f>
        <v/>
      </c>
      <c r="AZ5" s="12" t="n"/>
      <c r="BA5" s="12" t="n"/>
      <c r="BB5" s="11" t="n">
        <v>78.4345</v>
      </c>
      <c r="BC5" s="12" t="n"/>
    </row>
    <row r="6">
      <c r="A6" s="9" t="n">
        <v>42036</v>
      </c>
      <c r="B6" s="10" t="n">
        <v>77.52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78.592</v>
      </c>
      <c r="G6" s="12" t="n"/>
      <c r="H6" s="10" t="n">
        <v>81.14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82.8629</v>
      </c>
      <c r="M6" s="12" t="n"/>
      <c r="N6" s="10" t="n">
        <v>77.66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78.9605</v>
      </c>
      <c r="S6" s="12" t="n"/>
      <c r="T6" s="10" t="n">
        <v>76.90000000000001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78.5234</v>
      </c>
      <c r="Y6" s="12" t="n"/>
      <c r="Z6" s="10" t="n">
        <v>79.40000000000001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79.761</v>
      </c>
      <c r="AE6" s="12" t="n"/>
      <c r="AF6" s="10" t="n">
        <v>69.61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69.48180000000001</v>
      </c>
      <c r="AK6" s="12" t="n"/>
      <c r="AL6" s="10" t="n">
        <v>79.15000000000001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78.8965</v>
      </c>
      <c r="AQ6" s="12" t="n"/>
      <c r="AR6" s="10" t="n">
        <v>80.89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80.6699</v>
      </c>
      <c r="AW6" s="12" t="n"/>
      <c r="AX6" s="10" t="n">
        <v>77.97199999999999</v>
      </c>
      <c r="AY6" s="11">
        <f>IF(ISNUMBER(AX6),AX6/AX$65*100,"")</f>
        <v/>
      </c>
      <c r="AZ6" s="12">
        <f>IF(AND(ISNUMBER(AX6),ISNUMBER(AX5)),AX6/AX5-1,"")</f>
        <v/>
      </c>
      <c r="BA6" s="12" t="n"/>
      <c r="BB6" s="11" t="n">
        <v>78.4794</v>
      </c>
      <c r="BC6" s="12" t="n"/>
    </row>
    <row r="7">
      <c r="A7" s="9" t="n">
        <v>42064</v>
      </c>
      <c r="B7" s="10" t="n">
        <v>79.08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79.02970000000001</v>
      </c>
      <c r="G7" s="12" t="n"/>
      <c r="H7" s="10" t="n">
        <v>83.34999999999999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83.1639</v>
      </c>
      <c r="M7" s="12" t="n"/>
      <c r="N7" s="10" t="n">
        <v>79.15000000000001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79.0363</v>
      </c>
      <c r="S7" s="12" t="n"/>
      <c r="T7" s="10" t="n">
        <v>79.34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79.1764</v>
      </c>
      <c r="Y7" s="12" t="n"/>
      <c r="Z7" s="10" t="n">
        <v>79.63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79.8115</v>
      </c>
      <c r="AE7" s="12" t="n"/>
      <c r="AF7" s="10" t="n">
        <v>69.33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69.40009999999999</v>
      </c>
      <c r="AK7" s="12" t="n"/>
      <c r="AL7" s="10" t="n">
        <v>81.28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81.66289999999999</v>
      </c>
      <c r="AQ7" s="12" t="n"/>
      <c r="AR7" s="10" t="n">
        <v>82.72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82.92529999999999</v>
      </c>
      <c r="AW7" s="12" t="n"/>
      <c r="AX7" s="10" t="n">
        <v>78.47</v>
      </c>
      <c r="AY7" s="11">
        <f>IF(ISNUMBER(AX7),AX7/AX$65*100,"")</f>
        <v/>
      </c>
      <c r="AZ7" s="12">
        <f>IF(AND(ISNUMBER(AX7),ISNUMBER(AX6)),AX7/AX6-1,"")</f>
        <v/>
      </c>
      <c r="BA7" s="12" t="n"/>
      <c r="BB7" s="11" t="n">
        <v>78.8921</v>
      </c>
      <c r="BC7" s="12" t="n"/>
    </row>
    <row r="8">
      <c r="A8" s="9" t="n">
        <v>42095</v>
      </c>
      <c r="B8" s="10" t="n">
        <v>79.61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79.0744</v>
      </c>
      <c r="G8" s="12" t="n"/>
      <c r="H8" s="10" t="n">
        <v>84.15000000000001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83.1938</v>
      </c>
      <c r="M8" s="12" t="n"/>
      <c r="N8" s="10" t="n">
        <v>79.7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79.08969999999999</v>
      </c>
      <c r="S8" s="12" t="n"/>
      <c r="T8" s="10" t="n">
        <v>80.05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79.2034</v>
      </c>
      <c r="Y8" s="12" t="n"/>
      <c r="Z8" s="10" t="n">
        <v>79.90000000000001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79.7076</v>
      </c>
      <c r="AE8" s="12" t="n"/>
      <c r="AF8" s="10" t="n">
        <v>69.28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69.3597</v>
      </c>
      <c r="AK8" s="12" t="n"/>
      <c r="AL8" s="10" t="n">
        <v>81.70999999999999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81.57689999999999</v>
      </c>
      <c r="AQ8" s="12" t="n"/>
      <c r="AR8" s="10" t="n">
        <v>83.2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83.03579999999999</v>
      </c>
      <c r="AW8" s="12" t="n"/>
      <c r="AX8" s="10" t="n">
        <v>79.191</v>
      </c>
      <c r="AY8" s="11">
        <f>IF(ISNUMBER(AX8),AX8/AX$65*100,"")</f>
        <v/>
      </c>
      <c r="AZ8" s="12">
        <f>IF(AND(ISNUMBER(AX8),ISNUMBER(AX7)),AX8/AX7-1,"")</f>
        <v/>
      </c>
      <c r="BA8" s="12" t="n"/>
      <c r="BB8" s="11" t="n">
        <v>78.96599999999999</v>
      </c>
      <c r="BC8" s="12" t="n"/>
    </row>
    <row r="9">
      <c r="A9" s="9" t="n">
        <v>42125</v>
      </c>
      <c r="B9" s="10" t="n">
        <v>79.95999999999999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79.32429999999999</v>
      </c>
      <c r="G9" s="12" t="n"/>
      <c r="H9" s="10" t="n">
        <v>84.42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83.3668</v>
      </c>
      <c r="M9" s="12" t="n"/>
      <c r="N9" s="10" t="n">
        <v>79.98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79.2602</v>
      </c>
      <c r="S9" s="12" t="n"/>
      <c r="T9" s="10" t="n">
        <v>80.59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79.467</v>
      </c>
      <c r="Y9" s="12" t="n"/>
      <c r="Z9" s="10" t="n">
        <v>79.97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79.9849</v>
      </c>
      <c r="AE9" s="12" t="n"/>
      <c r="AF9" s="10" t="n">
        <v>69.59999999999999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69.6028</v>
      </c>
      <c r="AK9" s="12" t="n"/>
      <c r="AL9" s="10" t="n">
        <v>82.56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82.6498</v>
      </c>
      <c r="AQ9" s="12" t="n"/>
      <c r="AR9" s="10" t="n">
        <v>84.31999999999999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84.0693</v>
      </c>
      <c r="AW9" s="12" t="n"/>
      <c r="AX9" s="10" t="n">
        <v>79.569</v>
      </c>
      <c r="AY9" s="11">
        <f>IF(ISNUMBER(AX9),AX9/AX$65*100,"")</f>
        <v/>
      </c>
      <c r="AZ9" s="12">
        <f>IF(AND(ISNUMBER(AX9),ISNUMBER(AX8)),AX9/AX8-1,"")</f>
        <v/>
      </c>
      <c r="BA9" s="12" t="n"/>
      <c r="BB9" s="11" t="n">
        <v>79.24639999999999</v>
      </c>
      <c r="BC9" s="12" t="n"/>
    </row>
    <row r="10">
      <c r="A10" s="9" t="n">
        <v>42156</v>
      </c>
      <c r="B10" s="10" t="n">
        <v>80.12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79.4811</v>
      </c>
      <c r="G10" s="12">
        <f>IF(COUNT(F5:F10)=6,(AVERAGE(F8:F10)/AVERAGE(F5:F7))^4-1,"")</f>
        <v/>
      </c>
      <c r="H10" s="10" t="n">
        <v>84.42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83.3929</v>
      </c>
      <c r="M10" s="12">
        <f>IF(COUNT(L5:L10)=6,(AVERAGE(L8:L10)/AVERAGE(L5:L7))^4-1,"")</f>
        <v/>
      </c>
      <c r="N10" s="10" t="n">
        <v>80.08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79.336</v>
      </c>
      <c r="S10" s="12">
        <f>IF(COUNT(R5:R10)=6,(AVERAGE(R8:R10)/AVERAGE(R5:R7))^4-1,"")</f>
        <v/>
      </c>
      <c r="T10" s="10" t="n">
        <v>80.69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79.7137</v>
      </c>
      <c r="Y10" s="12">
        <f>IF(COUNT(X5:X10)=6,(AVERAGE(X8:X10)/AVERAGE(X5:X7))^4-1,"")</f>
        <v/>
      </c>
      <c r="Z10" s="10" t="n">
        <v>80.20999999999999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80.00409999999999</v>
      </c>
      <c r="AE10" s="12">
        <f>IF(COUNT(AD5:AD10)=6,(AVERAGE(AD8:AD10)/AVERAGE(AD5:AD7))^4-1,"")</f>
        <v/>
      </c>
      <c r="AF10" s="10" t="n">
        <v>69.90000000000001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69.86539999999999</v>
      </c>
      <c r="AK10" s="12">
        <f>IF(COUNT(AJ5:AJ10)=6,(AVERAGE(AJ8:AJ10)/AVERAGE(AJ5:AJ7))^4-1,"")</f>
        <v/>
      </c>
      <c r="AL10" s="10" t="n">
        <v>83.14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83.5111</v>
      </c>
      <c r="AQ10" s="12">
        <f>IF(COUNT(AP5:AP10)=6,(AVERAGE(AP8:AP10)/AVERAGE(AP5:AP7))^4-1,"")</f>
        <v/>
      </c>
      <c r="AR10" s="10" t="n">
        <v>84.22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84.0522</v>
      </c>
      <c r="AW10" s="12">
        <f>IF(COUNT(AV5:AV10)=6,(AVERAGE(AV8:AV10)/AVERAGE(AV5:AV7))^4-1,"")</f>
        <v/>
      </c>
      <c r="AX10" s="10" t="n">
        <v>79.782</v>
      </c>
      <c r="AY10" s="11">
        <f>IF(ISNUMBER(AX10),AX10/AX$65*100,"")</f>
        <v/>
      </c>
      <c r="AZ10" s="12">
        <f>IF(AND(ISNUMBER(AX10),ISNUMBER(AX9)),AX10/AX9-1,"")</f>
        <v/>
      </c>
      <c r="BA10" s="12" t="n"/>
      <c r="BB10" s="11" t="n">
        <v>79.437</v>
      </c>
      <c r="BC10" s="12">
        <f>IF(COUNT(BB5:BB10)=6,(AVERAGE(BB8:BB10)/AVERAGE(BB5:BB7))^4-1,"")</f>
        <v/>
      </c>
    </row>
    <row r="11">
      <c r="A11" s="9" t="n">
        <v>42186</v>
      </c>
      <c r="B11" s="10" t="n">
        <v>78.88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79.29519999999999</v>
      </c>
      <c r="G11" s="12">
        <f>IF(COUNT(F6:F11)=6,(AVERAGE(F9:F11)/AVERAGE(F6:F8))^4-1,"")</f>
        <v/>
      </c>
      <c r="H11" s="10" t="n">
        <v>82.62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83.32470000000001</v>
      </c>
      <c r="M11" s="12">
        <f>IF(COUNT(L6:L11)=6,(AVERAGE(L9:L11)/AVERAGE(L6:L8))^4-1,"")</f>
        <v/>
      </c>
      <c r="N11" s="10" t="n">
        <v>78.73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79.22839999999999</v>
      </c>
      <c r="S11" s="12">
        <f>IF(COUNT(R6:R11)=6,(AVERAGE(R9:R11)/AVERAGE(R6:R8))^4-1,"")</f>
        <v/>
      </c>
      <c r="T11" s="10" t="n">
        <v>78.31999999999999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79.4174</v>
      </c>
      <c r="Y11" s="12">
        <f>IF(COUNT(X6:X11)=6,(AVERAGE(X9:X11)/AVERAGE(X6:X8))^4-1,"")</f>
        <v/>
      </c>
      <c r="Z11" s="10" t="n">
        <v>80.69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80.0819</v>
      </c>
      <c r="AE11" s="12">
        <f>IF(COUNT(AD6:AD11)=6,(AVERAGE(AD9:AD11)/AVERAGE(AD6:AD8))^4-1,"")</f>
        <v/>
      </c>
      <c r="AF11" s="10" t="n">
        <v>69.67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69.86320000000001</v>
      </c>
      <c r="AK11" s="12">
        <f>IF(COUNT(AJ6:AJ11)=6,(AVERAGE(AJ9:AJ11)/AVERAGE(AJ6:AJ8))^4-1,"")</f>
        <v/>
      </c>
      <c r="AL11" s="10" t="n">
        <v>82.68000000000001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82.75109999999999</v>
      </c>
      <c r="AQ11" s="12">
        <f>IF(COUNT(AP6:AP11)=6,(AVERAGE(AP9:AP11)/AVERAGE(AP6:AP8))^4-1,"")</f>
        <v/>
      </c>
      <c r="AR11" s="10" t="n">
        <v>83.70999999999999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83.4559</v>
      </c>
      <c r="AW11" s="12">
        <f>IF(COUNT(AV6:AV11)=6,(AVERAGE(AV9:AV11)/AVERAGE(AV6:AV8))^4-1,"")</f>
        <v/>
      </c>
      <c r="AX11" s="10" t="n">
        <v>79.041</v>
      </c>
      <c r="AY11" s="11">
        <f>IF(ISNUMBER(AX11),AX11/AX$65*100,"")</f>
        <v/>
      </c>
      <c r="AZ11" s="12">
        <f>IF(AND(ISNUMBER(AX11),ISNUMBER(AX10)),AX11/AX10-1,"")</f>
        <v/>
      </c>
      <c r="BA11" s="12" t="n"/>
      <c r="BB11" s="11" t="n">
        <v>79.27589999999999</v>
      </c>
      <c r="BC11" s="12">
        <f>IF(COUNT(BB6:BB11)=6,(AVERAGE(BB9:BB11)/AVERAGE(BB6:BB8))^4-1,"")</f>
        <v/>
      </c>
    </row>
    <row r="12">
      <c r="A12" s="9" t="n">
        <v>42217</v>
      </c>
      <c r="B12" s="10" t="n">
        <v>78.56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78.9716</v>
      </c>
      <c r="G12" s="12">
        <f>IF(COUNT(F7:F12)=6,(AVERAGE(F10:F12)/AVERAGE(F7:F9))^4-1,"")</f>
        <v/>
      </c>
      <c r="H12" s="10" t="n">
        <v>82.62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83.3377</v>
      </c>
      <c r="M12" s="12">
        <f>IF(COUNT(L7:L12)=6,(AVERAGE(L10:L12)/AVERAGE(L7:L9))^4-1,"")</f>
        <v/>
      </c>
      <c r="N12" s="10" t="n">
        <v>78.84999999999999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79.3282</v>
      </c>
      <c r="S12" s="12">
        <f>IF(COUNT(R7:R12)=6,(AVERAGE(R10:R12)/AVERAGE(R7:R9))^4-1,"")</f>
        <v/>
      </c>
      <c r="T12" s="10" t="n">
        <v>77.58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78.8676</v>
      </c>
      <c r="Y12" s="12">
        <f>IF(COUNT(X7:X12)=6,(AVERAGE(X10:X12)/AVERAGE(X7:X9))^4-1,"")</f>
        <v/>
      </c>
      <c r="Z12" s="10" t="n">
        <v>81.01000000000001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80.14960000000001</v>
      </c>
      <c r="AE12" s="12">
        <f>IF(COUNT(AD7:AD12)=6,(AVERAGE(AD10:AD12)/AVERAGE(AD7:AD9))^4-1,"")</f>
        <v/>
      </c>
      <c r="AF12" s="10" t="n">
        <v>70.09999999999999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70.2231</v>
      </c>
      <c r="AK12" s="12">
        <f>IF(COUNT(AJ7:AJ12)=6,(AVERAGE(AJ10:AJ12)/AVERAGE(AJ7:AJ9))^4-1,"")</f>
        <v/>
      </c>
      <c r="AL12" s="10" t="n">
        <v>79.16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79.1399</v>
      </c>
      <c r="AQ12" s="12">
        <f>IF(COUNT(AP7:AP12)=6,(AVERAGE(AP10:AP12)/AVERAGE(AP7:AP9))^4-1,"")</f>
        <v/>
      </c>
      <c r="AR12" s="10" t="n">
        <v>81.65000000000001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81.4832</v>
      </c>
      <c r="AW12" s="12">
        <f>IF(COUNT(AV7:AV12)=6,(AVERAGE(AV10:AV12)/AVERAGE(AV7:AV9))^4-1,"")</f>
        <v/>
      </c>
      <c r="AX12" s="10" t="n">
        <v>78.779</v>
      </c>
      <c r="AY12" s="11">
        <f>IF(ISNUMBER(AX12),AX12/AX$65*100,"")</f>
        <v/>
      </c>
      <c r="AZ12" s="12">
        <f>IF(AND(ISNUMBER(AX12),ISNUMBER(AX11)),AX12/AX11-1,"")</f>
        <v/>
      </c>
      <c r="BA12" s="12" t="n"/>
      <c r="BB12" s="11" t="n">
        <v>78.9482</v>
      </c>
      <c r="BC12" s="12">
        <f>IF(COUNT(BB7:BB12)=6,(AVERAGE(BB10:BB12)/AVERAGE(BB7:BB9))^4-1,"")</f>
        <v/>
      </c>
    </row>
    <row r="13">
      <c r="A13" s="9" t="n">
        <v>42248</v>
      </c>
      <c r="B13" s="10" t="n">
        <v>78.88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78.77719999999999</v>
      </c>
      <c r="G13" s="12">
        <f>IF(COUNT(F8:F13)=6,(AVERAGE(F11:F13)/AVERAGE(F8:F10))^4-1,"")</f>
        <v/>
      </c>
      <c r="H13" s="10" t="n">
        <v>83.58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83.41840000000001</v>
      </c>
      <c r="M13" s="12">
        <f>IF(COUNT(L8:L13)=6,(AVERAGE(L11:L13)/AVERAGE(L8:L10))^4-1,"")</f>
        <v/>
      </c>
      <c r="N13" s="10" t="n">
        <v>79.55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79.4511</v>
      </c>
      <c r="S13" s="12">
        <f>IF(COUNT(R8:R13)=6,(AVERAGE(R11:R13)/AVERAGE(R8:R10))^4-1,"")</f>
        <v/>
      </c>
      <c r="T13" s="10" t="n">
        <v>78.53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78.49379999999999</v>
      </c>
      <c r="Y13" s="12">
        <f>IF(COUNT(X8:X13)=6,(AVERAGE(X11:X13)/AVERAGE(X8:X10))^4-1,"")</f>
        <v/>
      </c>
      <c r="Z13" s="10" t="n">
        <v>80.37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80.2012</v>
      </c>
      <c r="AE13" s="12">
        <f>IF(COUNT(AD8:AD13)=6,(AVERAGE(AD11:AD13)/AVERAGE(AD8:AD10))^4-1,"")</f>
        <v/>
      </c>
      <c r="AF13" s="10" t="n">
        <v>70.15000000000001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70.2741</v>
      </c>
      <c r="AK13" s="12">
        <f>IF(COUNT(AJ8:AJ13)=6,(AVERAGE(AJ11:AJ13)/AVERAGE(AJ8:AJ10))^4-1,"")</f>
        <v/>
      </c>
      <c r="AL13" s="10" t="n">
        <v>76.79000000000001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76.65860000000001</v>
      </c>
      <c r="AQ13" s="12">
        <f>IF(COUNT(AP8:AP13)=6,(AVERAGE(AP11:AP13)/AVERAGE(AP8:AP10))^4-1,"")</f>
        <v/>
      </c>
      <c r="AR13" s="10" t="n">
        <v>80.43000000000001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80.31789999999999</v>
      </c>
      <c r="AW13" s="12">
        <f>IF(COUNT(AV8:AV13)=6,(AVERAGE(AV11:AV13)/AVERAGE(AV8:AV10))^4-1,"")</f>
        <v/>
      </c>
      <c r="AX13" s="10" t="n">
        <v>78.536</v>
      </c>
      <c r="AY13" s="11">
        <f>IF(ISNUMBER(AX13),AX13/AX$65*100,"")</f>
        <v/>
      </c>
      <c r="AZ13" s="12">
        <f>IF(AND(ISNUMBER(AX13),ISNUMBER(AX12)),AX13/AX12-1,"")</f>
        <v/>
      </c>
      <c r="BA13" s="12" t="n"/>
      <c r="BB13" s="11" t="n">
        <v>78.7379</v>
      </c>
      <c r="BC13" s="12">
        <f>IF(COUNT(BB8:BB13)=6,(AVERAGE(BB11:BB13)/AVERAGE(BB8:BB10))^4-1,"")</f>
        <v/>
      </c>
    </row>
    <row r="14">
      <c r="A14" s="9" t="n">
        <v>42278</v>
      </c>
      <c r="B14" s="10" t="n">
        <v>79.13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78.74339999999999</v>
      </c>
      <c r="G14" s="12">
        <f>IF(COUNT(F9:F14)=6,(AVERAGE(F12:F14)/AVERAGE(F9:F11))^4-1,"")</f>
        <v/>
      </c>
      <c r="H14" s="10" t="n">
        <v>84.02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83.5615</v>
      </c>
      <c r="M14" s="12">
        <f>IF(COUNT(L9:L14)=6,(AVERAGE(L12:L14)/AVERAGE(L9:L11))^4-1,"")</f>
        <v/>
      </c>
      <c r="N14" s="10" t="n">
        <v>79.97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79.6036</v>
      </c>
      <c r="S14" s="12">
        <f>IF(COUNT(R9:R14)=6,(AVERAGE(R12:R14)/AVERAGE(R9:R11))^4-1,"")</f>
        <v/>
      </c>
      <c r="T14" s="10" t="n">
        <v>79.12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78.2923</v>
      </c>
      <c r="Y14" s="12">
        <f>IF(COUNT(X9:X14)=6,(AVERAGE(X12:X14)/AVERAGE(X9:X11))^4-1,"")</f>
        <v/>
      </c>
      <c r="Z14" s="10" t="n">
        <v>80.09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80.3189</v>
      </c>
      <c r="AE14" s="12">
        <f>IF(COUNT(AD9:AD14)=6,(AVERAGE(AD12:AD14)/AVERAGE(AD9:AD11))^4-1,"")</f>
        <v/>
      </c>
      <c r="AF14" s="10" t="n">
        <v>70.5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70.31</v>
      </c>
      <c r="AK14" s="12">
        <f>IF(COUNT(AJ9:AJ14)=6,(AVERAGE(AJ12:AJ14)/AVERAGE(AJ9:AJ11))^4-1,"")</f>
        <v/>
      </c>
      <c r="AL14" s="10" t="n">
        <v>75.81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75.1322</v>
      </c>
      <c r="AQ14" s="12">
        <f>IF(COUNT(AP9:AP14)=6,(AVERAGE(AP12:AP14)/AVERAGE(AP9:AP11))^4-1,"")</f>
        <v/>
      </c>
      <c r="AR14" s="10" t="n">
        <v>79.86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79.9956</v>
      </c>
      <c r="AW14" s="12">
        <f>IF(COUNT(AV9:AV14)=6,(AVERAGE(AV12:AV14)/AVERAGE(AV9:AV11))^4-1,"")</f>
        <v/>
      </c>
      <c r="AX14" s="10" t="n">
        <v>79.039</v>
      </c>
      <c r="AY14" s="11">
        <f>IF(ISNUMBER(AX14),AX14/AX$65*100,"")</f>
        <v/>
      </c>
      <c r="AZ14" s="12">
        <f>IF(AND(ISNUMBER(AX14),ISNUMBER(AX13)),AX14/AX13-1,"")</f>
        <v/>
      </c>
      <c r="BA14" s="12" t="n"/>
      <c r="BB14" s="11" t="n">
        <v>78.709</v>
      </c>
      <c r="BC14" s="12">
        <f>IF(COUNT(BB9:BB14)=6,(AVERAGE(BB12:BB14)/AVERAGE(BB9:BB11))^4-1,"")</f>
        <v/>
      </c>
    </row>
    <row r="15">
      <c r="A15" s="9" t="n">
        <v>42309</v>
      </c>
      <c r="B15" s="10" t="n">
        <v>79.33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78.8853</v>
      </c>
      <c r="G15" s="12">
        <f>IF(COUNT(F10:F15)=6,(AVERAGE(F13:F15)/AVERAGE(F10:F12))^4-1,"")</f>
        <v/>
      </c>
      <c r="H15" s="10" t="n">
        <v>84.29000000000001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83.69759999999999</v>
      </c>
      <c r="M15" s="12">
        <f>IF(COUNT(L10:L15)=6,(AVERAGE(L13:L15)/AVERAGE(L10:L12))^4-1,"")</f>
        <v/>
      </c>
      <c r="N15" s="10" t="n">
        <v>80.12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79.69159999999999</v>
      </c>
      <c r="S15" s="12">
        <f>IF(COUNT(R10:R15)=6,(AVERAGE(R13:R15)/AVERAGE(R10:R12))^4-1,"")</f>
        <v/>
      </c>
      <c r="T15" s="10" t="n">
        <v>79.56999999999999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78.5068</v>
      </c>
      <c r="Y15" s="12">
        <f>IF(COUNT(X10:X15)=6,(AVERAGE(X13:X15)/AVERAGE(X10:X12))^4-1,"")</f>
        <v/>
      </c>
      <c r="Z15" s="10" t="n">
        <v>79.91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80.4218</v>
      </c>
      <c r="AE15" s="12">
        <f>IF(COUNT(AD10:AD15)=6,(AVERAGE(AD13:AD15)/AVERAGE(AD10:AD12))^4-1,"")</f>
        <v/>
      </c>
      <c r="AF15" s="10" t="n">
        <v>70.38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70.3276</v>
      </c>
      <c r="AK15" s="12">
        <f>IF(COUNT(AJ10:AJ15)=6,(AVERAGE(AJ13:AJ15)/AVERAGE(AJ10:AJ12))^4-1,"")</f>
        <v/>
      </c>
      <c r="AL15" s="10" t="n">
        <v>76.31999999999999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76.04340000000001</v>
      </c>
      <c r="AQ15" s="12">
        <f>IF(COUNT(AP10:AP15)=6,(AVERAGE(AP13:AP15)/AVERAGE(AP10:AP12))^4-1,"")</f>
        <v/>
      </c>
      <c r="AR15" s="10" t="n">
        <v>79.78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80.2594</v>
      </c>
      <c r="AW15" s="12">
        <f>IF(COUNT(AV10:AV15)=6,(AVERAGE(AV13:AV15)/AVERAGE(AV10:AV12))^4-1,"")</f>
        <v/>
      </c>
      <c r="AX15" s="10" t="n">
        <v>79.32899999999999</v>
      </c>
      <c r="AY15" s="11">
        <f>IF(ISNUMBER(AX15),AX15/AX$65*100,"")</f>
        <v/>
      </c>
      <c r="AZ15" s="12">
        <f>IF(AND(ISNUMBER(AX15),ISNUMBER(AX14)),AX15/AX14-1,"")</f>
        <v/>
      </c>
      <c r="BA15" s="12" t="n"/>
      <c r="BB15" s="11" t="n">
        <v>78.82080000000001</v>
      </c>
      <c r="BC15" s="12">
        <f>IF(COUNT(BB10:BB15)=6,(AVERAGE(BB13:BB15)/AVERAGE(BB10:BB12))^4-1,"")</f>
        <v/>
      </c>
    </row>
    <row r="16">
      <c r="A16" s="9" t="n">
        <v>42339</v>
      </c>
      <c r="B16" s="10" t="n">
        <v>79.03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78.71810000000001</v>
      </c>
      <c r="G16" s="12">
        <f>IF(COUNT(F11:F16)=6,(AVERAGE(F14:F16)/AVERAGE(F11:F13))^4-1,"")</f>
        <v/>
      </c>
      <c r="H16" s="10" t="n">
        <v>84.13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83.6512</v>
      </c>
      <c r="M16" s="12">
        <f>IF(COUNT(L11:L16)=6,(AVERAGE(L14:L16)/AVERAGE(L11:L13))^4-1,"")</f>
        <v/>
      </c>
      <c r="N16" s="10" t="n">
        <v>80.01000000000001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79.65219999999999</v>
      </c>
      <c r="S16" s="12">
        <f>IF(COUNT(R11:R16)=6,(AVERAGE(R14:R16)/AVERAGE(R11:R13))^4-1,"")</f>
        <v/>
      </c>
      <c r="T16" s="10" t="n">
        <v>78.94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78.2574</v>
      </c>
      <c r="Y16" s="12">
        <f>IF(COUNT(X11:X16)=6,(AVERAGE(X14:X16)/AVERAGE(X11:X13))^4-1,"")</f>
        <v/>
      </c>
      <c r="Z16" s="10" t="n">
        <v>80.12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80.41079999999999</v>
      </c>
      <c r="AE16" s="12">
        <f>IF(COUNT(AD11:AD16)=6,(AVERAGE(AD14:AD16)/AVERAGE(AD11:AD13))^4-1,"")</f>
        <v/>
      </c>
      <c r="AF16" s="10" t="n">
        <v>70.39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70.3777</v>
      </c>
      <c r="AK16" s="12">
        <f>IF(COUNT(AJ11:AJ16)=6,(AVERAGE(AJ14:AJ16)/AVERAGE(AJ11:AJ13))^4-1,"")</f>
        <v/>
      </c>
      <c r="AL16" s="10" t="n">
        <v>74.69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75.14149999999999</v>
      </c>
      <c r="AQ16" s="12">
        <f>IF(COUNT(AP11:AP16)=6,(AVERAGE(AP14:AP16)/AVERAGE(AP11:AP13))^4-1,"")</f>
        <v/>
      </c>
      <c r="AR16" s="10" t="n">
        <v>78.41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79.0163</v>
      </c>
      <c r="AW16" s="12">
        <f>IF(COUNT(AV11:AV16)=6,(AVERAGE(AV14:AV16)/AVERAGE(AV11:AV13))^4-1,"")</f>
        <v/>
      </c>
      <c r="AX16" s="10" t="n">
        <v>79.09699999999999</v>
      </c>
      <c r="AY16" s="11">
        <f>IF(ISNUMBER(AX16),AX16/AX$65*100,"")</f>
        <v/>
      </c>
      <c r="AZ16" s="12">
        <f>IF(AND(ISNUMBER(AX16),ISNUMBER(AX15)),AX16/AX15-1,"")</f>
        <v/>
      </c>
      <c r="BA16" s="12" t="n"/>
      <c r="BB16" s="11" t="n">
        <v>78.66459999999999</v>
      </c>
      <c r="BC16" s="12">
        <f>IF(COUNT(BB11:BB16)=6,(AVERAGE(BB14:BB16)/AVERAGE(BB11:BB13))^4-1,"")</f>
        <v/>
      </c>
    </row>
    <row r="17">
      <c r="A17" s="9" t="n">
        <v>42370</v>
      </c>
      <c r="B17" s="10" t="n">
        <v>77.09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78.2474</v>
      </c>
      <c r="G17" s="12">
        <f>IF(COUNT(F12:F17)=6,(AVERAGE(F15:F17)/AVERAGE(F12:F14))^4-1,"")</f>
        <v/>
      </c>
      <c r="H17" s="10" t="n">
        <v>81.81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83.6181</v>
      </c>
      <c r="M17" s="12">
        <f>IF(COUNT(L12:L17)=6,(AVERAGE(L15:L17)/AVERAGE(L12:L14))^4-1,"")</f>
        <v/>
      </c>
      <c r="N17" s="10" t="n">
        <v>78.44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79.6626</v>
      </c>
      <c r="S17" s="12">
        <f>IF(COUNT(R12:R17)=6,(AVERAGE(R15:R17)/AVERAGE(R12:R14))^4-1,"")</f>
        <v/>
      </c>
      <c r="T17" s="10" t="n">
        <v>75.79000000000001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77.26819999999999</v>
      </c>
      <c r="Y17" s="12">
        <f>IF(COUNT(X12:X17)=6,(AVERAGE(X15:X17)/AVERAGE(X12:X14))^4-1,"")</f>
        <v/>
      </c>
      <c r="Z17" s="10" t="n">
        <v>79.98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80.58629999999999</v>
      </c>
      <c r="AE17" s="12">
        <f>IF(COUNT(AD12:AD17)=6,(AVERAGE(AD15:AD17)/AVERAGE(AD12:AD14))^4-1,"")</f>
        <v/>
      </c>
      <c r="AF17" s="10" t="n">
        <v>70.73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70.5154</v>
      </c>
      <c r="AK17" s="12">
        <f>IF(COUNT(AJ12:AJ17)=6,(AVERAGE(AJ15:AJ17)/AVERAGE(AJ12:AJ14))^4-1,"")</f>
        <v/>
      </c>
      <c r="AL17" s="10" t="n">
        <v>70.04000000000001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70.0034</v>
      </c>
      <c r="AQ17" s="12">
        <f>IF(COUNT(AP12:AP17)=6,(AVERAGE(AP15:AP17)/AVERAGE(AP12:AP14))^4-1,"")</f>
        <v/>
      </c>
      <c r="AR17" s="10" t="n">
        <v>77.04000000000001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76.76439999999999</v>
      </c>
      <c r="AW17" s="12">
        <f>IF(COUNT(AV12:AV17)=6,(AVERAGE(AV15:AV17)/AVERAGE(AV12:AV14))^4-1,"")</f>
        <v/>
      </c>
      <c r="AX17" s="10" t="n">
        <v>77.58799999999999</v>
      </c>
      <c r="AY17" s="11">
        <f>IF(ISNUMBER(AX17),AX17/AX$65*100,"")</f>
        <v/>
      </c>
      <c r="AZ17" s="12">
        <f>IF(AND(ISNUMBER(AX17),ISNUMBER(AX16)),AX17/AX16-1,"")</f>
        <v/>
      </c>
      <c r="BA17" s="12">
        <f>IF(AND(ISNUMBER(AX17),ISNUMBER(AX5)),AX17/AX5-1,"")</f>
        <v/>
      </c>
      <c r="BB17" s="11" t="n">
        <v>78.2056</v>
      </c>
      <c r="BC17" s="12">
        <f>IF(COUNT(BB12:BB17)=6,(AVERAGE(BB15:BB17)/AVERAGE(BB12:BB14))^4-1,"")</f>
        <v/>
      </c>
    </row>
    <row r="18">
      <c r="A18" s="9" t="n">
        <v>42401</v>
      </c>
      <c r="B18" s="10" t="n">
        <v>76.76000000000001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77.7908</v>
      </c>
      <c r="G18" s="12">
        <f>IF(COUNT(F13:F18)=6,(AVERAGE(F16:F18)/AVERAGE(F13:F15))^4-1,"")</f>
        <v/>
      </c>
      <c r="H18" s="10" t="n">
        <v>81.8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83.5367</v>
      </c>
      <c r="M18" s="12">
        <f>IF(COUNT(L13:L18)=6,(AVERAGE(L16:L18)/AVERAGE(L13:L15))^4-1,"")</f>
        <v/>
      </c>
      <c r="N18" s="10" t="n">
        <v>78.34999999999999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79.62390000000001</v>
      </c>
      <c r="S18" s="12">
        <f>IF(COUNT(R13:R18)=6,(AVERAGE(R16:R18)/AVERAGE(R13:R15))^4-1,"")</f>
        <v/>
      </c>
      <c r="T18" s="10" t="n">
        <v>75.06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76.5895</v>
      </c>
      <c r="Y18" s="12">
        <f>IF(COUNT(X13:X18)=6,(AVERAGE(X16:X18)/AVERAGE(X13:X15))^4-1,"")</f>
        <v/>
      </c>
      <c r="Z18" s="10" t="n">
        <v>80.26000000000001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80.6358</v>
      </c>
      <c r="AE18" s="12">
        <f>IF(COUNT(AD13:AD18)=6,(AVERAGE(AD16:AD18)/AVERAGE(AD13:AD15))^4-1,"")</f>
        <v/>
      </c>
      <c r="AF18" s="10" t="n">
        <v>70.42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70.2984</v>
      </c>
      <c r="AK18" s="12">
        <f>IF(COUNT(AJ13:AJ18)=6,(AVERAGE(AJ16:AJ18)/AVERAGE(AJ13:AJ15))^4-1,"")</f>
        <v/>
      </c>
      <c r="AL18" s="10" t="n">
        <v>68.02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67.80759999999999</v>
      </c>
      <c r="AQ18" s="12">
        <f>IF(COUNT(AP13:AP18)=6,(AVERAGE(AP16:AP18)/AVERAGE(AP13:AP15))^4-1,"")</f>
        <v/>
      </c>
      <c r="AR18" s="10" t="n">
        <v>76.42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76.2634</v>
      </c>
      <c r="AW18" s="12">
        <f>IF(COUNT(AV13:AV18)=6,(AVERAGE(AV16:AV18)/AVERAGE(AV13:AV15))^4-1,"")</f>
        <v/>
      </c>
      <c r="AX18" s="10" t="n">
        <v>77.31399999999999</v>
      </c>
      <c r="AY18" s="11">
        <f>IF(ISNUMBER(AX18),AX18/AX$65*100,"")</f>
        <v/>
      </c>
      <c r="AZ18" s="12">
        <f>IF(AND(ISNUMBER(AX18),ISNUMBER(AX17)),AX18/AX17-1,"")</f>
        <v/>
      </c>
      <c r="BA18" s="12">
        <f>IF(AND(ISNUMBER(AX18),ISNUMBER(AX6)),AX18/AX6-1,"")</f>
        <v/>
      </c>
      <c r="BB18" s="11" t="n">
        <v>77.7974</v>
      </c>
      <c r="BC18" s="12">
        <f>IF(COUNT(BB13:BB18)=6,(AVERAGE(BB16:BB18)/AVERAGE(BB13:BB15))^4-1,"")</f>
        <v/>
      </c>
    </row>
    <row r="19">
      <c r="A19" s="9" t="n">
        <v>42430</v>
      </c>
      <c r="B19" s="10" t="n">
        <v>78.3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78.319</v>
      </c>
      <c r="G19" s="12">
        <f>IF(COUNT(F14:F19)=6,(AVERAGE(F17:F19)/AVERAGE(F14:F16))^4-1,"")</f>
        <v/>
      </c>
      <c r="H19" s="10" t="n">
        <v>84.02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83.8617</v>
      </c>
      <c r="M19" s="12">
        <f>IF(COUNT(L14:L19)=6,(AVERAGE(L17:L19)/AVERAGE(L14:L16))^4-1,"")</f>
        <v/>
      </c>
      <c r="N19" s="10" t="n">
        <v>79.93000000000001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79.8319</v>
      </c>
      <c r="S19" s="12">
        <f>IF(COUNT(R14:R19)=6,(AVERAGE(R17:R19)/AVERAGE(R14:R16))^4-1,"")</f>
        <v/>
      </c>
      <c r="T19" s="10" t="n">
        <v>77.41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77.35550000000001</v>
      </c>
      <c r="Y19" s="12">
        <f>IF(COUNT(X14:X19)=6,(AVERAGE(X17:X19)/AVERAGE(X14:X16))^4-1,"")</f>
        <v/>
      </c>
      <c r="Z19" s="10" t="n">
        <v>80.59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80.7774</v>
      </c>
      <c r="AE19" s="12">
        <f>IF(COUNT(AD14:AD19)=6,(AVERAGE(AD17:AD19)/AVERAGE(AD14:AD16))^4-1,"")</f>
        <v/>
      </c>
      <c r="AF19" s="10" t="n">
        <v>70.40000000000001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70.48439999999999</v>
      </c>
      <c r="AK19" s="12">
        <f>IF(COUNT(AJ14:AJ19)=6,(AVERAGE(AJ17:AJ19)/AVERAGE(AJ14:AJ16))^4-1,"")</f>
        <v/>
      </c>
      <c r="AL19" s="10" t="n">
        <v>69.27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69.9098</v>
      </c>
      <c r="AQ19" s="12">
        <f>IF(COUNT(AP14:AP19)=6,(AVERAGE(AP17:AP19)/AVERAGE(AP14:AP16))^4-1,"")</f>
        <v/>
      </c>
      <c r="AR19" s="10" t="n">
        <v>77.63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77.9936</v>
      </c>
      <c r="AW19" s="12">
        <f>IF(COUNT(AV14:AV19)=6,(AVERAGE(AV17:AV19)/AVERAGE(AV14:AV16))^4-1,"")</f>
        <v/>
      </c>
      <c r="AX19" s="10" t="n">
        <v>77.81</v>
      </c>
      <c r="AY19" s="11">
        <f>IF(ISNUMBER(AX19),AX19/AX$65*100,"")</f>
        <v/>
      </c>
      <c r="AZ19" s="12">
        <f>IF(AND(ISNUMBER(AX19),ISNUMBER(AX18)),AX19/AX18-1,"")</f>
        <v/>
      </c>
      <c r="BA19" s="12">
        <f>IF(AND(ISNUMBER(AX19),ISNUMBER(AX7)),AX19/AX7-1,"")</f>
        <v/>
      </c>
      <c r="BB19" s="11" t="n">
        <v>78.2567</v>
      </c>
      <c r="BC19" s="12">
        <f>IF(COUNT(BB14:BB19)=6,(AVERAGE(BB17:BB19)/AVERAGE(BB14:BB16))^4-1,"")</f>
        <v/>
      </c>
    </row>
    <row r="20">
      <c r="A20" s="9" t="n">
        <v>42461</v>
      </c>
      <c r="B20" s="10" t="n">
        <v>78.68000000000001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78.1992</v>
      </c>
      <c r="G20" s="12">
        <f>IF(COUNT(F15:F20)=6,(AVERAGE(F18:F20)/AVERAGE(F15:F17))^4-1,"")</f>
        <v/>
      </c>
      <c r="H20" s="10" t="n">
        <v>84.56999999999999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83.62009999999999</v>
      </c>
      <c r="M20" s="12">
        <f>IF(COUNT(L15:L20)=6,(AVERAGE(L18:L20)/AVERAGE(L15:L17))^4-1,"")</f>
        <v/>
      </c>
      <c r="N20" s="10" t="n">
        <v>80.36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79.749</v>
      </c>
      <c r="S20" s="12">
        <f>IF(COUNT(R15:R20)=6,(AVERAGE(R18:R20)/AVERAGE(R15:R17))^4-1,"")</f>
        <v/>
      </c>
      <c r="T20" s="10" t="n">
        <v>78.18000000000001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77.4379</v>
      </c>
      <c r="Y20" s="12">
        <f>IF(COUNT(X15:X20)=6,(AVERAGE(X18:X20)/AVERAGE(X15:X17))^4-1,"")</f>
        <v/>
      </c>
      <c r="Z20" s="10" t="n">
        <v>80.39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80.17610000000001</v>
      </c>
      <c r="AE20" s="12">
        <f>IF(COUNT(AD15:AD20)=6,(AVERAGE(AD18:AD20)/AVERAGE(AD15:AD17))^4-1,"")</f>
        <v/>
      </c>
      <c r="AF20" s="10" t="n">
        <v>70.51000000000001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70.6314</v>
      </c>
      <c r="AK20" s="12">
        <f>IF(COUNT(AJ15:AJ20)=6,(AVERAGE(AJ18:AJ20)/AVERAGE(AJ15:AJ17))^4-1,"")</f>
        <v/>
      </c>
      <c r="AL20" s="10" t="n">
        <v>69.39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69.4515</v>
      </c>
      <c r="AQ20" s="12">
        <f>IF(COUNT(AP15:AP20)=6,(AVERAGE(AP18:AP20)/AVERAGE(AP15:AP17))^4-1,"")</f>
        <v/>
      </c>
      <c r="AR20" s="10" t="n">
        <v>78.26000000000001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78.19840000000001</v>
      </c>
      <c r="AW20" s="12">
        <f>IF(COUNT(AV15:AV20)=6,(AVERAGE(AV18:AV20)/AVERAGE(AV15:AV17))^4-1,"")</f>
        <v/>
      </c>
      <c r="AX20" s="10" t="n">
        <v>78.355</v>
      </c>
      <c r="AY20" s="11">
        <f>IF(ISNUMBER(AX20),AX20/AX$65*100,"")</f>
        <v/>
      </c>
      <c r="AZ20" s="12">
        <f>IF(AND(ISNUMBER(AX20),ISNUMBER(AX19)),AX20/AX19-1,"")</f>
        <v/>
      </c>
      <c r="BA20" s="12">
        <f>IF(AND(ISNUMBER(AX20),ISNUMBER(AX8)),AX20/AX8-1,"")</f>
        <v/>
      </c>
      <c r="BB20" s="11" t="n">
        <v>78.1795</v>
      </c>
      <c r="BC20" s="12">
        <f>IF(COUNT(BB15:BB20)=6,(AVERAGE(BB18:BB20)/AVERAGE(BB15:BB17))^4-1,"")</f>
        <v/>
      </c>
    </row>
    <row r="21">
      <c r="A21" s="9" t="n">
        <v>42491</v>
      </c>
      <c r="B21" s="10" t="n">
        <v>79.09999999999999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78.4716</v>
      </c>
      <c r="G21" s="12">
        <f>IF(COUNT(F16:F21)=6,(AVERAGE(F19:F21)/AVERAGE(F16:F18))^4-1,"")</f>
        <v/>
      </c>
      <c r="H21" s="10" t="n">
        <v>84.84999999999999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83.78189999999999</v>
      </c>
      <c r="M21" s="12">
        <f>IF(COUNT(L16:L21)=6,(AVERAGE(L19:L21)/AVERAGE(L16:L18))^4-1,"")</f>
        <v/>
      </c>
      <c r="N21" s="10" t="n">
        <v>80.61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79.8608</v>
      </c>
      <c r="S21" s="12">
        <f>IF(COUNT(R16:R21)=6,(AVERAGE(R19:R21)/AVERAGE(R16:R18))^4-1,"")</f>
        <v/>
      </c>
      <c r="T21" s="10" t="n">
        <v>78.84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77.74469999999999</v>
      </c>
      <c r="Y21" s="12">
        <f>IF(COUNT(X16:X21)=6,(AVERAGE(X19:X21)/AVERAGE(X16:X18))^4-1,"")</f>
        <v/>
      </c>
      <c r="Z21" s="10" t="n">
        <v>80.45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80.4418</v>
      </c>
      <c r="AE21" s="12">
        <f>IF(COUNT(AD16:AD21)=6,(AVERAGE(AD19:AD21)/AVERAGE(AD16:AD18))^4-1,"")</f>
        <v/>
      </c>
      <c r="AF21" s="10" t="n">
        <v>70.69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70.6743</v>
      </c>
      <c r="AK21" s="12">
        <f>IF(COUNT(AJ16:AJ21)=6,(AVERAGE(AJ19:AJ21)/AVERAGE(AJ16:AJ18))^4-1,"")</f>
        <v/>
      </c>
      <c r="AL21" s="10" t="n">
        <v>70.98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71.0082</v>
      </c>
      <c r="AQ21" s="12">
        <f>IF(COUNT(AP16:AP21)=6,(AVERAGE(AP19:AP21)/AVERAGE(AP16:AP18))^4-1,"")</f>
        <v/>
      </c>
      <c r="AR21" s="10" t="n">
        <v>79.48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79.1546</v>
      </c>
      <c r="AW21" s="12">
        <f>IF(COUNT(AV16:AV21)=6,(AVERAGE(AV19:AV21)/AVERAGE(AV16:AV18))^4-1,"")</f>
        <v/>
      </c>
      <c r="AX21" s="10" t="n">
        <v>78.783</v>
      </c>
      <c r="AY21" s="11">
        <f>IF(ISNUMBER(AX21),AX21/AX$65*100,"")</f>
        <v/>
      </c>
      <c r="AZ21" s="12">
        <f>IF(AND(ISNUMBER(AX21),ISNUMBER(AX20)),AX21/AX20-1,"")</f>
        <v/>
      </c>
      <c r="BA21" s="12">
        <f>IF(AND(ISNUMBER(AX21),ISNUMBER(AX9)),AX21/AX9-1,"")</f>
        <v/>
      </c>
      <c r="BB21" s="11" t="n">
        <v>78.473</v>
      </c>
      <c r="BC21" s="12">
        <f>IF(COUNT(BB16:BB21)=6,(AVERAGE(BB19:BB21)/AVERAGE(BB16:BB18))^4-1,"")</f>
        <v/>
      </c>
    </row>
    <row r="22">
      <c r="A22" s="9" t="n">
        <v>42522</v>
      </c>
      <c r="B22" s="10" t="n">
        <v>79.43000000000001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78.7585</v>
      </c>
      <c r="G22" s="12">
        <f>IF(COUNT(F17:F22)=6,(AVERAGE(F20:F22)/AVERAGE(F17:F19))^4-1,"")</f>
        <v/>
      </c>
      <c r="H22" s="10" t="n">
        <v>84.83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83.7623</v>
      </c>
      <c r="M22" s="12">
        <f>IF(COUNT(L17:L22)=6,(AVERAGE(L20:L22)/AVERAGE(L17:L19))^4-1,"")</f>
        <v/>
      </c>
      <c r="N22" s="10" t="n">
        <v>80.64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79.86239999999999</v>
      </c>
      <c r="S22" s="12">
        <f>IF(COUNT(R17:R22)=6,(AVERAGE(R20:R22)/AVERAGE(R17:R19))^4-1,"")</f>
        <v/>
      </c>
      <c r="T22" s="10" t="n">
        <v>79.23999999999999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78.2586</v>
      </c>
      <c r="Y22" s="12">
        <f>IF(COUNT(X17:X22)=6,(AVERAGE(X20:X22)/AVERAGE(X17:X19))^4-1,"")</f>
        <v/>
      </c>
      <c r="Z22" s="10" t="n">
        <v>80.68000000000001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80.4226</v>
      </c>
      <c r="AE22" s="12">
        <f>IF(COUNT(AD17:AD22)=6,(AVERAGE(AD20:AD22)/AVERAGE(AD17:AD19))^4-1,"")</f>
        <v/>
      </c>
      <c r="AF22" s="10" t="n">
        <v>70.84999999999999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70.77679999999999</v>
      </c>
      <c r="AK22" s="12">
        <f>IF(COUNT(AJ17:AJ22)=6,(AVERAGE(AJ20:AJ22)/AVERAGE(AJ17:AJ19))^4-1,"")</f>
        <v/>
      </c>
      <c r="AL22" s="10" t="n">
        <v>73.45999999999999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73.6876</v>
      </c>
      <c r="AQ22" s="12">
        <f>IF(COUNT(AP17:AP22)=6,(AVERAGE(AP20:AP22)/AVERAGE(AP17:AP19))^4-1,"")</f>
        <v/>
      </c>
      <c r="AR22" s="10" t="n">
        <v>80.28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80.0643</v>
      </c>
      <c r="AW22" s="12">
        <f>IF(COUNT(AV17:AV22)=6,(AVERAGE(AV20:AV22)/AVERAGE(AV17:AV19))^4-1,"")</f>
        <v/>
      </c>
      <c r="AX22" s="10" t="n">
        <v>79.148</v>
      </c>
      <c r="AY22" s="11">
        <f>IF(ISNUMBER(AX22),AX22/AX$65*100,"")</f>
        <v/>
      </c>
      <c r="AZ22" s="12">
        <f>IF(AND(ISNUMBER(AX22),ISNUMBER(AX21)),AX22/AX21-1,"")</f>
        <v/>
      </c>
      <c r="BA22" s="12">
        <f>IF(AND(ISNUMBER(AX22),ISNUMBER(AX10)),AX22/AX10-1,"")</f>
        <v/>
      </c>
      <c r="BB22" s="11" t="n">
        <v>78.7846</v>
      </c>
      <c r="BC22" s="12">
        <f>IF(COUNT(BB17:BB22)=6,(AVERAGE(BB20:BB22)/AVERAGE(BB17:BB19))^4-1,"")</f>
        <v/>
      </c>
    </row>
    <row r="23">
      <c r="A23" s="9" t="n">
        <v>42552</v>
      </c>
      <c r="B23" s="10" t="n">
        <v>78.37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78.7465</v>
      </c>
      <c r="G23" s="12">
        <f>IF(COUNT(F18:F23)=6,(AVERAGE(F21:F23)/AVERAGE(F18:F20))^4-1,"")</f>
        <v/>
      </c>
      <c r="H23" s="10" t="n">
        <v>83.12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83.7544</v>
      </c>
      <c r="M23" s="12">
        <f>IF(COUNT(L18:L23)=6,(AVERAGE(L21:L23)/AVERAGE(L18:L20))^4-1,"")</f>
        <v/>
      </c>
      <c r="N23" s="10" t="n">
        <v>79.53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79.998</v>
      </c>
      <c r="S23" s="12">
        <f>IF(COUNT(R18:R23)=6,(AVERAGE(R21:R23)/AVERAGE(R18:R20))^4-1,"")</f>
        <v/>
      </c>
      <c r="T23" s="10" t="n">
        <v>77.06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78.13120000000001</v>
      </c>
      <c r="Y23" s="12">
        <f>IF(COUNT(X18:X23)=6,(AVERAGE(X21:X23)/AVERAGE(X18:X20))^4-1,"")</f>
        <v/>
      </c>
      <c r="Z23" s="10" t="n">
        <v>81.3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80.6366</v>
      </c>
      <c r="AE23" s="12">
        <f>IF(COUNT(AD18:AD23)=6,(AVERAGE(AD21:AD23)/AVERAGE(AD18:AD20))^4-1,"")</f>
        <v/>
      </c>
      <c r="AF23" s="10" t="n">
        <v>71.23999999999999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71.44029999999999</v>
      </c>
      <c r="AK23" s="12">
        <f>IF(COUNT(AJ18:AJ23)=6,(AVERAGE(AJ21:AJ23)/AVERAGE(AJ18:AJ20))^4-1,"")</f>
        <v/>
      </c>
      <c r="AL23" s="10" t="n">
        <v>72.75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72.9264</v>
      </c>
      <c r="AQ23" s="12">
        <f>IF(COUNT(AP18:AP23)=6,(AVERAGE(AP21:AP23)/AVERAGE(AP18:AP20))^4-1,"")</f>
        <v/>
      </c>
      <c r="AR23" s="10" t="n">
        <v>79.7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79.4768</v>
      </c>
      <c r="AW23" s="12">
        <f>IF(COUNT(AV18:AV23)=6,(AVERAGE(AV21:AV23)/AVERAGE(AV18:AV20))^4-1,"")</f>
        <v/>
      </c>
      <c r="AX23" s="10" t="n">
        <v>78.572</v>
      </c>
      <c r="AY23" s="11">
        <f>IF(ISNUMBER(AX23),AX23/AX$65*100,"")</f>
        <v/>
      </c>
      <c r="AZ23" s="12">
        <f>IF(AND(ISNUMBER(AX23),ISNUMBER(AX22)),AX23/AX22-1,"")</f>
        <v/>
      </c>
      <c r="BA23" s="12">
        <f>IF(AND(ISNUMBER(AX23),ISNUMBER(AX11)),AX23/AX11-1,"")</f>
        <v/>
      </c>
      <c r="BB23" s="11" t="n">
        <v>78.7949</v>
      </c>
      <c r="BC23" s="12">
        <f>IF(COUNT(BB18:BB23)=6,(AVERAGE(BB21:BB23)/AVERAGE(BB18:BB20))^4-1,"")</f>
        <v/>
      </c>
    </row>
    <row r="24">
      <c r="A24" s="9" t="n">
        <v>42583</v>
      </c>
      <c r="B24" s="10" t="n">
        <v>78.34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78.7349</v>
      </c>
      <c r="G24" s="12">
        <f>IF(COUNT(F19:F24)=6,(AVERAGE(F22:F24)/AVERAGE(F19:F21))^4-1,"")</f>
        <v/>
      </c>
      <c r="H24" s="10" t="n">
        <v>83.23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83.8886</v>
      </c>
      <c r="M24" s="12">
        <f>IF(COUNT(L19:L24)=6,(AVERAGE(L22:L24)/AVERAGE(L19:L21))^4-1,"")</f>
        <v/>
      </c>
      <c r="N24" s="10" t="n">
        <v>79.59999999999999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80.0612</v>
      </c>
      <c r="S24" s="12">
        <f>IF(COUNT(R19:R24)=6,(AVERAGE(R22:R24)/AVERAGE(R19:R21))^4-1,"")</f>
        <v/>
      </c>
      <c r="T24" s="10" t="n">
        <v>76.72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78.0029</v>
      </c>
      <c r="Y24" s="12">
        <f>IF(COUNT(X19:X24)=6,(AVERAGE(X22:X24)/AVERAGE(X19:X21))^4-1,"")</f>
        <v/>
      </c>
      <c r="Z24" s="10" t="n">
        <v>81.73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80.8496</v>
      </c>
      <c r="AE24" s="12">
        <f>IF(COUNT(AD19:AD24)=6,(AVERAGE(AD22:AD24)/AVERAGE(AD19:AD21))^4-1,"")</f>
        <v/>
      </c>
      <c r="AF24" s="10" t="n">
        <v>71.20999999999999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71.3309</v>
      </c>
      <c r="AK24" s="12">
        <f>IF(COUNT(AJ19:AJ24)=6,(AVERAGE(AJ22:AJ24)/AVERAGE(AJ19:AJ21))^4-1,"")</f>
        <v/>
      </c>
      <c r="AL24" s="10" t="n">
        <v>72.01000000000001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72.18689999999999</v>
      </c>
      <c r="AQ24" s="12">
        <f>IF(COUNT(AP19:AP24)=6,(AVERAGE(AP22:AP24)/AVERAGE(AP19:AP21))^4-1,"")</f>
        <v/>
      </c>
      <c r="AR24" s="10" t="n">
        <v>79.29000000000001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79.19880000000001</v>
      </c>
      <c r="AW24" s="12">
        <f>IF(COUNT(AV19:AV24)=6,(AVERAGE(AV22:AV24)/AVERAGE(AV19:AV21))^4-1,"")</f>
        <v/>
      </c>
      <c r="AX24" s="10" t="n">
        <v>78.673</v>
      </c>
      <c r="AY24" s="11">
        <f>IF(ISNUMBER(AX24),AX24/AX$65*100,"")</f>
        <v/>
      </c>
      <c r="AZ24" s="12">
        <f>IF(AND(ISNUMBER(AX24),ISNUMBER(AX23)),AX24/AX23-1,"")</f>
        <v/>
      </c>
      <c r="BA24" s="12">
        <f>IF(AND(ISNUMBER(AX24),ISNUMBER(AX12)),AX24/AX12-1,"")</f>
        <v/>
      </c>
      <c r="BB24" s="11" t="n">
        <v>78.8546</v>
      </c>
      <c r="BC24" s="12">
        <f>IF(COUNT(BB19:BB24)=6,(AVERAGE(BB22:BB24)/AVERAGE(BB19:BB21))^4-1,"")</f>
        <v/>
      </c>
    </row>
    <row r="25">
      <c r="A25" s="9" t="n">
        <v>42614</v>
      </c>
      <c r="B25" s="10" t="n">
        <v>78.90000000000001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78.8331</v>
      </c>
      <c r="G25" s="12">
        <f>IF(COUNT(F20:F25)=6,(AVERAGE(F23:F25)/AVERAGE(F20:F22))^4-1,"")</f>
        <v/>
      </c>
      <c r="H25" s="10" t="n">
        <v>84.14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84.0202</v>
      </c>
      <c r="M25" s="12">
        <f>IF(COUNT(L20:L25)=6,(AVERAGE(L23:L25)/AVERAGE(L20:L22))^4-1,"")</f>
        <v/>
      </c>
      <c r="N25" s="10" t="n">
        <v>80.09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80.0399</v>
      </c>
      <c r="S25" s="12">
        <f>IF(COUNT(R20:R25)=6,(AVERAGE(R23:R25)/AVERAGE(R20:R22))^4-1,"")</f>
        <v/>
      </c>
      <c r="T25" s="10" t="n">
        <v>78.11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78.14190000000001</v>
      </c>
      <c r="Y25" s="12">
        <f>IF(COUNT(X20:X25)=6,(AVERAGE(X23:X25)/AVERAGE(X20:X22))^4-1,"")</f>
        <v/>
      </c>
      <c r="Z25" s="10" t="n">
        <v>81.05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80.873</v>
      </c>
      <c r="AE25" s="12">
        <f>IF(COUNT(AD20:AD25)=6,(AVERAGE(AD23:AD25)/AVERAGE(AD20:AD22))^4-1,"")</f>
        <v/>
      </c>
      <c r="AF25" s="10" t="n">
        <v>70.66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70.819</v>
      </c>
      <c r="AK25" s="12">
        <f>IF(COUNT(AJ20:AJ25)=6,(AVERAGE(AJ23:AJ25)/AVERAGE(AJ20:AJ22))^4-1,"")</f>
        <v/>
      </c>
      <c r="AL25" s="10" t="n">
        <v>73.06999999999999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73.0742</v>
      </c>
      <c r="AQ25" s="12">
        <f>IF(COUNT(AP20:AP25)=6,(AVERAGE(AP23:AP25)/AVERAGE(AP20:AP22))^4-1,"")</f>
        <v/>
      </c>
      <c r="AR25" s="10" t="n">
        <v>79.73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79.6734</v>
      </c>
      <c r="AW25" s="12">
        <f>IF(COUNT(AV20:AV25)=6,(AVERAGE(AV23:AV25)/AVERAGE(AV20:AV22))^4-1,"")</f>
        <v/>
      </c>
      <c r="AX25" s="10" t="n">
        <v>78.67700000000001</v>
      </c>
      <c r="AY25" s="11">
        <f>IF(ISNUMBER(AX25),AX25/AX$65*100,"")</f>
        <v/>
      </c>
      <c r="AZ25" s="12">
        <f>IF(AND(ISNUMBER(AX25),ISNUMBER(AX24)),AX25/AX24-1,"")</f>
        <v/>
      </c>
      <c r="BA25" s="12">
        <f>IF(AND(ISNUMBER(AX25),ISNUMBER(AX13)),AX25/AX13-1,"")</f>
        <v/>
      </c>
      <c r="BB25" s="11" t="n">
        <v>78.87439999999999</v>
      </c>
      <c r="BC25" s="12">
        <f>IF(COUNT(BB20:BB25)=6,(AVERAGE(BB23:BB25)/AVERAGE(BB20:BB22))^4-1,"")</f>
        <v/>
      </c>
    </row>
    <row r="26">
      <c r="A26" s="9" t="n">
        <v>42644</v>
      </c>
      <c r="B26" s="10" t="n">
        <v>79.52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79.11790000000001</v>
      </c>
      <c r="G26" s="12">
        <f>IF(COUNT(F21:F26)=6,(AVERAGE(F24:F26)/AVERAGE(F21:F23))^4-1,"")</f>
        <v/>
      </c>
      <c r="H26" s="10" t="n">
        <v>84.55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84.1318</v>
      </c>
      <c r="M26" s="12">
        <f>IF(COUNT(L21:L26)=6,(AVERAGE(L24:L26)/AVERAGE(L21:L23))^4-1,"")</f>
        <v/>
      </c>
      <c r="N26" s="10" t="n">
        <v>80.41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80.0526</v>
      </c>
      <c r="S26" s="12">
        <f>IF(COUNT(R21:R26)=6,(AVERAGE(R24:R26)/AVERAGE(R21:R23))^4-1,"")</f>
        <v/>
      </c>
      <c r="T26" s="10" t="n">
        <v>79.31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78.4622</v>
      </c>
      <c r="Y26" s="12">
        <f>IF(COUNT(X21:X26)=6,(AVERAGE(X24:X26)/AVERAGE(X21:X23))^4-1,"")</f>
        <v/>
      </c>
      <c r="Z26" s="10" t="n">
        <v>80.8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81.0484</v>
      </c>
      <c r="AE26" s="12">
        <f>IF(COUNT(AD21:AD26)=6,(AVERAGE(AD24:AD26)/AVERAGE(AD21:AD23))^4-1,"")</f>
        <v/>
      </c>
      <c r="AF26" s="10" t="n">
        <v>70.72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70.45820000000001</v>
      </c>
      <c r="AK26" s="12">
        <f>IF(COUNT(AJ21:AJ26)=6,(AVERAGE(AJ24:AJ26)/AVERAGE(AJ21:AJ23))^4-1,"")</f>
        <v/>
      </c>
      <c r="AL26" s="10" t="n">
        <v>75.87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74.99590000000001</v>
      </c>
      <c r="AQ26" s="12">
        <f>IF(COUNT(AP21:AP26)=6,(AVERAGE(AP24:AP26)/AVERAGE(AP21:AP23))^4-1,"")</f>
        <v/>
      </c>
      <c r="AR26" s="10" t="n">
        <v>80.68000000000001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80.77509999999999</v>
      </c>
      <c r="AW26" s="12">
        <f>IF(COUNT(AV21:AV26)=6,(AVERAGE(AV24:AV26)/AVERAGE(AV21:AV23))^4-1,"")</f>
        <v/>
      </c>
      <c r="AX26" s="10" t="n">
        <v>79.57599999999999</v>
      </c>
      <c r="AY26" s="11">
        <f>IF(ISNUMBER(AX26),AX26/AX$65*100,"")</f>
        <v/>
      </c>
      <c r="AZ26" s="12">
        <f>IF(AND(ISNUMBER(AX26),ISNUMBER(AX25)),AX26/AX25-1,"")</f>
        <v/>
      </c>
      <c r="BA26" s="12">
        <f>IF(AND(ISNUMBER(AX26),ISNUMBER(AX14)),AX26/AX14-1,"")</f>
        <v/>
      </c>
      <c r="BB26" s="11" t="n">
        <v>79.2144</v>
      </c>
      <c r="BC26" s="12">
        <f>IF(COUNT(BB21:BB26)=6,(AVERAGE(BB24:BB26)/AVERAGE(BB21:BB23))^4-1,"")</f>
        <v/>
      </c>
    </row>
    <row r="27">
      <c r="A27" s="9" t="n">
        <v>42675</v>
      </c>
      <c r="B27" s="10" t="n">
        <v>79.70999999999999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79.282</v>
      </c>
      <c r="G27" s="12">
        <f>IF(COUNT(F22:F27)=6,(AVERAGE(F25:F27)/AVERAGE(F22:F24))^4-1,"")</f>
        <v/>
      </c>
      <c r="H27" s="10" t="n">
        <v>84.87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84.3147</v>
      </c>
      <c r="M27" s="12">
        <f>IF(COUNT(L22:L27)=6,(AVERAGE(L25:L27)/AVERAGE(L22:L24))^4-1,"")</f>
        <v/>
      </c>
      <c r="N27" s="10" t="n">
        <v>80.62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80.2204</v>
      </c>
      <c r="S27" s="12">
        <f>IF(COUNT(R22:R27)=6,(AVERAGE(R25:R27)/AVERAGE(R22:R24))^4-1,"")</f>
        <v/>
      </c>
      <c r="T27" s="10" t="n">
        <v>79.67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78.58669999999999</v>
      </c>
      <c r="Y27" s="12">
        <f>IF(COUNT(X22:X27)=6,(AVERAGE(X25:X27)/AVERAGE(X22:X24))^4-1,"")</f>
        <v/>
      </c>
      <c r="Z27" s="10" t="n">
        <v>80.73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81.2885</v>
      </c>
      <c r="AE27" s="12">
        <f>IF(COUNT(AD22:AD27)=6,(AVERAGE(AD25:AD27)/AVERAGE(AD22:AD24))^4-1,"")</f>
        <v/>
      </c>
      <c r="AF27" s="10" t="n">
        <v>70.65000000000001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70.5882</v>
      </c>
      <c r="AK27" s="12">
        <f>IF(COUNT(AJ22:AJ27)=6,(AVERAGE(AJ25:AJ27)/AVERAGE(AJ22:AJ24))^4-1,"")</f>
        <v/>
      </c>
      <c r="AL27" s="10" t="n">
        <v>75.91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75.407</v>
      </c>
      <c r="AQ27" s="12">
        <f>IF(COUNT(AP22:AP27)=6,(AVERAGE(AP25:AP27)/AVERAGE(AP22:AP24))^4-1,"")</f>
        <v/>
      </c>
      <c r="AR27" s="10" t="n">
        <v>80.34999999999999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80.752</v>
      </c>
      <c r="AW27" s="12">
        <f>IF(COUNT(AV22:AV27)=6,(AVERAGE(AV25:AV27)/AVERAGE(AV22:AV24))^4-1,"")</f>
        <v/>
      </c>
      <c r="AX27" s="10" t="n">
        <v>79.864</v>
      </c>
      <c r="AY27" s="11">
        <f>IF(ISNUMBER(AX27),AX27/AX$65*100,"")</f>
        <v/>
      </c>
      <c r="AZ27" s="12">
        <f>IF(AND(ISNUMBER(AX27),ISNUMBER(AX26)),AX27/AX26-1,"")</f>
        <v/>
      </c>
      <c r="BA27" s="12">
        <f>IF(AND(ISNUMBER(AX27),ISNUMBER(AX15)),AX27/AX15-1,"")</f>
        <v/>
      </c>
      <c r="BB27" s="11" t="n">
        <v>79.3618</v>
      </c>
      <c r="BC27" s="12">
        <f>IF(COUNT(BB22:BB27)=6,(AVERAGE(BB25:BB27)/AVERAGE(BB22:BB24))^4-1,"")</f>
        <v/>
      </c>
    </row>
    <row r="28">
      <c r="A28" s="9" t="n">
        <v>42705</v>
      </c>
      <c r="B28" s="10" t="n">
        <v>80.14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79.84820000000001</v>
      </c>
      <c r="G28" s="12">
        <f>IF(COUNT(F23:F28)=6,(AVERAGE(F26:F28)/AVERAGE(F23:F25))^4-1,"")</f>
        <v/>
      </c>
      <c r="H28" s="10" t="n">
        <v>84.90000000000001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84.4577</v>
      </c>
      <c r="M28" s="12">
        <f>IF(COUNT(L23:L28)=6,(AVERAGE(L26:L28)/AVERAGE(L23:L25))^4-1,"")</f>
        <v/>
      </c>
      <c r="N28" s="10" t="n">
        <v>80.72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80.4058</v>
      </c>
      <c r="S28" s="12">
        <f>IF(COUNT(R23:R28)=6,(AVERAGE(R26:R28)/AVERAGE(R23:R25))^4-1,"")</f>
        <v/>
      </c>
      <c r="T28" s="10" t="n">
        <v>80.06999999999999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79.3725</v>
      </c>
      <c r="Y28" s="12">
        <f>IF(COUNT(X23:X28)=6,(AVERAGE(X26:X28)/AVERAGE(X23:X25))^4-1,"")</f>
        <v/>
      </c>
      <c r="Z28" s="10" t="n">
        <v>81.22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81.5569</v>
      </c>
      <c r="AE28" s="12">
        <f>IF(COUNT(AD23:AD28)=6,(AVERAGE(AD26:AD28)/AVERAGE(AD23:AD25))^4-1,"")</f>
        <v/>
      </c>
      <c r="AF28" s="10" t="n">
        <v>70.95999999999999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70.9841</v>
      </c>
      <c r="AK28" s="12">
        <f>IF(COUNT(AJ23:AJ28)=6,(AVERAGE(AJ26:AJ28)/AVERAGE(AJ23:AJ25))^4-1,"")</f>
        <v/>
      </c>
      <c r="AL28" s="10" t="n">
        <v>78.66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79.0474</v>
      </c>
      <c r="AQ28" s="12">
        <f>IF(COUNT(AP23:AP28)=6,(AVERAGE(AP26:AP28)/AVERAGE(AP23:AP25))^4-1,"")</f>
        <v/>
      </c>
      <c r="AR28" s="10" t="n">
        <v>81.77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82.3943</v>
      </c>
      <c r="AW28" s="12">
        <f>IF(COUNT(AV23:AV28)=6,(AVERAGE(AV26:AV28)/AVERAGE(AV23:AV25))^4-1,"")</f>
        <v/>
      </c>
      <c r="AX28" s="10" t="n">
        <v>80.33799999999999</v>
      </c>
      <c r="AY28" s="11">
        <f>IF(ISNUMBER(AX28),AX28/AX$65*100,"")</f>
        <v/>
      </c>
      <c r="AZ28" s="12">
        <f>IF(AND(ISNUMBER(AX28),ISNUMBER(AX27)),AX28/AX27-1,"")</f>
        <v/>
      </c>
      <c r="BA28" s="12">
        <f>IF(AND(ISNUMBER(AX28),ISNUMBER(AX16)),AX28/AX16-1,"")</f>
        <v/>
      </c>
      <c r="BB28" s="11" t="n">
        <v>79.92149999999999</v>
      </c>
      <c r="BC28" s="12">
        <f>IF(COUNT(BB23:BB28)=6,(AVERAGE(BB26:BB28)/AVERAGE(BB23:BB25))^4-1,"")</f>
        <v/>
      </c>
    </row>
    <row r="29">
      <c r="A29" s="9" t="n">
        <v>42736</v>
      </c>
      <c r="B29" s="10" t="n">
        <v>79.36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80.5138</v>
      </c>
      <c r="G29" s="12">
        <f>IF(COUNT(F24:F29)=6,(AVERAGE(F27:F29)/AVERAGE(F24:F26))^4-1,"")</f>
        <v/>
      </c>
      <c r="H29" s="10" t="n">
        <v>82.81999999999999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84.61750000000001</v>
      </c>
      <c r="M29" s="12">
        <f>IF(COUNT(L24:L29)=6,(AVERAGE(L27:L29)/AVERAGE(L24:L26))^4-1,"")</f>
        <v/>
      </c>
      <c r="N29" s="10" t="n">
        <v>79.38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80.6039</v>
      </c>
      <c r="S29" s="12">
        <f>IF(COUNT(R24:R29)=6,(AVERAGE(R27:R29)/AVERAGE(R24:R26))^4-1,"")</f>
        <v/>
      </c>
      <c r="T29" s="10" t="n">
        <v>78.90000000000001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80.35039999999999</v>
      </c>
      <c r="Y29" s="12">
        <f>IF(COUNT(X24:X29)=6,(AVERAGE(X27:X29)/AVERAGE(X24:X26))^4-1,"")</f>
        <v/>
      </c>
      <c r="Z29" s="10" t="n">
        <v>80.94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81.61199999999999</v>
      </c>
      <c r="AE29" s="12">
        <f>IF(COUNT(AD24:AD29)=6,(AVERAGE(AD27:AD29)/AVERAGE(AD24:AD26))^4-1,"")</f>
        <v/>
      </c>
      <c r="AF29" s="10" t="n">
        <v>71.48999999999999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71.3138</v>
      </c>
      <c r="AK29" s="12">
        <f>IF(COUNT(AJ24:AJ29)=6,(AVERAGE(AJ27:AJ29)/AVERAGE(AJ24:AJ26))^4-1,"")</f>
        <v/>
      </c>
      <c r="AL29" s="10" t="n">
        <v>82.26000000000001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82.0505</v>
      </c>
      <c r="AQ29" s="12">
        <f>IF(COUNT(AP24:AP29)=6,(AVERAGE(AP27:AP29)/AVERAGE(AP24:AP26))^4-1,"")</f>
        <v/>
      </c>
      <c r="AR29" s="10" t="n">
        <v>82.52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82.185</v>
      </c>
      <c r="AW29" s="12">
        <f>IF(COUNT(AV24:AV29)=6,(AVERAGE(AV27:AV29)/AVERAGE(AV24:AV26))^4-1,"")</f>
        <v/>
      </c>
      <c r="AX29" s="10" t="n">
        <v>79.896</v>
      </c>
      <c r="AY29" s="11">
        <f>IF(ISNUMBER(AX29),AX29/AX$65*100,"")</f>
        <v/>
      </c>
      <c r="AZ29" s="12">
        <f>IF(AND(ISNUMBER(AX29),ISNUMBER(AX28)),AX29/AX28-1,"")</f>
        <v/>
      </c>
      <c r="BA29" s="12">
        <f>IF(AND(ISNUMBER(AX29),ISNUMBER(AX17)),AX29/AX17-1,"")</f>
        <v/>
      </c>
      <c r="BB29" s="11" t="n">
        <v>80.51000000000001</v>
      </c>
      <c r="BC29" s="12">
        <f>IF(COUNT(BB24:BB29)=6,(AVERAGE(BB27:BB29)/AVERAGE(BB24:BB26))^4-1,"")</f>
        <v/>
      </c>
    </row>
    <row r="30">
      <c r="A30" s="9" t="n">
        <v>42767</v>
      </c>
      <c r="B30" s="10" t="n">
        <v>79.09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80.09999999999999</v>
      </c>
      <c r="G30" s="12">
        <f>IF(COUNT(F25:F30)=6,(AVERAGE(F28:F30)/AVERAGE(F25:F27))^4-1,"")</f>
        <v/>
      </c>
      <c r="H30" s="10" t="n">
        <v>82.84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84.58459999999999</v>
      </c>
      <c r="M30" s="12">
        <f>IF(COUNT(L25:L30)=6,(AVERAGE(L28:L30)/AVERAGE(L25:L27))^4-1,"")</f>
        <v/>
      </c>
      <c r="N30" s="10" t="n">
        <v>79.43000000000001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80.6742</v>
      </c>
      <c r="S30" s="12">
        <f>IF(COUNT(R25:R30)=6,(AVERAGE(R28:R30)/AVERAGE(R25:R27))^4-1,"")</f>
        <v/>
      </c>
      <c r="T30" s="10" t="n">
        <v>78.18000000000001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79.67400000000001</v>
      </c>
      <c r="Y30" s="12">
        <f>IF(COUNT(X25:X30)=6,(AVERAGE(X28:X30)/AVERAGE(X25:X27))^4-1,"")</f>
        <v/>
      </c>
      <c r="Z30" s="10" t="n">
        <v>81.28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81.6699</v>
      </c>
      <c r="AE30" s="12">
        <f>IF(COUNT(AD25:AD30)=6,(AVERAGE(AD28:AD30)/AVERAGE(AD25:AD27))^4-1,"")</f>
        <v/>
      </c>
      <c r="AF30" s="10" t="n">
        <v>71.61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71.5005</v>
      </c>
      <c r="AK30" s="12">
        <f>IF(COUNT(AJ25:AJ30)=6,(AVERAGE(AJ28:AJ30)/AVERAGE(AJ25:AJ27))^4-1,"")</f>
        <v/>
      </c>
      <c r="AL30" s="10" t="n">
        <v>79.42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79.087</v>
      </c>
      <c r="AQ30" s="12">
        <f>IF(COUNT(AP25:AP30)=6,(AVERAGE(AP28:AP30)/AVERAGE(AP25:AP27))^4-1,"")</f>
        <v/>
      </c>
      <c r="AR30" s="10" t="n">
        <v>82.65000000000001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82.49979999999999</v>
      </c>
      <c r="AW30" s="12">
        <f>IF(COUNT(AV25:AV30)=6,(AVERAGE(AV28:AV30)/AVERAGE(AV25:AV27))^4-1,"")</f>
        <v/>
      </c>
      <c r="AX30" s="10" t="n">
        <v>79.608</v>
      </c>
      <c r="AY30" s="11">
        <f>IF(ISNUMBER(AX30),AX30/AX$65*100,"")</f>
        <v/>
      </c>
      <c r="AZ30" s="12">
        <f>IF(AND(ISNUMBER(AX30),ISNUMBER(AX29)),AX30/AX29-1,"")</f>
        <v/>
      </c>
      <c r="BA30" s="12">
        <f>IF(AND(ISNUMBER(AX30),ISNUMBER(AX18)),AX30/AX18-1,"")</f>
        <v/>
      </c>
      <c r="BB30" s="11" t="n">
        <v>80.0667</v>
      </c>
      <c r="BC30" s="12">
        <f>IF(COUNT(BB25:BB30)=6,(AVERAGE(BB28:BB30)/AVERAGE(BB25:BB27))^4-1,"")</f>
        <v/>
      </c>
    </row>
    <row r="31">
      <c r="A31" s="9" t="n">
        <v>42795</v>
      </c>
      <c r="B31" s="10" t="n">
        <v>79.98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80.0505</v>
      </c>
      <c r="G31" s="12">
        <f>IF(COUNT(F26:F31)=6,(AVERAGE(F29:F31)/AVERAGE(F26:F28))^4-1,"")</f>
        <v/>
      </c>
      <c r="H31" s="10" t="n">
        <v>84.69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84.5604</v>
      </c>
      <c r="M31" s="12">
        <f>IF(COUNT(L26:L31)=6,(AVERAGE(L29:L31)/AVERAGE(L26:L28))^4-1,"")</f>
        <v/>
      </c>
      <c r="N31" s="10" t="n">
        <v>80.7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80.61669999999999</v>
      </c>
      <c r="S31" s="12">
        <f>IF(COUNT(R26:R31)=6,(AVERAGE(R29:R31)/AVERAGE(R26:R28))^4-1,"")</f>
        <v/>
      </c>
      <c r="T31" s="10" t="n">
        <v>79.56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79.58329999999999</v>
      </c>
      <c r="Y31" s="12">
        <f>IF(COUNT(X26:X31)=6,(AVERAGE(X29:X31)/AVERAGE(X26:X28))^4-1,"")</f>
        <v/>
      </c>
      <c r="Z31" s="10" t="n">
        <v>81.51000000000001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81.70699999999999</v>
      </c>
      <c r="AE31" s="12">
        <f>IF(COUNT(AD26:AD31)=6,(AVERAGE(AD29:AD31)/AVERAGE(AD26:AD28))^4-1,"")</f>
        <v/>
      </c>
      <c r="AF31" s="10" t="n">
        <v>71.40000000000001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71.48269999999999</v>
      </c>
      <c r="AK31" s="12">
        <f>IF(COUNT(AJ26:AJ31)=6,(AVERAGE(AJ29:AJ31)/AVERAGE(AJ26:AJ28))^4-1,"")</f>
        <v/>
      </c>
      <c r="AL31" s="10" t="n">
        <v>77.37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78.3715</v>
      </c>
      <c r="AQ31" s="12">
        <f>IF(COUNT(AP26:AP31)=6,(AVERAGE(AP29:AP31)/AVERAGE(AP26:AP28))^4-1,"")</f>
        <v/>
      </c>
      <c r="AR31" s="10" t="n">
        <v>82.38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82.8497</v>
      </c>
      <c r="AW31" s="12">
        <f>IF(COUNT(AV26:AV31)=6,(AVERAGE(AV29:AV31)/AVERAGE(AV26:AV28))^4-1,"")</f>
        <v/>
      </c>
      <c r="AX31" s="10" t="n">
        <v>79.592</v>
      </c>
      <c r="AY31" s="11">
        <f>IF(ISNUMBER(AX31),AX31/AX$65*100,"")</f>
        <v/>
      </c>
      <c r="AZ31" s="12">
        <f>IF(AND(ISNUMBER(AX31),ISNUMBER(AX30)),AX31/AX30-1,"")</f>
        <v/>
      </c>
      <c r="BA31" s="12">
        <f>IF(AND(ISNUMBER(AX31),ISNUMBER(AX19)),AX31/AX19-1,"")</f>
        <v/>
      </c>
      <c r="BB31" s="11" t="n">
        <v>80.0624</v>
      </c>
      <c r="BC31" s="12">
        <f>IF(COUNT(BB26:BB31)=6,(AVERAGE(BB29:BB31)/AVERAGE(BB26:BB28))^4-1,"")</f>
        <v/>
      </c>
    </row>
    <row r="32">
      <c r="A32" s="9" t="n">
        <v>42826</v>
      </c>
      <c r="B32" s="10" t="n">
        <v>80.70999999999999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80.24720000000001</v>
      </c>
      <c r="G32" s="12">
        <f>IF(COUNT(F27:F32)=6,(AVERAGE(F30:F32)/AVERAGE(F27:F29))^4-1,"")</f>
        <v/>
      </c>
      <c r="H32" s="10" t="n">
        <v>85.8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84.8514</v>
      </c>
      <c r="M32" s="12">
        <f>IF(COUNT(L27:L32)=6,(AVERAGE(L30:L32)/AVERAGE(L27:L29))^4-1,"")</f>
        <v/>
      </c>
      <c r="N32" s="10" t="n">
        <v>81.48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80.8674</v>
      </c>
      <c r="S32" s="12">
        <f>IF(COUNT(R27:R32)=6,(AVERAGE(R30:R32)/AVERAGE(R27:R29))^4-1,"")</f>
        <v/>
      </c>
      <c r="T32" s="10" t="n">
        <v>80.26000000000001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79.54470000000001</v>
      </c>
      <c r="Y32" s="12">
        <f>IF(COUNT(X27:X32)=6,(AVERAGE(X30:X32)/AVERAGE(X27:X29))^4-1,"")</f>
        <v/>
      </c>
      <c r="Z32" s="10" t="n">
        <v>82.3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82.0548</v>
      </c>
      <c r="AE32" s="12">
        <f>IF(COUNT(AD27:AD32)=6,(AVERAGE(AD30:AD32)/AVERAGE(AD27:AD29))^4-1,"")</f>
        <v/>
      </c>
      <c r="AF32" s="10" t="n">
        <v>71.34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71.47150000000001</v>
      </c>
      <c r="AK32" s="12">
        <f>IF(COUNT(AJ27:AJ32)=6,(AVERAGE(AJ30:AJ32)/AVERAGE(AJ27:AJ29))^4-1,"")</f>
        <v/>
      </c>
      <c r="AL32" s="10" t="n">
        <v>77.73999999999999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77.8284</v>
      </c>
      <c r="AQ32" s="12">
        <f>IF(COUNT(AP27:AP32)=6,(AVERAGE(AP30:AP32)/AVERAGE(AP27:AP29))^4-1,"")</f>
        <v/>
      </c>
      <c r="AR32" s="10" t="n">
        <v>82.8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82.70950000000001</v>
      </c>
      <c r="AW32" s="12">
        <f>IF(COUNT(AV27:AV32)=6,(AVERAGE(AV30:AV32)/AVERAGE(AV27:AV29))^4-1,"")</f>
        <v/>
      </c>
      <c r="AX32" s="10" t="n">
        <v>80.35599999999999</v>
      </c>
      <c r="AY32" s="11">
        <f>IF(ISNUMBER(AX32),AX32/AX$65*100,"")</f>
        <v/>
      </c>
      <c r="AZ32" s="12">
        <f>IF(AND(ISNUMBER(AX32),ISNUMBER(AX31)),AX32/AX31-1,"")</f>
        <v/>
      </c>
      <c r="BA32" s="12">
        <f>IF(AND(ISNUMBER(AX32),ISNUMBER(AX20)),AX32/AX20-1,"")</f>
        <v/>
      </c>
      <c r="BB32" s="11" t="n">
        <v>80.2064</v>
      </c>
      <c r="BC32" s="12">
        <f>IF(COUNT(BB27:BB32)=6,(AVERAGE(BB30:BB32)/AVERAGE(BB27:BB29))^4-1,"")</f>
        <v/>
      </c>
    </row>
    <row r="33">
      <c r="A33" s="9" t="n">
        <v>42856</v>
      </c>
      <c r="B33" s="10" t="n">
        <v>80.66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80.0211</v>
      </c>
      <c r="G33" s="12">
        <f>IF(COUNT(F28:F33)=6,(AVERAGE(F31:F33)/AVERAGE(F28:F30))^4-1,"")</f>
        <v/>
      </c>
      <c r="H33" s="10" t="n">
        <v>85.81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84.7497</v>
      </c>
      <c r="M33" s="12">
        <f>IF(COUNT(L28:L33)=6,(AVERAGE(L31:L33)/AVERAGE(L28:L30))^4-1,"")</f>
        <v/>
      </c>
      <c r="N33" s="10" t="n">
        <v>81.54000000000001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80.76779999999999</v>
      </c>
      <c r="S33" s="12">
        <f>IF(COUNT(R28:R33)=6,(AVERAGE(R31:R33)/AVERAGE(R28:R30))^4-1,"")</f>
        <v/>
      </c>
      <c r="T33" s="10" t="n">
        <v>80.43000000000001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79.3142</v>
      </c>
      <c r="Y33" s="12">
        <f>IF(COUNT(X28:X33)=6,(AVERAGE(X31:X33)/AVERAGE(X28:X30))^4-1,"")</f>
        <v/>
      </c>
      <c r="Z33" s="10" t="n">
        <v>81.95999999999999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81.92449999999999</v>
      </c>
      <c r="AE33" s="12">
        <f>IF(COUNT(AD28:AD33)=6,(AVERAGE(AD31:AD33)/AVERAGE(AD28:AD30))^4-1,"")</f>
        <v/>
      </c>
      <c r="AF33" s="10" t="n">
        <v>71.53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71.4811</v>
      </c>
      <c r="AK33" s="12">
        <f>IF(COUNT(AJ28:AJ33)=6,(AVERAGE(AJ31:AJ33)/AVERAGE(AJ28:AJ30))^4-1,"")</f>
        <v/>
      </c>
      <c r="AL33" s="10" t="n">
        <v>76.88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76.8203</v>
      </c>
      <c r="AQ33" s="12">
        <f>IF(COUNT(AP28:AP33)=6,(AVERAGE(AP31:AP33)/AVERAGE(AP28:AP30))^4-1,"")</f>
        <v/>
      </c>
      <c r="AR33" s="10" t="n">
        <v>81.86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81.4135</v>
      </c>
      <c r="AW33" s="12">
        <f>IF(COUNT(AV28:AV33)=6,(AVERAGE(AV31:AV33)/AVERAGE(AV28:AV30))^4-1,"")</f>
        <v/>
      </c>
      <c r="AX33" s="10" t="n">
        <v>80.30800000000001</v>
      </c>
      <c r="AY33" s="11">
        <f>IF(ISNUMBER(AX33),AX33/AX$65*100,"")</f>
        <v/>
      </c>
      <c r="AZ33" s="12">
        <f>IF(AND(ISNUMBER(AX33),ISNUMBER(AX32)),AX33/AX32-1,"")</f>
        <v/>
      </c>
      <c r="BA33" s="12">
        <f>IF(AND(ISNUMBER(AX33),ISNUMBER(AX21)),AX33/AX21-1,"")</f>
        <v/>
      </c>
      <c r="BB33" s="11" t="n">
        <v>80.0056</v>
      </c>
      <c r="BC33" s="12">
        <f>IF(COUNT(BB28:BB33)=6,(AVERAGE(BB31:BB33)/AVERAGE(BB28:BB30))^4-1,"")</f>
        <v/>
      </c>
    </row>
    <row r="34">
      <c r="A34" s="9" t="n">
        <v>42887</v>
      </c>
      <c r="B34" s="10" t="n">
        <v>80.70999999999999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79.99639999999999</v>
      </c>
      <c r="G34" s="12">
        <f>IF(COUNT(F29:F34)=6,(AVERAGE(F32:F34)/AVERAGE(F29:F31))^4-1,"")</f>
        <v/>
      </c>
      <c r="H34" s="10" t="n">
        <v>86.02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84.9123</v>
      </c>
      <c r="M34" s="12">
        <f>IF(COUNT(L29:L34)=6,(AVERAGE(L32:L34)/AVERAGE(L29:L31))^4-1,"")</f>
        <v/>
      </c>
      <c r="N34" s="10" t="n">
        <v>81.68000000000001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80.8686</v>
      </c>
      <c r="S34" s="12">
        <f>IF(COUNT(R29:R34)=6,(AVERAGE(R32:R34)/AVERAGE(R29:R31))^4-1,"")</f>
        <v/>
      </c>
      <c r="T34" s="10" t="n">
        <v>80.13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79.119</v>
      </c>
      <c r="Y34" s="12">
        <f>IF(COUNT(X29:X34)=6,(AVERAGE(X32:X34)/AVERAGE(X29:X31))^4-1,"")</f>
        <v/>
      </c>
      <c r="Z34" s="10" t="n">
        <v>82.48999999999999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82.17140000000001</v>
      </c>
      <c r="AE34" s="12">
        <f>IF(COUNT(AD29:AD34)=6,(AVERAGE(AD32:AD34)/AVERAGE(AD29:AD31))^4-1,"")</f>
        <v/>
      </c>
      <c r="AF34" s="10" t="n">
        <v>71.51000000000001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71.3929</v>
      </c>
      <c r="AK34" s="12">
        <f>IF(COUNT(AJ29:AJ34)=6,(AVERAGE(AJ32:AJ34)/AVERAGE(AJ29:AJ31))^4-1,"")</f>
        <v/>
      </c>
      <c r="AL34" s="10" t="n">
        <v>76.19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76.3111</v>
      </c>
      <c r="AQ34" s="12">
        <f>IF(COUNT(AP29:AP34)=6,(AVERAGE(AP32:AP34)/AVERAGE(AP29:AP31))^4-1,"")</f>
        <v/>
      </c>
      <c r="AR34" s="10" t="n">
        <v>81.43000000000001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81.1858</v>
      </c>
      <c r="AW34" s="12">
        <f>IF(COUNT(AV29:AV34)=6,(AVERAGE(AV32:AV34)/AVERAGE(AV29:AV31))^4-1,"")</f>
        <v/>
      </c>
      <c r="AX34" s="10" t="n">
        <v>80.343</v>
      </c>
      <c r="AY34" s="11">
        <f>IF(ISNUMBER(AX34),AX34/AX$65*100,"")</f>
        <v/>
      </c>
      <c r="AZ34" s="12">
        <f>IF(AND(ISNUMBER(AX34),ISNUMBER(AX33)),AX34/AX33-1,"")</f>
        <v/>
      </c>
      <c r="BA34" s="12">
        <f>IF(AND(ISNUMBER(AX34),ISNUMBER(AX22)),AX34/AX22-1,"")</f>
        <v/>
      </c>
      <c r="BB34" s="11" t="n">
        <v>79.95999999999999</v>
      </c>
      <c r="BC34" s="12">
        <f>IF(COUNT(BB29:BB34)=6,(AVERAGE(BB32:BB34)/AVERAGE(BB29:BB31))^4-1,"")</f>
        <v/>
      </c>
    </row>
    <row r="35">
      <c r="A35" s="9" t="n">
        <v>42917</v>
      </c>
      <c r="B35" s="10" t="n">
        <v>79.73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80.07850000000001</v>
      </c>
      <c r="G35" s="12">
        <f>IF(COUNT(F30:F35)=6,(AVERAGE(F33:F35)/AVERAGE(F30:F32))^4-1,"")</f>
        <v/>
      </c>
      <c r="H35" s="10" t="n">
        <v>84.56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85.12269999999999</v>
      </c>
      <c r="M35" s="12">
        <f>IF(COUNT(L30:L35)=6,(AVERAGE(L33:L35)/AVERAGE(L30:L32))^4-1,"")</f>
        <v/>
      </c>
      <c r="N35" s="10" t="n">
        <v>80.62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81.0573</v>
      </c>
      <c r="S35" s="12">
        <f>IF(COUNT(R30:R35)=6,(AVERAGE(R33:R35)/AVERAGE(R30:R32))^4-1,"")</f>
        <v/>
      </c>
      <c r="T35" s="10" t="n">
        <v>77.97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79.0549</v>
      </c>
      <c r="Y35" s="12">
        <f>IF(COUNT(X30:X35)=6,(AVERAGE(X33:X35)/AVERAGE(X30:X32))^4-1,"")</f>
        <v/>
      </c>
      <c r="Z35" s="10" t="n">
        <v>83.09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82.35890000000001</v>
      </c>
      <c r="AE35" s="12">
        <f>IF(COUNT(AD30:AD35)=6,(AVERAGE(AD33:AD35)/AVERAGE(AD30:AD32))^4-1,"")</f>
        <v/>
      </c>
      <c r="AF35" s="10" t="n">
        <v>71.48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71.66889999999999</v>
      </c>
      <c r="AK35" s="12">
        <f>IF(COUNT(AJ30:AJ35)=6,(AVERAGE(AJ33:AJ35)/AVERAGE(AJ30:AJ32))^4-1,"")</f>
        <v/>
      </c>
      <c r="AL35" s="10" t="n">
        <v>75.76000000000001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76.1285</v>
      </c>
      <c r="AQ35" s="12">
        <f>IF(COUNT(AP30:AP35)=6,(AVERAGE(AP33:AP35)/AVERAGE(AP30:AP32))^4-1,"")</f>
        <v/>
      </c>
      <c r="AR35" s="10" t="n">
        <v>81.40000000000001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81.22539999999999</v>
      </c>
      <c r="AW35" s="12">
        <f>IF(COUNT(AV30:AV35)=6,(AVERAGE(AV33:AV35)/AVERAGE(AV30:AV32))^4-1,"")</f>
        <v/>
      </c>
      <c r="AX35" s="10" t="n">
        <v>79.788</v>
      </c>
      <c r="AY35" s="11">
        <f>IF(ISNUMBER(AX35),AX35/AX$65*100,"")</f>
        <v/>
      </c>
      <c r="AZ35" s="12">
        <f>IF(AND(ISNUMBER(AX35),ISNUMBER(AX34)),AX35/AX34-1,"")</f>
        <v/>
      </c>
      <c r="BA35" s="12">
        <f>IF(AND(ISNUMBER(AX35),ISNUMBER(AX23)),AX35/AX23-1,"")</f>
        <v/>
      </c>
      <c r="BB35" s="11" t="n">
        <v>80.0055</v>
      </c>
      <c r="BC35" s="12">
        <f>IF(COUNT(BB30:BB35)=6,(AVERAGE(BB33:BB35)/AVERAGE(BB30:BB32))^4-1,"")</f>
        <v/>
      </c>
    </row>
    <row r="36">
      <c r="A36" s="9" t="n">
        <v>42948</v>
      </c>
      <c r="B36" s="10" t="n">
        <v>79.87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80.26560000000001</v>
      </c>
      <c r="G36" s="12">
        <f>IF(COUNT(F31:F36)=6,(AVERAGE(F34:F36)/AVERAGE(F31:F33))^4-1,"")</f>
        <v/>
      </c>
      <c r="H36" s="10" t="n">
        <v>84.67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85.26439999999999</v>
      </c>
      <c r="M36" s="12">
        <f>IF(COUNT(L31:L36)=6,(AVERAGE(L34:L36)/AVERAGE(L31:L33))^4-1,"")</f>
        <v/>
      </c>
      <c r="N36" s="10" t="n">
        <v>80.68000000000001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81.1259</v>
      </c>
      <c r="S36" s="12">
        <f>IF(COUNT(R31:R36)=6,(AVERAGE(R34:R36)/AVERAGE(R31:R33))^4-1,"")</f>
        <v/>
      </c>
      <c r="T36" s="10" t="n">
        <v>77.92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79.2527</v>
      </c>
      <c r="Y36" s="12">
        <f>IF(COUNT(X31:X36)=6,(AVERAGE(X34:X36)/AVERAGE(X31:X33))^4-1,"")</f>
        <v/>
      </c>
      <c r="Z36" s="10" t="n">
        <v>83.47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82.5562</v>
      </c>
      <c r="AE36" s="12">
        <f>IF(COUNT(AD31:AD36)=6,(AVERAGE(AD34:AD36)/AVERAGE(AD31:AD33))^4-1,"")</f>
        <v/>
      </c>
      <c r="AF36" s="10" t="n">
        <v>71.40000000000001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71.5382</v>
      </c>
      <c r="AK36" s="12">
        <f>IF(COUNT(AJ31:AJ36)=6,(AVERAGE(AJ34:AJ36)/AVERAGE(AJ31:AJ33))^4-1,"")</f>
        <v/>
      </c>
      <c r="AL36" s="10" t="n">
        <v>76.53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77.02979999999999</v>
      </c>
      <c r="AQ36" s="12">
        <f>IF(COUNT(AP31:AP36)=6,(AVERAGE(AP34:AP36)/AVERAGE(AP31:AP33))^4-1,"")</f>
        <v/>
      </c>
      <c r="AR36" s="10" t="n">
        <v>82.06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82.0676</v>
      </c>
      <c r="AW36" s="12">
        <f>IF(COUNT(AV31:AV36)=6,(AVERAGE(AV34:AV36)/AVERAGE(AV31:AV33))^4-1,"")</f>
        <v/>
      </c>
      <c r="AX36" s="10" t="n">
        <v>79.947</v>
      </c>
      <c r="AY36" s="11">
        <f>IF(ISNUMBER(AX36),AX36/AX$65*100,"")</f>
        <v/>
      </c>
      <c r="AZ36" s="12">
        <f>IF(AND(ISNUMBER(AX36),ISNUMBER(AX35)),AX36/AX35-1,"")</f>
        <v/>
      </c>
      <c r="BA36" s="12">
        <f>IF(AND(ISNUMBER(AX36),ISNUMBER(AX24)),AX36/AX24-1,"")</f>
        <v/>
      </c>
      <c r="BB36" s="11" t="n">
        <v>80.1544</v>
      </c>
      <c r="BC36" s="12">
        <f>IF(COUNT(BB31:BB36)=6,(AVERAGE(BB34:BB36)/AVERAGE(BB31:BB33))^4-1,"")</f>
        <v/>
      </c>
    </row>
    <row r="37">
      <c r="A37" s="9" t="n">
        <v>42979</v>
      </c>
      <c r="B37" s="10" t="n">
        <v>80.34999999999999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80.34699999999999</v>
      </c>
      <c r="G37" s="12">
        <f>IF(COUNT(F32:F37)=6,(AVERAGE(F35:F37)/AVERAGE(F32:F34))^4-1,"")</f>
        <v/>
      </c>
      <c r="H37" s="10" t="n">
        <v>85.23999999999999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85.1541</v>
      </c>
      <c r="M37" s="12">
        <f>IF(COUNT(L32:L37)=6,(AVERAGE(L35:L37)/AVERAGE(L32:L34))^4-1,"")</f>
        <v/>
      </c>
      <c r="N37" s="10" t="n">
        <v>81.14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81.1386</v>
      </c>
      <c r="S37" s="12">
        <f>IF(COUNT(R32:R37)=6,(AVERAGE(R35:R37)/AVERAGE(R32:R34))^4-1,"")</f>
        <v/>
      </c>
      <c r="T37" s="10" t="n">
        <v>79.26000000000001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79.4036</v>
      </c>
      <c r="Y37" s="12">
        <f>IF(COUNT(X32:X37)=6,(AVERAGE(X35:X37)/AVERAGE(X32:X34))^4-1,"")</f>
        <v/>
      </c>
      <c r="Z37" s="10" t="n">
        <v>82.81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82.6285</v>
      </c>
      <c r="AE37" s="12">
        <f>IF(COUNT(AD32:AD37)=6,(AVERAGE(AD35:AD37)/AVERAGE(AD32:AD34))^4-1,"")</f>
        <v/>
      </c>
      <c r="AF37" s="10" t="n">
        <v>71.56999999999999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71.7804</v>
      </c>
      <c r="AK37" s="12">
        <f>IF(COUNT(AJ32:AJ37)=6,(AVERAGE(AJ35:AJ37)/AVERAGE(AJ32:AJ34))^4-1,"")</f>
        <v/>
      </c>
      <c r="AL37" s="10" t="n">
        <v>77.27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77.48990000000001</v>
      </c>
      <c r="AQ37" s="12">
        <f>IF(COUNT(AP32:AP37)=6,(AVERAGE(AP35:AP37)/AVERAGE(AP32:AP34))^4-1,"")</f>
        <v/>
      </c>
      <c r="AR37" s="10" t="n">
        <v>82.53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82.61020000000001</v>
      </c>
      <c r="AW37" s="12">
        <f>IF(COUNT(AV32:AV37)=6,(AVERAGE(AV35:AV37)/AVERAGE(AV32:AV34))^4-1,"")</f>
        <v/>
      </c>
      <c r="AX37" s="10" t="n">
        <v>80.086</v>
      </c>
      <c r="AY37" s="11">
        <f>IF(ISNUMBER(AX37),AX37/AX$65*100,"")</f>
        <v/>
      </c>
      <c r="AZ37" s="12">
        <f>IF(AND(ISNUMBER(AX37),ISNUMBER(AX36)),AX37/AX36-1,"")</f>
        <v/>
      </c>
      <c r="BA37" s="12">
        <f>IF(AND(ISNUMBER(AX37),ISNUMBER(AX25)),AX37/AX25-1,"")</f>
        <v/>
      </c>
      <c r="BB37" s="11" t="n">
        <v>80.2777</v>
      </c>
      <c r="BC37" s="12">
        <f>IF(COUNT(BB32:BB37)=6,(AVERAGE(BB35:BB37)/AVERAGE(BB32:BB34))^4-1,"")</f>
        <v/>
      </c>
    </row>
    <row r="38">
      <c r="A38" s="9" t="n">
        <v>43009</v>
      </c>
      <c r="B38" s="10" t="n">
        <v>80.86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80.45310000000001</v>
      </c>
      <c r="G38" s="12">
        <f>IF(COUNT(F33:F38)=6,(AVERAGE(F36:F38)/AVERAGE(F33:F35))^4-1,"")</f>
        <v/>
      </c>
      <c r="H38" s="10" t="n">
        <v>85.47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85.0894</v>
      </c>
      <c r="M38" s="12">
        <f>IF(COUNT(L33:L38)=6,(AVERAGE(L36:L38)/AVERAGE(L33:L35))^4-1,"")</f>
        <v/>
      </c>
      <c r="N38" s="10" t="n">
        <v>81.51000000000001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81.1567</v>
      </c>
      <c r="S38" s="12">
        <f>IF(COUNT(R33:R38)=6,(AVERAGE(R36:R38)/AVERAGE(R33:R35))^4-1,"")</f>
        <v/>
      </c>
      <c r="T38" s="10" t="n">
        <v>80.5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79.6354</v>
      </c>
      <c r="Y38" s="12">
        <f>IF(COUNT(X33:X38)=6,(AVERAGE(X36:X38)/AVERAGE(X33:X35))^4-1,"")</f>
        <v/>
      </c>
      <c r="Z38" s="10" t="n">
        <v>82.31999999999999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82.593</v>
      </c>
      <c r="AE38" s="12">
        <f>IF(COUNT(AD33:AD38)=6,(AVERAGE(AD36:AD38)/AVERAGE(AD33:AD35))^4-1,"")</f>
        <v/>
      </c>
      <c r="AF38" s="10" t="n">
        <v>72.33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71.9984</v>
      </c>
      <c r="AK38" s="12">
        <f>IF(COUNT(AJ33:AJ38)=6,(AVERAGE(AJ36:AJ38)/AVERAGE(AJ33:AJ35))^4-1,"")</f>
        <v/>
      </c>
      <c r="AL38" s="10" t="n">
        <v>78.81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77.6687</v>
      </c>
      <c r="AQ38" s="12">
        <f>IF(COUNT(AP33:AP38)=6,(AVERAGE(AP36:AP38)/AVERAGE(AP33:AP35))^4-1,"")</f>
        <v/>
      </c>
      <c r="AR38" s="10" t="n">
        <v>82.47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82.55329999999999</v>
      </c>
      <c r="AW38" s="12">
        <f>IF(COUNT(AV33:AV38)=6,(AVERAGE(AV36:AV38)/AVERAGE(AV33:AV35))^4-1,"")</f>
        <v/>
      </c>
      <c r="AX38" s="10" t="n">
        <v>80.825</v>
      </c>
      <c r="AY38" s="11">
        <f>IF(ISNUMBER(AX38),AX38/AX$65*100,"")</f>
        <v/>
      </c>
      <c r="AZ38" s="12">
        <f>IF(AND(ISNUMBER(AX38),ISNUMBER(AX37)),AX38/AX37-1,"")</f>
        <v/>
      </c>
      <c r="BA38" s="12">
        <f>IF(AND(ISNUMBER(AX38),ISNUMBER(AX26)),AX38/AX26-1,"")</f>
        <v/>
      </c>
      <c r="BB38" s="11" t="n">
        <v>80.45099999999999</v>
      </c>
      <c r="BC38" s="12">
        <f>IF(COUNT(BB33:BB38)=6,(AVERAGE(BB36:BB38)/AVERAGE(BB33:BB35))^4-1,"")</f>
        <v/>
      </c>
    </row>
    <row r="39">
      <c r="A39" s="9" t="n">
        <v>43040</v>
      </c>
      <c r="B39" s="10" t="n">
        <v>81.12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80.7289</v>
      </c>
      <c r="G39" s="12">
        <f>IF(COUNT(F34:F39)=6,(AVERAGE(F37:F39)/AVERAGE(F34:F36))^4-1,"")</f>
        <v/>
      </c>
      <c r="H39" s="10" t="n">
        <v>85.65000000000001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85.1437</v>
      </c>
      <c r="M39" s="12">
        <f>IF(COUNT(L34:L39)=6,(AVERAGE(L37:L39)/AVERAGE(L34:L36))^4-1,"")</f>
        <v/>
      </c>
      <c r="N39" s="10" t="n">
        <v>81.59999999999999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81.23139999999999</v>
      </c>
      <c r="S39" s="12">
        <f>IF(COUNT(R34:R39)=6,(AVERAGE(R37:R39)/AVERAGE(R34:R36))^4-1,"")</f>
        <v/>
      </c>
      <c r="T39" s="10" t="n">
        <v>81.18000000000001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80.1039</v>
      </c>
      <c r="Y39" s="12">
        <f>IF(COUNT(X34:X39)=6,(AVERAGE(X37:X39)/AVERAGE(X34:X36))^4-1,"")</f>
        <v/>
      </c>
      <c r="Z39" s="10" t="n">
        <v>82.03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82.6386</v>
      </c>
      <c r="AE39" s="12">
        <f>IF(COUNT(AD34:AD39)=6,(AVERAGE(AD37:AD39)/AVERAGE(AD34:AD36))^4-1,"")</f>
        <v/>
      </c>
      <c r="AF39" s="10" t="n">
        <v>72.18000000000001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72.11620000000001</v>
      </c>
      <c r="AK39" s="12">
        <f>IF(COUNT(AJ34:AJ39)=6,(AVERAGE(AJ37:AJ39)/AVERAGE(AJ34:AJ36))^4-1,"")</f>
        <v/>
      </c>
      <c r="AL39" s="10" t="n">
        <v>80.42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79.79810000000001</v>
      </c>
      <c r="AQ39" s="12">
        <f>IF(COUNT(AP34:AP39)=6,(AVERAGE(AP37:AP39)/AVERAGE(AP34:AP36))^4-1,"")</f>
        <v/>
      </c>
      <c r="AR39" s="10" t="n">
        <v>83.20999999999999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83.542</v>
      </c>
      <c r="AW39" s="12">
        <f>IF(COUNT(AV34:AV39)=6,(AVERAGE(AV37:AV39)/AVERAGE(AV34:AV36))^4-1,"")</f>
        <v/>
      </c>
      <c r="AX39" s="10" t="n">
        <v>81.194</v>
      </c>
      <c r="AY39" s="11">
        <f>IF(ISNUMBER(AX39),AX39/AX$65*100,"")</f>
        <v/>
      </c>
      <c r="AZ39" s="12">
        <f>IF(AND(ISNUMBER(AX39),ISNUMBER(AX38)),AX39/AX38-1,"")</f>
        <v/>
      </c>
      <c r="BA39" s="12">
        <f>IF(AND(ISNUMBER(AX39),ISNUMBER(AX27)),AX39/AX27-1,"")</f>
        <v/>
      </c>
      <c r="BB39" s="11" t="n">
        <v>80.7286</v>
      </c>
      <c r="BC39" s="12">
        <f>IF(COUNT(BB34:BB39)=6,(AVERAGE(BB37:BB39)/AVERAGE(BB34:BB36))^4-1,"")</f>
        <v/>
      </c>
    </row>
    <row r="40">
      <c r="A40" s="9" t="n">
        <v>43070</v>
      </c>
      <c r="B40" s="10" t="n">
        <v>81.12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80.8451</v>
      </c>
      <c r="G40" s="12">
        <f>IF(COUNT(F35:F40)=6,(AVERAGE(F38:F40)/AVERAGE(F35:F37))^4-1,"")</f>
        <v/>
      </c>
      <c r="H40" s="10" t="n">
        <v>85.62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85.22150000000001</v>
      </c>
      <c r="M40" s="12">
        <f>IF(COUNT(L35:L40)=6,(AVERAGE(L38:L40)/AVERAGE(L35:L37))^4-1,"")</f>
        <v/>
      </c>
      <c r="N40" s="10" t="n">
        <v>81.58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81.3073</v>
      </c>
      <c r="S40" s="12">
        <f>IF(COUNT(R35:R40)=6,(AVERAGE(R38:R40)/AVERAGE(R35:R37))^4-1,"")</f>
        <v/>
      </c>
      <c r="T40" s="10" t="n">
        <v>80.95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80.2383</v>
      </c>
      <c r="Y40" s="12">
        <f>IF(COUNT(X35:X40)=6,(AVERAGE(X38:X40)/AVERAGE(X35:X37))^4-1,"")</f>
        <v/>
      </c>
      <c r="Z40" s="10" t="n">
        <v>82.34999999999999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82.73050000000001</v>
      </c>
      <c r="AE40" s="12">
        <f>IF(COUNT(AD35:AD40)=6,(AVERAGE(AD38:AD40)/AVERAGE(AD35:AD37))^4-1,"")</f>
        <v/>
      </c>
      <c r="AF40" s="10" t="n">
        <v>72.17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72.2419</v>
      </c>
      <c r="AK40" s="12">
        <f>IF(COUNT(AJ35:AJ40)=6,(AVERAGE(AJ38:AJ40)/AVERAGE(AJ35:AJ37))^4-1,"")</f>
        <v/>
      </c>
      <c r="AL40" s="10" t="n">
        <v>80.67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80.9705</v>
      </c>
      <c r="AQ40" s="12">
        <f>IF(COUNT(AP35:AP40)=6,(AVERAGE(AP38:AP40)/AVERAGE(AP35:AP37))^4-1,"")</f>
        <v/>
      </c>
      <c r="AR40" s="10" t="n">
        <v>83.33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83.9995</v>
      </c>
      <c r="AW40" s="12">
        <f>IF(COUNT(AV35:AV40)=6,(AVERAGE(AV38:AV40)/AVERAGE(AV35:AV37))^4-1,"")</f>
        <v/>
      </c>
      <c r="AX40" s="10" t="n">
        <v>81.23099999999999</v>
      </c>
      <c r="AY40" s="11">
        <f>IF(ISNUMBER(AX40),AX40/AX$65*100,"")</f>
        <v/>
      </c>
      <c r="AZ40" s="12">
        <f>IF(AND(ISNUMBER(AX40),ISNUMBER(AX39)),AX40/AX39-1,"")</f>
        <v/>
      </c>
      <c r="BA40" s="12">
        <f>IF(AND(ISNUMBER(AX40),ISNUMBER(AX28)),AX40/AX28-1,"")</f>
        <v/>
      </c>
      <c r="BB40" s="11" t="n">
        <v>80.834</v>
      </c>
      <c r="BC40" s="12">
        <f>IF(COUNT(BB35:BB40)=6,(AVERAGE(BB38:BB40)/AVERAGE(BB35:BB37))^4-1,"")</f>
        <v/>
      </c>
    </row>
    <row r="41">
      <c r="A41" s="9" t="n">
        <v>43101</v>
      </c>
      <c r="B41" s="10" t="n">
        <v>79.93000000000001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81.0433</v>
      </c>
      <c r="G41" s="12">
        <f>IF(COUNT(F36:F41)=6,(AVERAGE(F39:F41)/AVERAGE(F36:F38))^4-1,"")</f>
        <v/>
      </c>
      <c r="H41" s="10" t="n">
        <v>83.61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85.38039999999999</v>
      </c>
      <c r="M41" s="12">
        <f>IF(COUNT(L36:L41)=6,(AVERAGE(L39:L41)/AVERAGE(L36:L38))^4-1,"")</f>
        <v/>
      </c>
      <c r="N41" s="10" t="n">
        <v>80.19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81.4038</v>
      </c>
      <c r="S41" s="12">
        <f>IF(COUNT(R36:R41)=6,(AVERAGE(R39:R41)/AVERAGE(R36:R38))^4-1,"")</f>
        <v/>
      </c>
      <c r="T41" s="10" t="n">
        <v>79.02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80.3817</v>
      </c>
      <c r="Y41" s="12">
        <f>IF(COUNT(X36:X41)=6,(AVERAGE(X39:X41)/AVERAGE(X36:X38))^4-1,"")</f>
        <v/>
      </c>
      <c r="Z41" s="10" t="n">
        <v>82.12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82.85469999999999</v>
      </c>
      <c r="AE41" s="12">
        <f>IF(COUNT(AD36:AD41)=6,(AVERAGE(AD39:AD41)/AVERAGE(AD36:AD38))^4-1,"")</f>
        <v/>
      </c>
      <c r="AF41" s="10" t="n">
        <v>72.40000000000001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72.26479999999999</v>
      </c>
      <c r="AK41" s="12">
        <f>IF(COUNT(AJ36:AJ41)=6,(AVERAGE(AJ39:AJ41)/AVERAGE(AJ36:AJ38))^4-1,"")</f>
        <v/>
      </c>
      <c r="AL41" s="10" t="n">
        <v>80.90000000000001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80.5256</v>
      </c>
      <c r="AQ41" s="12">
        <f>IF(COUNT(AP36:AP41)=6,(AVERAGE(AP39:AP41)/AVERAGE(AP36:AP38))^4-1,"")</f>
        <v/>
      </c>
      <c r="AR41" s="10" t="n">
        <v>83.98999999999999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83.5883</v>
      </c>
      <c r="AW41" s="12">
        <f>IF(COUNT(AV36:AV41)=6,(AVERAGE(AV39:AV41)/AVERAGE(AV36:AV38))^4-1,"")</f>
        <v/>
      </c>
      <c r="AX41" s="10" t="n">
        <v>80.355</v>
      </c>
      <c r="AY41" s="11">
        <f>IF(ISNUMBER(AX41),AX41/AX$65*100,"")</f>
        <v/>
      </c>
      <c r="AZ41" s="12">
        <f>IF(AND(ISNUMBER(AX41),ISNUMBER(AX40)),AX41/AX40-1,"")</f>
        <v/>
      </c>
      <c r="BA41" s="12">
        <f>IF(AND(ISNUMBER(AX41),ISNUMBER(AX29)),AX41/AX29-1,"")</f>
        <v/>
      </c>
      <c r="BB41" s="11" t="n">
        <v>80.9524</v>
      </c>
      <c r="BC41" s="12">
        <f>IF(COUNT(BB36:BB41)=6,(AVERAGE(BB39:BB41)/AVERAGE(BB36:BB38))^4-1,"")</f>
        <v/>
      </c>
    </row>
    <row r="42">
      <c r="A42" s="9" t="n">
        <v>43132</v>
      </c>
      <c r="B42" s="10" t="n">
        <v>80.04000000000001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80.98520000000001</v>
      </c>
      <c r="G42" s="12">
        <f>IF(COUNT(F37:F42)=6,(AVERAGE(F40:F42)/AVERAGE(F37:F39))^4-1,"")</f>
        <v/>
      </c>
      <c r="H42" s="10" t="n">
        <v>83.89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85.6279</v>
      </c>
      <c r="M42" s="12">
        <f>IF(COUNT(L37:L42)=6,(AVERAGE(L40:L42)/AVERAGE(L37:L39))^4-1,"")</f>
        <v/>
      </c>
      <c r="N42" s="10" t="n">
        <v>80.38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81.587</v>
      </c>
      <c r="S42" s="12">
        <f>IF(COUNT(R37:R42)=6,(AVERAGE(R40:R42)/AVERAGE(R37:R39))^4-1,"")</f>
        <v/>
      </c>
      <c r="T42" s="10" t="n">
        <v>78.76000000000001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80.11239999999999</v>
      </c>
      <c r="Y42" s="12">
        <f>IF(COUNT(X37:X42)=6,(AVERAGE(X40:X42)/AVERAGE(X37:X39))^4-1,"")</f>
        <v/>
      </c>
      <c r="Z42" s="10" t="n">
        <v>82.75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83.1635</v>
      </c>
      <c r="AE42" s="12">
        <f>IF(COUNT(AD37:AD42)=6,(AVERAGE(AD40:AD42)/AVERAGE(AD37:AD39))^4-1,"")</f>
        <v/>
      </c>
      <c r="AF42" s="10" t="n">
        <v>72.33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72.24120000000001</v>
      </c>
      <c r="AK42" s="12">
        <f>IF(COUNT(AJ37:AJ42)=6,(AVERAGE(AJ40:AJ42)/AVERAGE(AJ37:AJ39))^4-1,"")</f>
        <v/>
      </c>
      <c r="AL42" s="10" t="n">
        <v>80.48999999999999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79.95310000000001</v>
      </c>
      <c r="AQ42" s="12">
        <f>IF(COUNT(AP37:AP42)=6,(AVERAGE(AP40:AP42)/AVERAGE(AP37:AP39))^4-1,"")</f>
        <v/>
      </c>
      <c r="AR42" s="10" t="n">
        <v>83.53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83.3646</v>
      </c>
      <c r="AW42" s="12">
        <f>IF(COUNT(AV37:AV42)=6,(AVERAGE(AV40:AV42)/AVERAGE(AV37:AV39))^4-1,"")</f>
        <v/>
      </c>
      <c r="AX42" s="10" t="n">
        <v>80.46299999999999</v>
      </c>
      <c r="AY42" s="11">
        <f>IF(ISNUMBER(AX42),AX42/AX$65*100,"")</f>
        <v/>
      </c>
      <c r="AZ42" s="12">
        <f>IF(AND(ISNUMBER(AX42),ISNUMBER(AX41)),AX42/AX41-1,"")</f>
        <v/>
      </c>
      <c r="BA42" s="12">
        <f>IF(AND(ISNUMBER(AX42),ISNUMBER(AX30)),AX42/AX30-1,"")</f>
        <v/>
      </c>
      <c r="BB42" s="11" t="n">
        <v>80.873</v>
      </c>
      <c r="BC42" s="12">
        <f>IF(COUNT(BB37:BB42)=6,(AVERAGE(BB40:BB42)/AVERAGE(BB37:BB39))^4-1,"")</f>
        <v/>
      </c>
    </row>
    <row r="43">
      <c r="A43" s="9" t="n">
        <v>43160</v>
      </c>
      <c r="B43" s="10" t="n">
        <v>81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81.0964</v>
      </c>
      <c r="G43" s="12">
        <f>IF(COUNT(F38:F43)=6,(AVERAGE(F41:F43)/AVERAGE(F38:F40))^4-1,"")</f>
        <v/>
      </c>
      <c r="H43" s="10" t="n">
        <v>85.73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85.633</v>
      </c>
      <c r="M43" s="12">
        <f>IF(COUNT(L38:L43)=6,(AVERAGE(L41:L43)/AVERAGE(L38:L40))^4-1,"")</f>
        <v/>
      </c>
      <c r="N43" s="10" t="n">
        <v>81.73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81.6628</v>
      </c>
      <c r="S43" s="12">
        <f>IF(COUNT(R38:R43)=6,(AVERAGE(R41:R43)/AVERAGE(R38:R40))^4-1,"")</f>
        <v/>
      </c>
      <c r="T43" s="10" t="n">
        <v>80.14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80.202</v>
      </c>
      <c r="Y43" s="12">
        <f>IF(COUNT(X38:X43)=6,(AVERAGE(X41:X43)/AVERAGE(X38:X40))^4-1,"")</f>
        <v/>
      </c>
      <c r="Z43" s="10" t="n">
        <v>83.15000000000001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83.3712</v>
      </c>
      <c r="AE43" s="12">
        <f>IF(COUNT(AD38:AD43)=6,(AVERAGE(AD41:AD43)/AVERAGE(AD38:AD40))^4-1,"")</f>
        <v/>
      </c>
      <c r="AF43" s="10" t="n">
        <v>72.42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72.49250000000001</v>
      </c>
      <c r="AK43" s="12">
        <f>IF(COUNT(AJ38:AJ43)=6,(AVERAGE(AJ41:AJ43)/AVERAGE(AJ38:AJ40))^4-1,"")</f>
        <v/>
      </c>
      <c r="AL43" s="10" t="n">
        <v>78.41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79.6199</v>
      </c>
      <c r="AQ43" s="12">
        <f>IF(COUNT(AP38:AP43)=6,(AVERAGE(AP41:AP43)/AVERAGE(AP38:AP40))^4-1,"")</f>
        <v/>
      </c>
      <c r="AR43" s="10" t="n">
        <v>83.48999999999999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83.9307</v>
      </c>
      <c r="AW43" s="12">
        <f>IF(COUNT(AV38:AV43)=6,(AVERAGE(AV41:AV43)/AVERAGE(AV38:AV40))^4-1,"")</f>
        <v/>
      </c>
      <c r="AX43" s="10" t="n">
        <v>80.55800000000001</v>
      </c>
      <c r="AY43" s="11">
        <f>IF(ISNUMBER(AX43),AX43/AX$65*100,"")</f>
        <v/>
      </c>
      <c r="AZ43" s="12">
        <f>IF(AND(ISNUMBER(AX43),ISNUMBER(AX42)),AX43/AX42-1,"")</f>
        <v/>
      </c>
      <c r="BA43" s="12">
        <f>IF(AND(ISNUMBER(AX43),ISNUMBER(AX31)),AX43/AX31-1,"")</f>
        <v/>
      </c>
      <c r="BB43" s="11" t="n">
        <v>81.02460000000001</v>
      </c>
      <c r="BC43" s="12">
        <f>IF(COUNT(BB38:BB43)=6,(AVERAGE(BB41:BB43)/AVERAGE(BB38:BB40))^4-1,"")</f>
        <v/>
      </c>
    </row>
    <row r="44">
      <c r="A44" s="9" t="n">
        <v>43191</v>
      </c>
      <c r="B44" s="10" t="n">
        <v>81.61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81.157</v>
      </c>
      <c r="G44" s="12">
        <f>IF(COUNT(F39:F44)=6,(AVERAGE(F42:F44)/AVERAGE(F39:F41))^4-1,"")</f>
        <v/>
      </c>
      <c r="H44" s="10" t="n">
        <v>86.45999999999999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85.5219</v>
      </c>
      <c r="M44" s="12">
        <f>IF(COUNT(L39:L44)=6,(AVERAGE(L42:L44)/AVERAGE(L39:L41))^4-1,"")</f>
        <v/>
      </c>
      <c r="N44" s="10" t="n">
        <v>82.27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81.66249999999999</v>
      </c>
      <c r="S44" s="12">
        <f>IF(COUNT(R39:R44)=6,(AVERAGE(R42:R44)/AVERAGE(R39:R41))^4-1,"")</f>
        <v/>
      </c>
      <c r="T44" s="10" t="n">
        <v>81.16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80.4528</v>
      </c>
      <c r="Y44" s="12">
        <f>IF(COUNT(X39:X44)=6,(AVERAGE(X42:X44)/AVERAGE(X39:X41))^4-1,"")</f>
        <v/>
      </c>
      <c r="Z44" s="10" t="n">
        <v>83.22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82.9447</v>
      </c>
      <c r="AE44" s="12">
        <f>IF(COUNT(AD39:AD44)=6,(AVERAGE(AD42:AD44)/AVERAGE(AD39:AD41))^4-1,"")</f>
        <v/>
      </c>
      <c r="AF44" s="10" t="n">
        <v>72.51000000000001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72.62569999999999</v>
      </c>
      <c r="AK44" s="12">
        <f>IF(COUNT(AJ39:AJ44)=6,(AVERAGE(AJ42:AJ44)/AVERAGE(AJ39:AJ41))^4-1,"")</f>
        <v/>
      </c>
      <c r="AL44" s="10" t="n">
        <v>79.56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79.6108</v>
      </c>
      <c r="AQ44" s="12">
        <f>IF(COUNT(AP39:AP44)=6,(AVERAGE(AP42:AP44)/AVERAGE(AP39:AP41))^4-1,"")</f>
        <v/>
      </c>
      <c r="AR44" s="10" t="n">
        <v>84.40000000000001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84.1859</v>
      </c>
      <c r="AW44" s="12">
        <f>IF(COUNT(AV39:AV44)=6,(AVERAGE(AV42:AV44)/AVERAGE(AV39:AV41))^4-1,"")</f>
        <v/>
      </c>
      <c r="AX44" s="10" t="n">
        <v>81.224</v>
      </c>
      <c r="AY44" s="11">
        <f>IF(ISNUMBER(AX44),AX44/AX$65*100,"")</f>
        <v/>
      </c>
      <c r="AZ44" s="12">
        <f>IF(AND(ISNUMBER(AX44),ISNUMBER(AX43)),AX44/AX43-1,"")</f>
        <v/>
      </c>
      <c r="BA44" s="12">
        <f>IF(AND(ISNUMBER(AX44),ISNUMBER(AX32)),AX44/AX32-1,"")</f>
        <v/>
      </c>
      <c r="BB44" s="11" t="n">
        <v>81.0865</v>
      </c>
      <c r="BC44" s="12">
        <f>IF(COUNT(BB39:BB44)=6,(AVERAGE(BB42:BB44)/AVERAGE(BB39:BB41))^4-1,"")</f>
        <v/>
      </c>
    </row>
    <row r="45">
      <c r="A45" s="9" t="n">
        <v>43221</v>
      </c>
      <c r="B45" s="10" t="n">
        <v>82.37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81.7376</v>
      </c>
      <c r="G45" s="12">
        <f>IF(COUNT(F40:F45)=6,(AVERAGE(F43:F45)/AVERAGE(F40:F42))^4-1,"")</f>
        <v/>
      </c>
      <c r="H45" s="10" t="n">
        <v>86.88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85.8503</v>
      </c>
      <c r="M45" s="12">
        <f>IF(COUNT(L40:L45)=6,(AVERAGE(L43:L45)/AVERAGE(L40:L42))^4-1,"")</f>
        <v/>
      </c>
      <c r="N45" s="10" t="n">
        <v>82.70999999999999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81.9328</v>
      </c>
      <c r="S45" s="12">
        <f>IF(COUNT(R40:R45)=6,(AVERAGE(R43:R45)/AVERAGE(R40:R42))^4-1,"")</f>
        <v/>
      </c>
      <c r="T45" s="10" t="n">
        <v>82.27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81.1563</v>
      </c>
      <c r="Y45" s="12">
        <f>IF(COUNT(X40:X45)=6,(AVERAGE(X43:X45)/AVERAGE(X40:X42))^4-1,"")</f>
        <v/>
      </c>
      <c r="Z45" s="10" t="n">
        <v>83.51000000000001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83.4456</v>
      </c>
      <c r="AE45" s="12">
        <f>IF(COUNT(AD40:AD45)=6,(AVERAGE(AD43:AD45)/AVERAGE(AD40:AD42))^4-1,"")</f>
        <v/>
      </c>
      <c r="AF45" s="10" t="n">
        <v>72.97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72.8777</v>
      </c>
      <c r="AK45" s="12">
        <f>IF(COUNT(AJ40:AJ45)=6,(AVERAGE(AJ43:AJ45)/AVERAGE(AJ40:AJ42))^4-1,"")</f>
        <v/>
      </c>
      <c r="AL45" s="10" t="n">
        <v>82.89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82.82769999999999</v>
      </c>
      <c r="AQ45" s="12">
        <f>IF(COUNT(AP40:AP45)=6,(AVERAGE(AP43:AP45)/AVERAGE(AP40:AP42))^4-1,"")</f>
        <v/>
      </c>
      <c r="AR45" s="10" t="n">
        <v>85.95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85.4516</v>
      </c>
      <c r="AW45" s="12">
        <f>IF(COUNT(AV40:AV45)=6,(AVERAGE(AV43:AV45)/AVERAGE(AV40:AV42))^4-1,"")</f>
        <v/>
      </c>
      <c r="AX45" s="10" t="n">
        <v>81.956</v>
      </c>
      <c r="AY45" s="11">
        <f>IF(ISNUMBER(AX45),AX45/AX$65*100,"")</f>
        <v/>
      </c>
      <c r="AZ45" s="12">
        <f>IF(AND(ISNUMBER(AX45),ISNUMBER(AX44)),AX45/AX44-1,"")</f>
        <v/>
      </c>
      <c r="BA45" s="12">
        <f>IF(AND(ISNUMBER(AX45),ISNUMBER(AX33)),AX45/AX33-1,"")</f>
        <v/>
      </c>
      <c r="BB45" s="11" t="n">
        <v>81.67740000000001</v>
      </c>
      <c r="BC45" s="12">
        <f>IF(COUNT(BB40:BB45)=6,(AVERAGE(BB43:BB45)/AVERAGE(BB40:BB42))^4-1,"")</f>
        <v/>
      </c>
    </row>
    <row r="46">
      <c r="A46" s="9" t="n">
        <v>43252</v>
      </c>
      <c r="B46" s="10" t="n">
        <v>82.56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81.8339</v>
      </c>
      <c r="G46" s="12">
        <f>IF(COUNT(F41:F46)=6,(AVERAGE(F44:F46)/AVERAGE(F41:F43))^4-1,"")</f>
        <v/>
      </c>
      <c r="H46" s="10" t="n">
        <v>86.92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85.7984</v>
      </c>
      <c r="M46" s="12">
        <f>IF(COUNT(L41:L46)=6,(AVERAGE(L44:L46)/AVERAGE(L41:L43))^4-1,"")</f>
        <v/>
      </c>
      <c r="N46" s="10" t="n">
        <v>82.81999999999999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81.98269999999999</v>
      </c>
      <c r="S46" s="12">
        <f>IF(COUNT(R41:R46)=6,(AVERAGE(R44:R46)/AVERAGE(R41:R43))^4-1,"")</f>
        <v/>
      </c>
      <c r="T46" s="10" t="n">
        <v>82.37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81.358</v>
      </c>
      <c r="Y46" s="12">
        <f>IF(COUNT(X41:X46)=6,(AVERAGE(X44:X46)/AVERAGE(X41:X43))^4-1,"")</f>
        <v/>
      </c>
      <c r="Z46" s="10" t="n">
        <v>83.81999999999999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83.432</v>
      </c>
      <c r="AE46" s="12">
        <f>IF(COUNT(AD41:AD46)=6,(AVERAGE(AD44:AD46)/AVERAGE(AD41:AD43))^4-1,"")</f>
        <v/>
      </c>
      <c r="AF46" s="10" t="n">
        <v>73.26000000000001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73.0869</v>
      </c>
      <c r="AK46" s="12">
        <f>IF(COUNT(AJ41:AJ46)=6,(AVERAGE(AJ44:AJ46)/AVERAGE(AJ41:AJ43))^4-1,"")</f>
        <v/>
      </c>
      <c r="AL46" s="10" t="n">
        <v>83.72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83.8693</v>
      </c>
      <c r="AQ46" s="12">
        <f>IF(COUNT(AP41:AP46)=6,(AVERAGE(AP44:AP46)/AVERAGE(AP41:AP43))^4-1,"")</f>
        <v/>
      </c>
      <c r="AR46" s="10" t="n">
        <v>86.23999999999999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86.0675</v>
      </c>
      <c r="AW46" s="12">
        <f>IF(COUNT(AV41:AV46)=6,(AVERAGE(AV44:AV46)/AVERAGE(AV41:AV43))^4-1,"")</f>
        <v/>
      </c>
      <c r="AX46" s="10" t="n">
        <v>82.17</v>
      </c>
      <c r="AY46" s="11">
        <f>IF(ISNUMBER(AX46),AX46/AX$65*100,"")</f>
        <v/>
      </c>
      <c r="AZ46" s="12">
        <f>IF(AND(ISNUMBER(AX46),ISNUMBER(AX45)),AX46/AX45-1,"")</f>
        <v/>
      </c>
      <c r="BA46" s="12">
        <f>IF(AND(ISNUMBER(AX46),ISNUMBER(AX34)),AX46/AX34-1,"")</f>
        <v/>
      </c>
      <c r="BB46" s="11" t="n">
        <v>81.7948</v>
      </c>
      <c r="BC46" s="12">
        <f>IF(COUNT(BB41:BB46)=6,(AVERAGE(BB44:BB46)/AVERAGE(BB41:BB43))^4-1,"")</f>
        <v/>
      </c>
    </row>
    <row r="47">
      <c r="A47" s="9" t="n">
        <v>43282</v>
      </c>
      <c r="B47" s="10" t="n">
        <v>81.58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81.9115</v>
      </c>
      <c r="G47" s="12">
        <f>IF(COUNT(F42:F47)=6,(AVERAGE(F45:F47)/AVERAGE(F42:F44))^4-1,"")</f>
        <v/>
      </c>
      <c r="H47" s="10" t="n">
        <v>85.45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85.926</v>
      </c>
      <c r="M47" s="12">
        <f>IF(COUNT(L42:L47)=6,(AVERAGE(L45:L47)/AVERAGE(L42:L44))^4-1,"")</f>
        <v/>
      </c>
      <c r="N47" s="10" t="n">
        <v>81.63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82.0299</v>
      </c>
      <c r="S47" s="12">
        <f>IF(COUNT(R42:R47)=6,(AVERAGE(R45:R47)/AVERAGE(R42:R44))^4-1,"")</f>
        <v/>
      </c>
      <c r="T47" s="10" t="n">
        <v>80.22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81.3548</v>
      </c>
      <c r="Y47" s="12">
        <f>IF(COUNT(X42:X47)=6,(AVERAGE(X45:X47)/AVERAGE(X42:X44))^4-1,"")</f>
        <v/>
      </c>
      <c r="Z47" s="10" t="n">
        <v>84.40000000000001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83.6048</v>
      </c>
      <c r="AE47" s="12">
        <f>IF(COUNT(AD42:AD47)=6,(AVERAGE(AD45:AD47)/AVERAGE(AD42:AD44))^4-1,"")</f>
        <v/>
      </c>
      <c r="AF47" s="10" t="n">
        <v>72.81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72.98099999999999</v>
      </c>
      <c r="AK47" s="12">
        <f>IF(COUNT(AJ42:AJ47)=6,(AVERAGE(AJ45:AJ47)/AVERAGE(AJ42:AJ44))^4-1,"")</f>
        <v/>
      </c>
      <c r="AL47" s="10" t="n">
        <v>84.27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84.9631</v>
      </c>
      <c r="AQ47" s="12">
        <f>IF(COUNT(AP42:AP47)=6,(AVERAGE(AP45:AP47)/AVERAGE(AP42:AP44))^4-1,"")</f>
        <v/>
      </c>
      <c r="AR47" s="10" t="n">
        <v>86.08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86.0286</v>
      </c>
      <c r="AW47" s="12">
        <f>IF(COUNT(AV42:AV47)=6,(AVERAGE(AV45:AV47)/AVERAGE(AV42:AV44))^4-1,"")</f>
        <v/>
      </c>
      <c r="AX47" s="10" t="n">
        <v>81.581</v>
      </c>
      <c r="AY47" s="11">
        <f>IF(ISNUMBER(AX47),AX47/AX$65*100,"")</f>
        <v/>
      </c>
      <c r="AZ47" s="12">
        <f>IF(AND(ISNUMBER(AX47),ISNUMBER(AX46)),AX47/AX46-1,"")</f>
        <v/>
      </c>
      <c r="BA47" s="12">
        <f>IF(AND(ISNUMBER(AX47),ISNUMBER(AX35)),AX47/AX35-1,"")</f>
        <v/>
      </c>
      <c r="BB47" s="11" t="n">
        <v>81.8</v>
      </c>
      <c r="BC47" s="12">
        <f>IF(COUNT(BB42:BB47)=6,(AVERAGE(BB45:BB47)/AVERAGE(BB42:BB44))^4-1,"")</f>
        <v/>
      </c>
    </row>
    <row r="48">
      <c r="A48" s="9" t="n">
        <v>43313</v>
      </c>
      <c r="B48" s="10" t="n">
        <v>81.65000000000001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82.03449999999999</v>
      </c>
      <c r="G48" s="12">
        <f>IF(COUNT(F43:F48)=6,(AVERAGE(F46:F48)/AVERAGE(F43:F45))^4-1,"")</f>
        <v/>
      </c>
      <c r="H48" s="10" t="n">
        <v>85.43000000000001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85.94329999999999</v>
      </c>
      <c r="M48" s="12">
        <f>IF(COUNT(L43:L48)=6,(AVERAGE(L46:L48)/AVERAGE(L43:L45))^4-1,"")</f>
        <v/>
      </c>
      <c r="N48" s="10" t="n">
        <v>81.62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82.0421</v>
      </c>
      <c r="S48" s="12">
        <f>IF(COUNT(R43:R48)=6,(AVERAGE(R46:R48)/AVERAGE(R43:R45))^4-1,"")</f>
        <v/>
      </c>
      <c r="T48" s="10" t="n">
        <v>80.18000000000001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81.57340000000001</v>
      </c>
      <c r="Y48" s="12">
        <f>IF(COUNT(X43:X48)=6,(AVERAGE(X46:X48)/AVERAGE(X43:X45))^4-1,"")</f>
        <v/>
      </c>
      <c r="Z48" s="10" t="n">
        <v>84.62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83.672</v>
      </c>
      <c r="AE48" s="12">
        <f>IF(COUNT(AD43:AD48)=6,(AVERAGE(AD46:AD48)/AVERAGE(AD43:AD45))^4-1,"")</f>
        <v/>
      </c>
      <c r="AF48" s="10" t="n">
        <v>72.83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73.0151</v>
      </c>
      <c r="AK48" s="12">
        <f>IF(COUNT(AJ43:AJ48)=6,(AVERAGE(AJ46:AJ48)/AVERAGE(AJ43:AJ45))^4-1,"")</f>
        <v/>
      </c>
      <c r="AL48" s="10" t="n">
        <v>85.03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85.8699</v>
      </c>
      <c r="AQ48" s="12">
        <f>IF(COUNT(AP43:AP48)=6,(AVERAGE(AP46:AP48)/AVERAGE(AP43:AP45))^4-1,"")</f>
        <v/>
      </c>
      <c r="AR48" s="10" t="n">
        <v>86.22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86.2437</v>
      </c>
      <c r="AW48" s="12">
        <f>IF(COUNT(AV43:AV48)=6,(AVERAGE(AV46:AV48)/AVERAGE(AV43:AV45))^4-1,"")</f>
        <v/>
      </c>
      <c r="AX48" s="10" t="n">
        <v>81.697</v>
      </c>
      <c r="AY48" s="11">
        <f>IF(ISNUMBER(AX48),AX48/AX$65*100,"")</f>
        <v/>
      </c>
      <c r="AZ48" s="12">
        <f>IF(AND(ISNUMBER(AX48),ISNUMBER(AX47)),AX48/AX47-1,"")</f>
        <v/>
      </c>
      <c r="BA48" s="12">
        <f>IF(AND(ISNUMBER(AX48),ISNUMBER(AX36)),AX48/AX36-1,"")</f>
        <v/>
      </c>
      <c r="BB48" s="11" t="n">
        <v>81.92140000000001</v>
      </c>
      <c r="BC48" s="12">
        <f>IF(COUNT(BB43:BB48)=6,(AVERAGE(BB46:BB48)/AVERAGE(BB43:BB45))^4-1,"")</f>
        <v/>
      </c>
    </row>
    <row r="49">
      <c r="A49" s="9" t="n">
        <v>43344</v>
      </c>
      <c r="B49" s="10" t="n">
        <v>82.17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82.23139999999999</v>
      </c>
      <c r="G49" s="12">
        <f>IF(COUNT(F44:F49)=6,(AVERAGE(F47:F49)/AVERAGE(F44:F46))^4-1,"")</f>
        <v/>
      </c>
      <c r="H49" s="10" t="n">
        <v>85.97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85.8895</v>
      </c>
      <c r="M49" s="12">
        <f>IF(COUNT(L44:L49)=6,(AVERAGE(L47:L49)/AVERAGE(L44:L46))^4-1,"")</f>
        <v/>
      </c>
      <c r="N49" s="10" t="n">
        <v>82.02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82.0538</v>
      </c>
      <c r="S49" s="12">
        <f>IF(COUNT(R44:R49)=6,(AVERAGE(R47:R49)/AVERAGE(R44:R46))^4-1,"")</f>
        <v/>
      </c>
      <c r="T49" s="10" t="n">
        <v>81.56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81.8236</v>
      </c>
      <c r="Y49" s="12">
        <f>IF(COUNT(X44:X49)=6,(AVERAGE(X47:X49)/AVERAGE(X44:X46))^4-1,"")</f>
        <v/>
      </c>
      <c r="Z49" s="10" t="n">
        <v>83.98999999999999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83.8099</v>
      </c>
      <c r="AE49" s="12">
        <f>IF(COUNT(AD44:AD49)=6,(AVERAGE(AD47:AD49)/AVERAGE(AD44:AD46))^4-1,"")</f>
        <v/>
      </c>
      <c r="AF49" s="10" t="n">
        <v>72.84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73.1157</v>
      </c>
      <c r="AK49" s="12">
        <f>IF(COUNT(AJ44:AJ49)=6,(AVERAGE(AJ47:AJ49)/AVERAGE(AJ44:AJ46))^4-1,"")</f>
        <v/>
      </c>
      <c r="AL49" s="10" t="n">
        <v>86.53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86.8271</v>
      </c>
      <c r="AQ49" s="12">
        <f>IF(COUNT(AP44:AP49)=6,(AVERAGE(AP47:AP49)/AVERAGE(AP44:AP46))^4-1,"")</f>
        <v/>
      </c>
      <c r="AR49" s="10" t="n">
        <v>86.51000000000001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86.7084</v>
      </c>
      <c r="AW49" s="12">
        <f>IF(COUNT(AV44:AV49)=6,(AVERAGE(AV47:AV49)/AVERAGE(AV44:AV46))^4-1,"")</f>
        <v/>
      </c>
      <c r="AX49" s="10" t="n">
        <v>81.89700000000001</v>
      </c>
      <c r="AY49" s="11">
        <f>IF(ISNUMBER(AX49),AX49/AX$65*100,"")</f>
        <v/>
      </c>
      <c r="AZ49" s="12">
        <f>IF(AND(ISNUMBER(AX49),ISNUMBER(AX48)),AX49/AX48-1,"")</f>
        <v/>
      </c>
      <c r="BA49" s="12">
        <f>IF(AND(ISNUMBER(AX49),ISNUMBER(AX37)),AX49/AX37-1,"")</f>
        <v/>
      </c>
      <c r="BB49" s="11" t="n">
        <v>82.02630000000001</v>
      </c>
      <c r="BC49" s="12">
        <f>IF(COUNT(BB44:BB49)=6,(AVERAGE(BB47:BB49)/AVERAGE(BB44:BB46))^4-1,"")</f>
        <v/>
      </c>
    </row>
    <row r="50">
      <c r="A50" s="9" t="n">
        <v>43374</v>
      </c>
      <c r="B50" s="10" t="n">
        <v>82.73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82.315</v>
      </c>
      <c r="G50" s="12">
        <f>IF(COUNT(F45:F50)=6,(AVERAGE(F48:F50)/AVERAGE(F45:F47))^4-1,"")</f>
        <v/>
      </c>
      <c r="H50" s="10" t="n">
        <v>86.43000000000001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86.0784</v>
      </c>
      <c r="M50" s="12">
        <f>IF(COUNT(L45:L50)=6,(AVERAGE(L48:L50)/AVERAGE(L45:L47))^4-1,"")</f>
        <v/>
      </c>
      <c r="N50" s="10" t="n">
        <v>82.56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82.2139</v>
      </c>
      <c r="S50" s="12">
        <f>IF(COUNT(R45:R50)=6,(AVERAGE(R48:R50)/AVERAGE(R45:R47))^4-1,"")</f>
        <v/>
      </c>
      <c r="T50" s="10" t="n">
        <v>82.76000000000001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81.8537</v>
      </c>
      <c r="Y50" s="12">
        <f>IF(COUNT(X45:X50)=6,(AVERAGE(X48:X50)/AVERAGE(X45:X47))^4-1,"")</f>
        <v/>
      </c>
      <c r="Z50" s="10" t="n">
        <v>83.7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83.9919</v>
      </c>
      <c r="AE50" s="12">
        <f>IF(COUNT(AD45:AD50)=6,(AVERAGE(AD48:AD50)/AVERAGE(AD45:AD47))^4-1,"")</f>
        <v/>
      </c>
      <c r="AF50" s="10" t="n">
        <v>73.62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73.2465</v>
      </c>
      <c r="AK50" s="12">
        <f>IF(COUNT(AJ45:AJ50)=6,(AVERAGE(AJ48:AJ50)/AVERAGE(AJ45:AJ47))^4-1,"")</f>
        <v/>
      </c>
      <c r="AL50" s="10" t="n">
        <v>87.23999999999999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85.6327</v>
      </c>
      <c r="AQ50" s="12">
        <f>IF(COUNT(AP45:AP50)=6,(AVERAGE(AP48:AP50)/AVERAGE(AP45:AP47))^4-1,"")</f>
        <v/>
      </c>
      <c r="AR50" s="10" t="n">
        <v>87.06999999999999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87.0877</v>
      </c>
      <c r="AW50" s="12">
        <f>IF(COUNT(AV45:AV50)=6,(AVERAGE(AV48:AV50)/AVERAGE(AV45:AV47))^4-1,"")</f>
        <v/>
      </c>
      <c r="AX50" s="10" t="n">
        <v>82.654</v>
      </c>
      <c r="AY50" s="11">
        <f>IF(ISNUMBER(AX50),AX50/AX$65*100,"")</f>
        <v/>
      </c>
      <c r="AZ50" s="12">
        <f>IF(AND(ISNUMBER(AX50),ISNUMBER(AX49)),AX50/AX49-1,"")</f>
        <v/>
      </c>
      <c r="BA50" s="12">
        <f>IF(AND(ISNUMBER(AX50),ISNUMBER(AX38)),AX50/AX38-1,"")</f>
        <v/>
      </c>
      <c r="BB50" s="11" t="n">
        <v>82.27979999999999</v>
      </c>
      <c r="BC50" s="12">
        <f>IF(COUNT(BB45:BB50)=6,(AVERAGE(BB48:BB50)/AVERAGE(BB45:BB47))^4-1,"")</f>
        <v/>
      </c>
    </row>
    <row r="51">
      <c r="A51" s="9" t="n">
        <v>43405</v>
      </c>
      <c r="B51" s="10" t="n">
        <v>82.53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82.19750000000001</v>
      </c>
      <c r="G51" s="12">
        <f>IF(COUNT(F46:F51)=6,(AVERAGE(F49:F51)/AVERAGE(F46:F48))^4-1,"")</f>
        <v/>
      </c>
      <c r="H51" s="10" t="n">
        <v>86.54000000000001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86.0962</v>
      </c>
      <c r="M51" s="12">
        <f>IF(COUNT(L46:L51)=6,(AVERAGE(L49:L51)/AVERAGE(L46:L48))^4-1,"")</f>
        <v/>
      </c>
      <c r="N51" s="10" t="n">
        <v>82.55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82.2234</v>
      </c>
      <c r="S51" s="12">
        <f>IF(COUNT(R46:R51)=6,(AVERAGE(R49:R51)/AVERAGE(R46:R48))^4-1,"")</f>
        <v/>
      </c>
      <c r="T51" s="10" t="n">
        <v>82.69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81.65819999999999</v>
      </c>
      <c r="Y51" s="12">
        <f>IF(COUNT(X46:X51)=6,(AVERAGE(X49:X51)/AVERAGE(X46:X48))^4-1,"")</f>
        <v/>
      </c>
      <c r="Z51" s="10" t="n">
        <v>83.31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83.9691</v>
      </c>
      <c r="AE51" s="12">
        <f>IF(COUNT(AD46:AD51)=6,(AVERAGE(AD49:AD51)/AVERAGE(AD46:AD48))^4-1,"")</f>
        <v/>
      </c>
      <c r="AF51" s="10" t="n">
        <v>73.28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73.2223</v>
      </c>
      <c r="AK51" s="12">
        <f>IF(COUNT(AJ46:AJ51)=6,(AVERAGE(AJ49:AJ51)/AVERAGE(AJ46:AJ48))^4-1,"")</f>
        <v/>
      </c>
      <c r="AL51" s="10" t="n">
        <v>85.56999999999999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84.93170000000001</v>
      </c>
      <c r="AQ51" s="12">
        <f>IF(COUNT(AP46:AP51)=6,(AVERAGE(AP49:AP51)/AVERAGE(AP46:AP48))^4-1,"")</f>
        <v/>
      </c>
      <c r="AR51" s="10" t="n">
        <v>85.86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86.0859</v>
      </c>
      <c r="AW51" s="12">
        <f>IF(COUNT(AV46:AV51)=6,(AVERAGE(AV49:AV51)/AVERAGE(AV46:AV48))^4-1,"")</f>
        <v/>
      </c>
      <c r="AX51" s="10" t="n">
        <v>82.563</v>
      </c>
      <c r="AY51" s="11">
        <f>IF(ISNUMBER(AX51),AX51/AX$65*100,"")</f>
        <v/>
      </c>
      <c r="AZ51" s="12">
        <f>IF(AND(ISNUMBER(AX51),ISNUMBER(AX50)),AX51/AX50-1,"")</f>
        <v/>
      </c>
      <c r="BA51" s="12">
        <f>IF(AND(ISNUMBER(AX51),ISNUMBER(AX39)),AX51/AX39-1,"")</f>
        <v/>
      </c>
      <c r="BB51" s="11" t="n">
        <v>82.16540000000001</v>
      </c>
      <c r="BC51" s="12">
        <f>IF(COUNT(BB46:BB51)=6,(AVERAGE(BB49:BB51)/AVERAGE(BB46:BB48))^4-1,"")</f>
        <v/>
      </c>
    </row>
    <row r="52">
      <c r="A52" s="9" t="n">
        <v>43435</v>
      </c>
      <c r="B52" s="10" t="n">
        <v>82.12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81.87860000000001</v>
      </c>
      <c r="G52" s="12">
        <f>IF(COUNT(F47:F52)=6,(AVERAGE(F50:F52)/AVERAGE(F47:F49))^4-1,"")</f>
        <v/>
      </c>
      <c r="H52" s="10" t="n">
        <v>86.52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86.1769</v>
      </c>
      <c r="M52" s="12">
        <f>IF(COUNT(L47:L52)=6,(AVERAGE(L50:L52)/AVERAGE(L47:L49))^4-1,"")</f>
        <v/>
      </c>
      <c r="N52" s="10" t="n">
        <v>82.5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82.26390000000001</v>
      </c>
      <c r="S52" s="12">
        <f>IF(COUNT(R47:R52)=6,(AVERAGE(R50:R52)/AVERAGE(R47:R49))^4-1,"")</f>
        <v/>
      </c>
      <c r="T52" s="10" t="n">
        <v>81.76000000000001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81.065</v>
      </c>
      <c r="Y52" s="12">
        <f>IF(COUNT(X47:X52)=6,(AVERAGE(X50:X52)/AVERAGE(X47:X49))^4-1,"")</f>
        <v/>
      </c>
      <c r="Z52" s="10" t="n">
        <v>83.59999999999999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84.0249</v>
      </c>
      <c r="AE52" s="12">
        <f>IF(COUNT(AD47:AD52)=6,(AVERAGE(AD50:AD52)/AVERAGE(AD47:AD49))^4-1,"")</f>
        <v/>
      </c>
      <c r="AF52" s="10" t="n">
        <v>73.14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73.2548</v>
      </c>
      <c r="AK52" s="12">
        <f>IF(COUNT(AJ47:AJ52)=6,(AVERAGE(AJ50:AJ52)/AVERAGE(AJ47:AJ49))^4-1,"")</f>
        <v/>
      </c>
      <c r="AL52" s="10" t="n">
        <v>82.31999999999999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82.59699999999999</v>
      </c>
      <c r="AQ52" s="12">
        <f>IF(COUNT(AP47:AP52)=6,(AVERAGE(AP50:AP52)/AVERAGE(AP47:AP49))^4-1,"")</f>
        <v/>
      </c>
      <c r="AR52" s="10" t="n">
        <v>83.51000000000001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84.2667</v>
      </c>
      <c r="AW52" s="12">
        <f>IF(COUNT(AV47:AV52)=6,(AVERAGE(AV50:AV52)/AVERAGE(AV47:AV49))^4-1,"")</f>
        <v/>
      </c>
      <c r="AX52" s="10" t="n">
        <v>82.193</v>
      </c>
      <c r="AY52" s="11">
        <f>IF(ISNUMBER(AX52),AX52/AX$65*100,"")</f>
        <v/>
      </c>
      <c r="AZ52" s="12">
        <f>IF(AND(ISNUMBER(AX52),ISNUMBER(AX51)),AX52/AX51-1,"")</f>
        <v/>
      </c>
      <c r="BA52" s="12">
        <f>IF(AND(ISNUMBER(AX52),ISNUMBER(AX40)),AX52/AX40-1,"")</f>
        <v/>
      </c>
      <c r="BB52" s="11" t="n">
        <v>81.8381</v>
      </c>
      <c r="BC52" s="12">
        <f>IF(COUNT(BB47:BB52)=6,(AVERAGE(BB50:BB52)/AVERAGE(BB47:BB49))^4-1,"")</f>
        <v/>
      </c>
    </row>
    <row r="53">
      <c r="A53" s="9" t="n">
        <v>43466</v>
      </c>
      <c r="B53" s="10" t="n">
        <v>80.73999999999999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81.791</v>
      </c>
      <c r="G53" s="12">
        <f>IF(COUNT(F48:F53)=6,(AVERAGE(F51:F53)/AVERAGE(F48:F50))^4-1,"")</f>
        <v/>
      </c>
      <c r="H53" s="10" t="n">
        <v>84.42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86.1635</v>
      </c>
      <c r="M53" s="12">
        <f>IF(COUNT(L48:L53)=6,(AVERAGE(L51:L53)/AVERAGE(L48:L50))^4-1,"")</f>
        <v/>
      </c>
      <c r="N53" s="10" t="n">
        <v>80.95999999999999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82.15260000000001</v>
      </c>
      <c r="S53" s="12">
        <f>IF(COUNT(R48:R53)=6,(AVERAGE(R51:R53)/AVERAGE(R48:R50))^4-1,"")</f>
        <v/>
      </c>
      <c r="T53" s="10" t="n">
        <v>79.56999999999999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80.8203</v>
      </c>
      <c r="Y53" s="12">
        <f>IF(COUNT(X48:X53)=6,(AVERAGE(X51:X53)/AVERAGE(X48:X50))^4-1,"")</f>
        <v/>
      </c>
      <c r="Z53" s="10" t="n">
        <v>83.3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84.09050000000001</v>
      </c>
      <c r="AE53" s="12">
        <f>IF(COUNT(AD48:AD53)=6,(AVERAGE(AD51:AD53)/AVERAGE(AD48:AD50))^4-1,"")</f>
        <v/>
      </c>
      <c r="AF53" s="10" t="n">
        <v>73.12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72.9983</v>
      </c>
      <c r="AK53" s="12">
        <f>IF(COUNT(AJ48:AJ53)=6,(AVERAGE(AJ51:AJ53)/AVERAGE(AJ48:AJ50))^4-1,"")</f>
        <v/>
      </c>
      <c r="AL53" s="10" t="n">
        <v>82.09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81.53789999999999</v>
      </c>
      <c r="AQ53" s="12">
        <f>IF(COUNT(AP48:AP53)=6,(AVERAGE(AP51:AP53)/AVERAGE(AP48:AP50))^4-1,"")</f>
        <v/>
      </c>
      <c r="AR53" s="10" t="n">
        <v>83.79000000000001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83.37430000000001</v>
      </c>
      <c r="AW53" s="12">
        <f>IF(COUNT(AV48:AV53)=6,(AVERAGE(AV51:AV53)/AVERAGE(AV48:AV50))^4-1,"")</f>
        <v/>
      </c>
      <c r="AX53" s="10" t="n">
        <v>81.142</v>
      </c>
      <c r="AY53" s="11">
        <f>IF(ISNUMBER(AX53),AX53/AX$65*100,"")</f>
        <v/>
      </c>
      <c r="AZ53" s="12">
        <f>IF(AND(ISNUMBER(AX53),ISNUMBER(AX52)),AX53/AX52-1,"")</f>
        <v/>
      </c>
      <c r="BA53" s="12">
        <f>IF(AND(ISNUMBER(AX53),ISNUMBER(AX41)),AX53/AX41-1,"")</f>
        <v/>
      </c>
      <c r="BB53" s="11" t="n">
        <v>81.71380000000001</v>
      </c>
      <c r="BC53" s="12">
        <f>IF(COUNT(BB48:BB53)=6,(AVERAGE(BB51:BB53)/AVERAGE(BB48:BB50))^4-1,"")</f>
        <v/>
      </c>
    </row>
    <row r="54">
      <c r="A54" s="9" t="n">
        <v>43497</v>
      </c>
      <c r="B54" s="10" t="n">
        <v>80.91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81.774</v>
      </c>
      <c r="G54" s="12">
        <f>IF(COUNT(F49:F54)=6,(AVERAGE(F52:F54)/AVERAGE(F49:F51))^4-1,"")</f>
        <v/>
      </c>
      <c r="H54" s="10" t="n">
        <v>84.51000000000001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86.2159</v>
      </c>
      <c r="M54" s="12">
        <f>IF(COUNT(L49:L54)=6,(AVERAGE(L52:L54)/AVERAGE(L49:L51))^4-1,"")</f>
        <v/>
      </c>
      <c r="N54" s="10" t="n">
        <v>81.08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82.2418</v>
      </c>
      <c r="S54" s="12">
        <f>IF(COUNT(R49:R54)=6,(AVERAGE(R52:R54)/AVERAGE(R49:R51))^4-1,"")</f>
        <v/>
      </c>
      <c r="T54" s="10" t="n">
        <v>79.52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80.70189999999999</v>
      </c>
      <c r="Y54" s="12">
        <f>IF(COUNT(X49:X54)=6,(AVERAGE(X52:X54)/AVERAGE(X49:X51))^4-1,"")</f>
        <v/>
      </c>
      <c r="Z54" s="10" t="n">
        <v>83.76000000000001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84.20480000000001</v>
      </c>
      <c r="AE54" s="12">
        <f>IF(COUNT(AD49:AD54)=6,(AVERAGE(AD52:AD54)/AVERAGE(AD49:AD51))^4-1,"")</f>
        <v/>
      </c>
      <c r="AF54" s="10" t="n">
        <v>73.31999999999999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73.2497</v>
      </c>
      <c r="AK54" s="12">
        <f>IF(COUNT(AJ49:AJ54)=6,(AVERAGE(AJ52:AJ54)/AVERAGE(AJ49:AJ51))^4-1,"")</f>
        <v/>
      </c>
      <c r="AL54" s="10" t="n">
        <v>82.62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81.82729999999999</v>
      </c>
      <c r="AQ54" s="12">
        <f>IF(COUNT(AP49:AP54)=6,(AVERAGE(AP52:AP54)/AVERAGE(AP49:AP51))^4-1,"")</f>
        <v/>
      </c>
      <c r="AR54" s="10" t="n">
        <v>84.95999999999999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84.75</v>
      </c>
      <c r="AW54" s="12">
        <f>IF(COUNT(AV49:AV54)=6,(AVERAGE(AV52:AV54)/AVERAGE(AV49:AV51))^4-1,"")</f>
        <v/>
      </c>
      <c r="AX54" s="10" t="n">
        <v>81.34</v>
      </c>
      <c r="AY54" s="11">
        <f>IF(ISNUMBER(AX54),AX54/AX$65*100,"")</f>
        <v/>
      </c>
      <c r="AZ54" s="12">
        <f>IF(AND(ISNUMBER(AX54),ISNUMBER(AX53)),AX54/AX53-1,"")</f>
        <v/>
      </c>
      <c r="BA54" s="12">
        <f>IF(AND(ISNUMBER(AX54),ISNUMBER(AX42)),AX54/AX42-1,"")</f>
        <v/>
      </c>
      <c r="BB54" s="11" t="n">
        <v>81.70189999999999</v>
      </c>
      <c r="BC54" s="12">
        <f>IF(COUNT(BB49:BB54)=6,(AVERAGE(BB52:BB54)/AVERAGE(BB49:BB51))^4-1,"")</f>
        <v/>
      </c>
    </row>
    <row r="55">
      <c r="A55" s="9" t="n">
        <v>43525</v>
      </c>
      <c r="B55" s="10" t="n">
        <v>82.04000000000001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82.1238</v>
      </c>
      <c r="G55" s="12">
        <f>IF(COUNT(F50:F55)=6,(AVERAGE(F53:F55)/AVERAGE(F50:F52))^4-1,"")</f>
        <v/>
      </c>
      <c r="H55" s="10" t="n">
        <v>86.33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86.2696</v>
      </c>
      <c r="M55" s="12">
        <f>IF(COUNT(L50:L55)=6,(AVERAGE(L53:L55)/AVERAGE(L50:L52))^4-1,"")</f>
        <v/>
      </c>
      <c r="N55" s="10" t="n">
        <v>82.34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82.2876</v>
      </c>
      <c r="S55" s="12">
        <f>IF(COUNT(R50:R55)=6,(AVERAGE(R53:R55)/AVERAGE(R50:R52))^4-1,"")</f>
        <v/>
      </c>
      <c r="T55" s="10" t="n">
        <v>81.23999999999999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81.26909999999999</v>
      </c>
      <c r="Y55" s="12">
        <f>IF(COUNT(X50:X55)=6,(AVERAGE(X53:X55)/AVERAGE(X50:X52))^4-1,"")</f>
        <v/>
      </c>
      <c r="Z55" s="10" t="n">
        <v>84.12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84.36620000000001</v>
      </c>
      <c r="AE55" s="12">
        <f>IF(COUNT(AD50:AD55)=6,(AVERAGE(AD53:AD55)/AVERAGE(AD50:AD52))^4-1,"")</f>
        <v/>
      </c>
      <c r="AF55" s="10" t="n">
        <v>73.09999999999999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73.1583</v>
      </c>
      <c r="AK55" s="12">
        <f>IF(COUNT(AJ50:AJ55)=6,(AVERAGE(AJ53:AJ55)/AVERAGE(AJ50:AJ52))^4-1,"")</f>
        <v/>
      </c>
      <c r="AL55" s="10" t="n">
        <v>82.81999999999999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84.16500000000001</v>
      </c>
      <c r="AQ55" s="12">
        <f>IF(COUNT(AP50:AP55)=6,(AVERAGE(AP53:AP55)/AVERAGE(AP50:AP52))^4-1,"")</f>
        <v/>
      </c>
      <c r="AR55" s="10" t="n">
        <v>85.92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86.26779999999999</v>
      </c>
      <c r="AW55" s="12">
        <f>IF(COUNT(AV50:AV55)=6,(AVERAGE(AV53:AV55)/AVERAGE(AV50:AV52))^4-1,"")</f>
        <v/>
      </c>
      <c r="AX55" s="10" t="n">
        <v>81.636</v>
      </c>
      <c r="AY55" s="11">
        <f>IF(ISNUMBER(AX55),AX55/AX$65*100,"")</f>
        <v/>
      </c>
      <c r="AZ55" s="12">
        <f>IF(AND(ISNUMBER(AX55),ISNUMBER(AX54)),AX55/AX54-1,"")</f>
        <v/>
      </c>
      <c r="BA55" s="12">
        <f>IF(AND(ISNUMBER(AX55),ISNUMBER(AX43)),AX55/AX43-1,"")</f>
        <v/>
      </c>
      <c r="BB55" s="11" t="n">
        <v>82.0689</v>
      </c>
      <c r="BC55" s="12">
        <f>IF(COUNT(BB50:BB55)=6,(AVERAGE(BB53:BB55)/AVERAGE(BB50:BB52))^4-1,"")</f>
        <v/>
      </c>
    </row>
    <row r="56">
      <c r="A56" s="9" t="n">
        <v>43556</v>
      </c>
      <c r="B56" s="10" t="n">
        <v>82.95999999999999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82.5147</v>
      </c>
      <c r="G56" s="12">
        <f>IF(COUNT(F51:F56)=6,(AVERAGE(F54:F56)/AVERAGE(F51:F53))^4-1,"")</f>
        <v/>
      </c>
      <c r="H56" s="10" t="n">
        <v>87.56999999999999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86.6414</v>
      </c>
      <c r="M56" s="12">
        <f>IF(COUNT(L51:L56)=6,(AVERAGE(L54:L56)/AVERAGE(L51:L53))^4-1,"")</f>
        <v/>
      </c>
      <c r="N56" s="10" t="n">
        <v>83.23999999999999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82.6425</v>
      </c>
      <c r="S56" s="12">
        <f>IF(COUNT(R51:R56)=6,(AVERAGE(R54:R56)/AVERAGE(R51:R53))^4-1,"")</f>
        <v/>
      </c>
      <c r="T56" s="10" t="n">
        <v>82.39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81.6819</v>
      </c>
      <c r="Y56" s="12">
        <f>IF(COUNT(X51:X56)=6,(AVERAGE(X54:X56)/AVERAGE(X51:X53))^4-1,"")</f>
        <v/>
      </c>
      <c r="Z56" s="10" t="n">
        <v>84.73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84.42529999999999</v>
      </c>
      <c r="AE56" s="12">
        <f>IF(COUNT(AD51:AD56)=6,(AVERAGE(AD54:AD56)/AVERAGE(AD51:AD53))^4-1,"")</f>
        <v/>
      </c>
      <c r="AF56" s="10" t="n">
        <v>73.09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73.1755</v>
      </c>
      <c r="AK56" s="12">
        <f>IF(COUNT(AJ51:AJ56)=6,(AVERAGE(AJ54:AJ56)/AVERAGE(AJ51:AJ53))^4-1,"")</f>
        <v/>
      </c>
      <c r="AL56" s="10" t="n">
        <v>83.87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83.98869999999999</v>
      </c>
      <c r="AQ56" s="12">
        <f>IF(COUNT(AP51:AP56)=6,(AVERAGE(AP54:AP56)/AVERAGE(AP51:AP53))^4-1,"")</f>
        <v/>
      </c>
      <c r="AR56" s="10" t="n">
        <v>87.02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86.6704</v>
      </c>
      <c r="AW56" s="12">
        <f>IF(COUNT(AV51:AV56)=6,(AVERAGE(AV54:AV56)/AVERAGE(AV51:AV53))^4-1,"")</f>
        <v/>
      </c>
      <c r="AX56" s="10" t="n">
        <v>82.459</v>
      </c>
      <c r="AY56" s="11">
        <f>IF(ISNUMBER(AX56),AX56/AX$65*100,"")</f>
        <v/>
      </c>
      <c r="AZ56" s="12">
        <f>IF(AND(ISNUMBER(AX56),ISNUMBER(AX55)),AX56/AX55-1,"")</f>
        <v/>
      </c>
      <c r="BA56" s="12">
        <f>IF(AND(ISNUMBER(AX56),ISNUMBER(AX44)),AX56/AX44-1,"")</f>
        <v/>
      </c>
      <c r="BB56" s="11" t="n">
        <v>82.3283</v>
      </c>
      <c r="BC56" s="12">
        <f>IF(COUNT(BB51:BB56)=6,(AVERAGE(BB54:BB56)/AVERAGE(BB51:BB53))^4-1,"")</f>
        <v/>
      </c>
    </row>
    <row r="57">
      <c r="A57" s="9" t="n">
        <v>43586</v>
      </c>
      <c r="B57" s="10" t="n">
        <v>83.15000000000001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82.5688</v>
      </c>
      <c r="G57" s="12">
        <f>IF(COUNT(F52:F57)=6,(AVERAGE(F55:F57)/AVERAGE(F52:F54))^4-1,"")</f>
        <v/>
      </c>
      <c r="H57" s="10" t="n">
        <v>87.76000000000001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86.7752</v>
      </c>
      <c r="M57" s="12">
        <f>IF(COUNT(L52:L57)=6,(AVERAGE(L55:L57)/AVERAGE(L52:L54))^4-1,"")</f>
        <v/>
      </c>
      <c r="N57" s="10" t="n">
        <v>83.45999999999999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82.69499999999999</v>
      </c>
      <c r="S57" s="12">
        <f>IF(COUNT(R52:R57)=6,(AVERAGE(R55:R57)/AVERAGE(R52:R54))^4-1,"")</f>
        <v/>
      </c>
      <c r="T57" s="10" t="n">
        <v>82.81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81.77500000000001</v>
      </c>
      <c r="Y57" s="12">
        <f>IF(COUNT(X52:X57)=6,(AVERAGE(X55:X57)/AVERAGE(X52:X54))^4-1,"")</f>
        <v/>
      </c>
      <c r="Z57" s="10" t="n">
        <v>84.63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84.5411</v>
      </c>
      <c r="AE57" s="12">
        <f>IF(COUNT(AD52:AD57)=6,(AVERAGE(AD55:AD57)/AVERAGE(AD52:AD54))^4-1,"")</f>
        <v/>
      </c>
      <c r="AF57" s="10" t="n">
        <v>73.37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73.23</v>
      </c>
      <c r="AK57" s="12">
        <f>IF(COUNT(AJ52:AJ57)=6,(AVERAGE(AJ55:AJ57)/AVERAGE(AJ52:AJ54))^4-1,"")</f>
        <v/>
      </c>
      <c r="AL57" s="10" t="n">
        <v>83.95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84.0919</v>
      </c>
      <c r="AQ57" s="12">
        <f>IF(COUNT(AP52:AP57)=6,(AVERAGE(AP55:AP57)/AVERAGE(AP52:AP54))^4-1,"")</f>
        <v/>
      </c>
      <c r="AR57" s="10" t="n">
        <v>87.38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86.9765</v>
      </c>
      <c r="AW57" s="12">
        <f>IF(COUNT(AV52:AV57)=6,(AVERAGE(AV55:AV57)/AVERAGE(AV52:AV54))^4-1,"")</f>
        <v/>
      </c>
      <c r="AX57" s="10" t="n">
        <v>82.619</v>
      </c>
      <c r="AY57" s="11">
        <f>IF(ISNUMBER(AX57),AX57/AX$65*100,"")</f>
        <v/>
      </c>
      <c r="AZ57" s="12">
        <f>IF(AND(ISNUMBER(AX57),ISNUMBER(AX56)),AX57/AX56-1,"")</f>
        <v/>
      </c>
      <c r="BA57" s="12">
        <f>IF(AND(ISNUMBER(AX57),ISNUMBER(AX45)),AX57/AX45-1,"")</f>
        <v/>
      </c>
      <c r="BB57" s="11" t="n">
        <v>82.3891</v>
      </c>
      <c r="BC57" s="12">
        <f>IF(COUNT(BB52:BB57)=6,(AVERAGE(BB55:BB57)/AVERAGE(BB52:BB54))^4-1,"")</f>
        <v/>
      </c>
    </row>
    <row r="58">
      <c r="A58" s="9" t="n">
        <v>43617</v>
      </c>
      <c r="B58" s="10" t="n">
        <v>83.05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82.3669</v>
      </c>
      <c r="G58" s="12">
        <f>IF(COUNT(F53:F58)=6,(AVERAGE(F56:F58)/AVERAGE(F53:F55))^4-1,"")</f>
        <v/>
      </c>
      <c r="H58" s="10" t="n">
        <v>87.94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86.82510000000001</v>
      </c>
      <c r="M58" s="12">
        <f>IF(COUNT(L53:L58)=6,(AVERAGE(L56:L58)/AVERAGE(L53:L55))^4-1,"")</f>
        <v/>
      </c>
      <c r="N58" s="10" t="n">
        <v>83.65000000000001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82.8008</v>
      </c>
      <c r="S58" s="12">
        <f>IF(COUNT(R53:R58)=6,(AVERAGE(R56:R58)/AVERAGE(R53:R55))^4-1,"")</f>
        <v/>
      </c>
      <c r="T58" s="10" t="n">
        <v>82.23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81.312</v>
      </c>
      <c r="Y58" s="12">
        <f>IF(COUNT(X53:X58)=6,(AVERAGE(X56:X58)/AVERAGE(X53:X55))^4-1,"")</f>
        <v/>
      </c>
      <c r="Z58" s="10" t="n">
        <v>85.16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84.7067</v>
      </c>
      <c r="AE58" s="12">
        <f>IF(COUNT(AD53:AD58)=6,(AVERAGE(AD56:AD58)/AVERAGE(AD53:AD55))^4-1,"")</f>
        <v/>
      </c>
      <c r="AF58" s="10" t="n">
        <v>73.61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73.38679999999999</v>
      </c>
      <c r="AK58" s="12">
        <f>IF(COUNT(AJ53:AJ58)=6,(AVERAGE(AJ56:AJ58)/AVERAGE(AJ53:AJ55))^4-1,"")</f>
        <v/>
      </c>
      <c r="AL58" s="10" t="n">
        <v>81.58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81.87090000000001</v>
      </c>
      <c r="AQ58" s="12">
        <f>IF(COUNT(AP53:AP58)=6,(AVERAGE(AP56:AP58)/AVERAGE(AP53:AP55))^4-1,"")</f>
        <v/>
      </c>
      <c r="AR58" s="10" t="n">
        <v>86.23999999999999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86.2199</v>
      </c>
      <c r="AW58" s="12">
        <f>IF(COUNT(AV53:AV58)=6,(AVERAGE(AV56:AV58)/AVERAGE(AV53:AV55))^4-1,"")</f>
        <v/>
      </c>
      <c r="AX58" s="10" t="n">
        <v>82.52200000000001</v>
      </c>
      <c r="AY58" s="11">
        <f>IF(ISNUMBER(AX58),AX58/AX$65*100,"")</f>
        <v/>
      </c>
      <c r="AZ58" s="12">
        <f>IF(AND(ISNUMBER(AX58),ISNUMBER(AX57)),AX58/AX57-1,"")</f>
        <v/>
      </c>
      <c r="BA58" s="12">
        <f>IF(AND(ISNUMBER(AX58),ISNUMBER(AX46)),AX58/AX46-1,"")</f>
        <v/>
      </c>
      <c r="BB58" s="11" t="n">
        <v>82.18340000000001</v>
      </c>
      <c r="BC58" s="12">
        <f>IF(COUNT(BB53:BB58)=6,(AVERAGE(BB56:BB58)/AVERAGE(BB53:BB55))^4-1,"")</f>
        <v/>
      </c>
    </row>
    <row r="59">
      <c r="A59" s="9" t="n">
        <v>43647</v>
      </c>
      <c r="B59" s="10" t="n">
        <v>82.11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82.399</v>
      </c>
      <c r="G59" s="12">
        <f>IF(COUNT(F54:F59)=6,(AVERAGE(F57:F59)/AVERAGE(F54:F56))^4-1,"")</f>
        <v/>
      </c>
      <c r="H59" s="10" t="n">
        <v>86.40000000000001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86.7777</v>
      </c>
      <c r="M59" s="12">
        <f>IF(COUNT(L54:L59)=6,(AVERAGE(L57:L59)/AVERAGE(L54:L56))^4-1,"")</f>
        <v/>
      </c>
      <c r="N59" s="10" t="n">
        <v>82.48999999999999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82.8446</v>
      </c>
      <c r="S59" s="12">
        <f>IF(COUNT(R54:R59)=6,(AVERAGE(R57:R59)/AVERAGE(R54:R56))^4-1,"")</f>
        <v/>
      </c>
      <c r="T59" s="10" t="n">
        <v>80.2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81.3359</v>
      </c>
      <c r="Y59" s="12">
        <f>IF(COUNT(X54:X59)=6,(AVERAGE(X57:X59)/AVERAGE(X54:X56))^4-1,"")</f>
        <v/>
      </c>
      <c r="Z59" s="10" t="n">
        <v>85.65000000000001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84.7949</v>
      </c>
      <c r="AE59" s="12">
        <f>IF(COUNT(AD54:AD59)=6,(AVERAGE(AD57:AD59)/AVERAGE(AD54:AD56))^4-1,"")</f>
        <v/>
      </c>
      <c r="AF59" s="10" t="n">
        <v>73.44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73.59139999999999</v>
      </c>
      <c r="AK59" s="12">
        <f>IF(COUNT(AJ54:AJ59)=6,(AVERAGE(AJ57:AJ59)/AVERAGE(AJ54:AJ56))^4-1,"")</f>
        <v/>
      </c>
      <c r="AL59" s="10" t="n">
        <v>82.27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83.18300000000001</v>
      </c>
      <c r="AQ59" s="12">
        <f>IF(COUNT(AP54:AP59)=6,(AVERAGE(AP57:AP59)/AVERAGE(AP54:AP56))^4-1,"")</f>
        <v/>
      </c>
      <c r="AR59" s="10" t="n">
        <v>86.48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86.5502</v>
      </c>
      <c r="AW59" s="12">
        <f>IF(COUNT(AV54:AV59)=6,(AVERAGE(AV57:AV59)/AVERAGE(AV54:AV56))^4-1,"")</f>
        <v/>
      </c>
      <c r="AX59" s="10" t="n">
        <v>82.011</v>
      </c>
      <c r="AY59" s="11">
        <f>IF(ISNUMBER(AX59),AX59/AX$65*100,"")</f>
        <v/>
      </c>
      <c r="AZ59" s="12">
        <f>IF(AND(ISNUMBER(AX59),ISNUMBER(AX58)),AX59/AX58-1,"")</f>
        <v/>
      </c>
      <c r="BA59" s="12">
        <f>IF(AND(ISNUMBER(AX59),ISNUMBER(AX47)),AX59/AX47-1,"")</f>
        <v/>
      </c>
      <c r="BB59" s="11" t="n">
        <v>82.1968</v>
      </c>
      <c r="BC59" s="12">
        <f>IF(COUNT(BB54:BB59)=6,(AVERAGE(BB57:BB59)/AVERAGE(BB54:BB56))^4-1,"")</f>
        <v/>
      </c>
    </row>
    <row r="60">
      <c r="A60" s="9" t="n">
        <v>43678</v>
      </c>
      <c r="B60" s="10" t="n">
        <v>82.02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82.3374</v>
      </c>
      <c r="G60" s="12">
        <f>IF(COUNT(F55:F60)=6,(AVERAGE(F58:F60)/AVERAGE(F55:F57))^4-1,"")</f>
        <v/>
      </c>
      <c r="H60" s="10" t="n">
        <v>86.42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86.83750000000001</v>
      </c>
      <c r="M60" s="12">
        <f>IF(COUNT(L55:L60)=6,(AVERAGE(L58:L60)/AVERAGE(L55:L57))^4-1,"")</f>
        <v/>
      </c>
      <c r="N60" s="10" t="n">
        <v>82.52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82.907</v>
      </c>
      <c r="S60" s="12">
        <f>IF(COUNT(R55:R60)=6,(AVERAGE(R58:R60)/AVERAGE(R55:R57))^4-1,"")</f>
        <v/>
      </c>
      <c r="T60" s="10" t="n">
        <v>79.86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81.2116</v>
      </c>
      <c r="Y60" s="12">
        <f>IF(COUNT(X55:X60)=6,(AVERAGE(X58:X60)/AVERAGE(X55:X57))^4-1,"")</f>
        <v/>
      </c>
      <c r="Z60" s="10" t="n">
        <v>85.90000000000001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84.9152</v>
      </c>
      <c r="AE60" s="12">
        <f>IF(COUNT(AD55:AD60)=6,(AVERAGE(AD58:AD60)/AVERAGE(AD55:AD57))^4-1,"")</f>
        <v/>
      </c>
      <c r="AF60" s="10" t="n">
        <v>73.51000000000001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73.751</v>
      </c>
      <c r="AK60" s="12">
        <f>IF(COUNT(AJ55:AJ60)=6,(AVERAGE(AJ58:AJ60)/AVERAGE(AJ55:AJ57))^4-1,"")</f>
        <v/>
      </c>
      <c r="AL60" s="10" t="n">
        <v>81.23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82.0459</v>
      </c>
      <c r="AQ60" s="12">
        <f>IF(COUNT(AP55:AP60)=6,(AVERAGE(AP58:AP60)/AVERAGE(AP55:AP57))^4-1,"")</f>
        <v/>
      </c>
      <c r="AR60" s="10" t="n">
        <v>86.42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86.3231</v>
      </c>
      <c r="AW60" s="12">
        <f>IF(COUNT(AV55:AV60)=6,(AVERAGE(AV58:AV60)/AVERAGE(AV55:AV57))^4-1,"")</f>
        <v/>
      </c>
      <c r="AX60" s="10" t="n">
        <v>81.965</v>
      </c>
      <c r="AY60" s="11">
        <f>IF(ISNUMBER(AX60),AX60/AX$65*100,"")</f>
        <v/>
      </c>
      <c r="AZ60" s="12">
        <f>IF(AND(ISNUMBER(AX60),ISNUMBER(AX59)),AX60/AX59-1,"")</f>
        <v/>
      </c>
      <c r="BA60" s="12">
        <f>IF(AND(ISNUMBER(AX60),ISNUMBER(AX48)),AX60/AX48-1,"")</f>
        <v/>
      </c>
      <c r="BB60" s="11" t="n">
        <v>82.14490000000001</v>
      </c>
      <c r="BC60" s="12">
        <f>IF(COUNT(BB55:BB60)=6,(AVERAGE(BB58:BB60)/AVERAGE(BB55:BB57))^4-1,"")</f>
        <v/>
      </c>
    </row>
    <row r="61">
      <c r="A61" s="9" t="n">
        <v>43709</v>
      </c>
      <c r="B61" s="10" t="n">
        <v>82.34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82.4222</v>
      </c>
      <c r="G61" s="12">
        <f>IF(COUNT(F56:F61)=6,(AVERAGE(F59:F61)/AVERAGE(F56:F58))^4-1,"")</f>
        <v/>
      </c>
      <c r="H61" s="10" t="n">
        <v>87.02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86.9212</v>
      </c>
      <c r="M61" s="12">
        <f>IF(COUNT(L56:L61)=6,(AVERAGE(L59:L61)/AVERAGE(L56:L58))^4-1,"")</f>
        <v/>
      </c>
      <c r="N61" s="10" t="n">
        <v>82.94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82.9926</v>
      </c>
      <c r="S61" s="12">
        <f>IF(COUNT(R56:R61)=6,(AVERAGE(R59:R61)/AVERAGE(R56:R58))^4-1,"")</f>
        <v/>
      </c>
      <c r="T61" s="10" t="n">
        <v>80.83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81.16970000000001</v>
      </c>
      <c r="Y61" s="12">
        <f>IF(COUNT(X56:X61)=6,(AVERAGE(X59:X61)/AVERAGE(X56:X58))^4-1,"")</f>
        <v/>
      </c>
      <c r="Z61" s="10" t="n">
        <v>85.37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85.1846</v>
      </c>
      <c r="AE61" s="12">
        <f>IF(COUNT(AD56:AD61)=6,(AVERAGE(AD59:AD61)/AVERAGE(AD56:AD58))^4-1,"")</f>
        <v/>
      </c>
      <c r="AF61" s="10" t="n">
        <v>73.45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73.795</v>
      </c>
      <c r="AK61" s="12">
        <f>IF(COUNT(AJ56:AJ61)=6,(AVERAGE(AJ59:AJ61)/AVERAGE(AJ56:AJ58))^4-1,"")</f>
        <v/>
      </c>
      <c r="AL61" s="10" t="n">
        <v>80.89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80.8252</v>
      </c>
      <c r="AQ61" s="12">
        <f>IF(COUNT(AP56:AP61)=6,(AVERAGE(AP59:AP61)/AVERAGE(AP56:AP58))^4-1,"")</f>
        <v/>
      </c>
      <c r="AR61" s="10" t="n">
        <v>86.56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86.79219999999999</v>
      </c>
      <c r="AW61" s="12">
        <f>IF(COUNT(AV56:AV61)=6,(AVERAGE(AV59:AV61)/AVERAGE(AV56:AV58))^4-1,"")</f>
        <v/>
      </c>
      <c r="AX61" s="10" t="n">
        <v>81.965</v>
      </c>
      <c r="AY61" s="11">
        <f>IF(ISNUMBER(AX61),AX61/AX$65*100,"")</f>
        <v/>
      </c>
      <c r="AZ61" s="12">
        <f>IF(AND(ISNUMBER(AX61),ISNUMBER(AX60)),AX61/AX60-1,"")</f>
        <v/>
      </c>
      <c r="BA61" s="12">
        <f>IF(AND(ISNUMBER(AX61),ISNUMBER(AX49)),AX61/AX49-1,"")</f>
        <v/>
      </c>
      <c r="BB61" s="11" t="n">
        <v>82.003</v>
      </c>
      <c r="BC61" s="12">
        <f>IF(COUNT(BB56:BB61)=6,(AVERAGE(BB59:BB61)/AVERAGE(BB56:BB58))^4-1,"")</f>
        <v/>
      </c>
    </row>
    <row r="62">
      <c r="A62" s="9" t="n">
        <v>43739</v>
      </c>
      <c r="B62" s="10" t="n">
        <v>82.88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82.4718</v>
      </c>
      <c r="G62" s="12">
        <f>IF(COUNT(F57:F62)=6,(AVERAGE(F60:F62)/AVERAGE(F57:F59))^4-1,"")</f>
        <v/>
      </c>
      <c r="H62" s="10" t="n">
        <v>87.38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87.04810000000001</v>
      </c>
      <c r="M62" s="12">
        <f>IF(COUNT(L57:L62)=6,(AVERAGE(L60:L62)/AVERAGE(L57:L59))^4-1,"")</f>
        <v/>
      </c>
      <c r="N62" s="10" t="n">
        <v>83.45999999999999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83.125</v>
      </c>
      <c r="S62" s="12">
        <f>IF(COUNT(R57:R62)=6,(AVERAGE(R60:R62)/AVERAGE(R57:R59))^4-1,"")</f>
        <v/>
      </c>
      <c r="T62" s="10" t="n">
        <v>82.08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81.1716</v>
      </c>
      <c r="Y62" s="12">
        <f>IF(COUNT(X57:X62)=6,(AVERAGE(X60:X62)/AVERAGE(X57:X59))^4-1,"")</f>
        <v/>
      </c>
      <c r="Z62" s="10" t="n">
        <v>84.97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85.2645</v>
      </c>
      <c r="AE62" s="12">
        <f>IF(COUNT(AD57:AD62)=6,(AVERAGE(AD60:AD62)/AVERAGE(AD57:AD59))^4-1,"")</f>
        <v/>
      </c>
      <c r="AF62" s="10" t="n">
        <v>74.40000000000001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74.0181</v>
      </c>
      <c r="AK62" s="12">
        <f>IF(COUNT(AJ57:AJ62)=6,(AVERAGE(AJ60:AJ62)/AVERAGE(AJ57:AJ59))^4-1,"")</f>
        <v/>
      </c>
      <c r="AL62" s="10" t="n">
        <v>81.61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79.8051</v>
      </c>
      <c r="AQ62" s="12">
        <f>IF(COUNT(AP57:AP62)=6,(AVERAGE(AP60:AP62)/AVERAGE(AP57:AP59))^4-1,"")</f>
        <v/>
      </c>
      <c r="AR62" s="10" t="n">
        <v>86.37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86.2655</v>
      </c>
      <c r="AW62" s="12">
        <f>IF(COUNT(AV57:AV62)=6,(AVERAGE(AV60:AV62)/AVERAGE(AV57:AV59))^4-1,"")</f>
        <v/>
      </c>
      <c r="AX62" s="10" t="n">
        <v>82.76000000000001</v>
      </c>
      <c r="AY62" s="11">
        <f>IF(ISNUMBER(AX62),AX62/AX$65*100,"")</f>
        <v/>
      </c>
      <c r="AZ62" s="12">
        <f>IF(AND(ISNUMBER(AX62),ISNUMBER(AX61)),AX62/AX61-1,"")</f>
        <v/>
      </c>
      <c r="BA62" s="12">
        <f>IF(AND(ISNUMBER(AX62),ISNUMBER(AX50)),AX62/AX50-1,"")</f>
        <v/>
      </c>
      <c r="BB62" s="11" t="n">
        <v>82.40949999999999</v>
      </c>
      <c r="BC62" s="12">
        <f>IF(COUNT(BB57:BB62)=6,(AVERAGE(BB60:BB62)/AVERAGE(BB57:BB59))^4-1,"")</f>
        <v/>
      </c>
    </row>
    <row r="63">
      <c r="A63" s="9" t="n">
        <v>43770</v>
      </c>
      <c r="B63" s="10" t="n">
        <v>82.91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82.66679999999999</v>
      </c>
      <c r="G63" s="12">
        <f>IF(COUNT(F58:F63)=6,(AVERAGE(F61:F63)/AVERAGE(F58:F60))^4-1,"")</f>
        <v/>
      </c>
      <c r="H63" s="10" t="n">
        <v>87.52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87.15430000000001</v>
      </c>
      <c r="M63" s="12">
        <f>IF(COUNT(L58:L63)=6,(AVERAGE(L61:L63)/AVERAGE(L58:L60))^4-1,"")</f>
        <v/>
      </c>
      <c r="N63" s="10" t="n">
        <v>83.55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83.2794</v>
      </c>
      <c r="S63" s="12">
        <f>IF(COUNT(R58:R63)=6,(AVERAGE(R61:R63)/AVERAGE(R58:R60))^4-1,"")</f>
        <v/>
      </c>
      <c r="T63" s="10" t="n">
        <v>82.37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81.4439</v>
      </c>
      <c r="Y63" s="12">
        <f>IF(COUNT(X58:X63)=6,(AVERAGE(X61:X63)/AVERAGE(X58:X60))^4-1,"")</f>
        <v/>
      </c>
      <c r="Z63" s="10" t="n">
        <v>84.66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85.36669999999999</v>
      </c>
      <c r="AE63" s="12">
        <f>IF(COUNT(AD58:AD63)=6,(AVERAGE(AD61:AD63)/AVERAGE(AD58:AD60))^4-1,"")</f>
        <v/>
      </c>
      <c r="AF63" s="10" t="n">
        <v>74.38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74.33150000000001</v>
      </c>
      <c r="AK63" s="12">
        <f>IF(COUNT(AJ58:AJ63)=6,(AVERAGE(AJ61:AJ63)/AVERAGE(AJ58:AJ60))^4-1,"")</f>
        <v/>
      </c>
      <c r="AL63" s="10" t="n">
        <v>81.18000000000001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80.7191</v>
      </c>
      <c r="AQ63" s="12">
        <f>IF(COUNT(AP58:AP63)=6,(AVERAGE(AP61:AP63)/AVERAGE(AP58:AP60))^4-1,"")</f>
        <v/>
      </c>
      <c r="AR63" s="10" t="n">
        <v>86.23999999999999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86.351</v>
      </c>
      <c r="AW63" s="12">
        <f>IF(COUNT(AV58:AV63)=6,(AVERAGE(AV61:AV63)/AVERAGE(AV58:AV60))^4-1,"")</f>
        <v/>
      </c>
      <c r="AX63" s="10" t="n">
        <v>82.90000000000001</v>
      </c>
      <c r="AY63" s="11">
        <f>IF(ISNUMBER(AX63),AX63/AX$65*100,"")</f>
        <v/>
      </c>
      <c r="AZ63" s="12">
        <f>IF(AND(ISNUMBER(AX63),ISNUMBER(AX62)),AX63/AX62-1,"")</f>
        <v/>
      </c>
      <c r="BA63" s="12">
        <f>IF(AND(ISNUMBER(AX63),ISNUMBER(AX51)),AX63/AX51-1,"")</f>
        <v/>
      </c>
      <c r="BB63" s="11" t="n">
        <v>82.6028</v>
      </c>
      <c r="BC63" s="12">
        <f>IF(COUNT(BB58:BB63)=6,(AVERAGE(BB61:BB63)/AVERAGE(BB58:BB60))^4-1,"")</f>
        <v/>
      </c>
    </row>
    <row r="64">
      <c r="A64" s="9" t="n">
        <v>43800</v>
      </c>
      <c r="B64" s="10" t="n">
        <v>82.81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82.64239999999999</v>
      </c>
      <c r="G64" s="12">
        <f>IF(COUNT(F59:F64)=6,(AVERAGE(F62:F64)/AVERAGE(F59:F61))^4-1,"")</f>
        <v/>
      </c>
      <c r="H64" s="10" t="n">
        <v>87.51000000000001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87.2325</v>
      </c>
      <c r="M64" s="12">
        <f>IF(COUNT(L59:L64)=6,(AVERAGE(L62:L64)/AVERAGE(L59:L61))^4-1,"")</f>
        <v/>
      </c>
      <c r="N64" s="10" t="n">
        <v>83.51000000000001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83.3165</v>
      </c>
      <c r="S64" s="12">
        <f>IF(COUNT(R59:R64)=6,(AVERAGE(R62:R64)/AVERAGE(R59:R61))^4-1,"")</f>
        <v/>
      </c>
      <c r="T64" s="10" t="n">
        <v>81.90000000000001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81.2902</v>
      </c>
      <c r="Y64" s="12">
        <f>IF(COUNT(X59:X64)=6,(AVERAGE(X62:X64)/AVERAGE(X59:X61))^4-1,"")</f>
        <v/>
      </c>
      <c r="Z64" s="10" t="n">
        <v>85.05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85.5184</v>
      </c>
      <c r="AE64" s="12">
        <f>IF(COUNT(AD59:AD64)=6,(AVERAGE(AD62:AD64)/AVERAGE(AD59:AD61))^4-1,"")</f>
        <v/>
      </c>
      <c r="AF64" s="10" t="n">
        <v>74.23999999999999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74.3766</v>
      </c>
      <c r="AK64" s="12">
        <f>IF(COUNT(AJ59:AJ64)=6,(AVERAGE(AJ62:AJ64)/AVERAGE(AJ59:AJ61))^4-1,"")</f>
        <v/>
      </c>
      <c r="AL64" s="10" t="n">
        <v>80.63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81.0438</v>
      </c>
      <c r="AQ64" s="12">
        <f>IF(COUNT(AP59:AP64)=6,(AVERAGE(AP62:AP64)/AVERAGE(AP59:AP61))^4-1,"")</f>
        <v/>
      </c>
      <c r="AR64" s="10" t="n">
        <v>86.87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87.7624</v>
      </c>
      <c r="AW64" s="12">
        <f>IF(COUNT(AV59:AV64)=6,(AVERAGE(AV62:AV64)/AVERAGE(AV59:AV61))^4-1,"")</f>
        <v/>
      </c>
      <c r="AX64" s="10" t="n">
        <v>82.84</v>
      </c>
      <c r="AY64" s="11">
        <f>IF(ISNUMBER(AX64),AX64/AX$65*100,"")</f>
        <v/>
      </c>
      <c r="AZ64" s="12">
        <f>IF(AND(ISNUMBER(AX64),ISNUMBER(AX63)),AX64/AX63-1,"")</f>
        <v/>
      </c>
      <c r="BA64" s="12">
        <f>IF(AND(ISNUMBER(AX64),ISNUMBER(AX52)),AX64/AX52-1,"")</f>
        <v/>
      </c>
      <c r="BB64" s="11" t="n">
        <v>82.5705</v>
      </c>
      <c r="BC64" s="12">
        <f>IF(COUNT(BB59:BB64)=6,(AVERAGE(BB62:BB64)/AVERAGE(BB59:BB61))^4-1,"")</f>
        <v/>
      </c>
    </row>
    <row r="65">
      <c r="A65" s="9" t="n">
        <v>43831</v>
      </c>
      <c r="B65" s="10" t="n">
        <v>81.66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82.6254</v>
      </c>
      <c r="G65" s="12">
        <f>IF(COUNT(F60:F65)=6,(AVERAGE(F63:F65)/AVERAGE(F60:F62))^4-1,"")</f>
        <v/>
      </c>
      <c r="H65" s="10" t="n">
        <v>85.33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87.0403</v>
      </c>
      <c r="M65" s="12">
        <f>IF(COUNT(L60:L65)=6,(AVERAGE(L63:L65)/AVERAGE(L60:L62))^4-1,"")</f>
        <v/>
      </c>
      <c r="N65" s="10" t="n">
        <v>82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83.15819999999999</v>
      </c>
      <c r="S65" s="12">
        <f>IF(COUNT(R60:R65)=6,(AVERAGE(R63:R65)/AVERAGE(R60:R62))^4-1,"")</f>
        <v/>
      </c>
      <c r="T65" s="10" t="n">
        <v>80.25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81.3373</v>
      </c>
      <c r="Y65" s="12">
        <f>IF(COUNT(X60:X65)=6,(AVERAGE(X63:X65)/AVERAGE(X60:X62))^4-1,"")</f>
        <v/>
      </c>
      <c r="Z65" s="10" t="n">
        <v>84.58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85.4285</v>
      </c>
      <c r="AE65" s="12">
        <f>IF(COUNT(AD60:AD65)=6,(AVERAGE(AD63:AD65)/AVERAGE(AD60:AD62))^4-1,"")</f>
        <v/>
      </c>
      <c r="AF65" s="10" t="n">
        <v>74.45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74.32080000000001</v>
      </c>
      <c r="AK65" s="12">
        <f>IF(COUNT(AJ60:AJ65)=6,(AVERAGE(AJ63:AJ65)/AVERAGE(AJ60:AJ62))^4-1,"")</f>
        <v/>
      </c>
      <c r="AL65" s="10" t="n">
        <v>82.09999999999999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81.6318</v>
      </c>
      <c r="AQ65" s="12">
        <f>IF(COUNT(AP60:AP65)=6,(AVERAGE(AP63:AP65)/AVERAGE(AP60:AP62))^4-1,"")</f>
        <v/>
      </c>
      <c r="AR65" s="10" t="n">
        <v>87.08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86.8205</v>
      </c>
      <c r="AW65" s="12">
        <f>IF(COUNT(AV60:AV65)=6,(AVERAGE(AV63:AV65)/AVERAGE(AV60:AV62))^4-1,"")</f>
        <v/>
      </c>
      <c r="AX65" s="10" t="n">
        <v>82.032</v>
      </c>
      <c r="AY65" s="11">
        <f>IF(ISNUMBER(AX65),AX65/AX$65*100,"")</f>
        <v/>
      </c>
      <c r="AZ65" s="12">
        <f>IF(AND(ISNUMBER(AX65),ISNUMBER(AX64)),AX65/AX64-1,"")</f>
        <v/>
      </c>
      <c r="BA65" s="12">
        <f>IF(AND(ISNUMBER(AX65),ISNUMBER(AX53)),AX65/AX53-1,"")</f>
        <v/>
      </c>
      <c r="BB65" s="11" t="n">
        <v>82.5605</v>
      </c>
      <c r="BC65" s="12">
        <f>IF(COUNT(BB60:BB65)=6,(AVERAGE(BB63:BB65)/AVERAGE(BB60:BB62))^4-1,"")</f>
        <v/>
      </c>
    </row>
    <row r="66">
      <c r="A66" s="9" t="n">
        <v>43862</v>
      </c>
      <c r="B66" s="10" t="n">
        <v>81.61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82.399</v>
      </c>
      <c r="G66" s="12">
        <f>IF(COUNT(F61:F66)=6,(AVERAGE(F64:F66)/AVERAGE(F61:F63))^4-1,"")</f>
        <v/>
      </c>
      <c r="H66" s="10" t="n">
        <v>85.59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87.2732</v>
      </c>
      <c r="M66" s="12">
        <f>IF(COUNT(L61:L66)=6,(AVERAGE(L64:L66)/AVERAGE(L61:L63))^4-1,"")</f>
        <v/>
      </c>
      <c r="N66" s="10" t="n">
        <v>82.23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83.3437</v>
      </c>
      <c r="S66" s="12">
        <f>IF(COUNT(R61:R66)=6,(AVERAGE(R64:R66)/AVERAGE(R61:R63))^4-1,"")</f>
        <v/>
      </c>
      <c r="T66" s="10" t="n">
        <v>79.72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80.7205</v>
      </c>
      <c r="Y66" s="12">
        <f>IF(COUNT(X61:X66)=6,(AVERAGE(X64:X66)/AVERAGE(X61:X63))^4-1,"")</f>
        <v/>
      </c>
      <c r="Z66" s="10" t="n">
        <v>85.19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85.67310000000001</v>
      </c>
      <c r="AE66" s="12">
        <f>IF(COUNT(AD61:AD66)=6,(AVERAGE(AD64:AD66)/AVERAGE(AD61:AD63))^4-1,"")</f>
        <v/>
      </c>
      <c r="AF66" s="10" t="n">
        <v>74.64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74.5628</v>
      </c>
      <c r="AK66" s="12">
        <f>IF(COUNT(AJ61:AJ66)=6,(AVERAGE(AJ64:AJ66)/AVERAGE(AJ61:AJ63))^4-1,"")</f>
        <v/>
      </c>
      <c r="AL66" s="10" t="n">
        <v>79.92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79.0592</v>
      </c>
      <c r="AQ66" s="12">
        <f>IF(COUNT(AP61:AP66)=6,(AVERAGE(AP64:AP66)/AVERAGE(AP61:AP63))^4-1,"")</f>
        <v/>
      </c>
      <c r="AR66" s="10" t="n">
        <v>86.56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86.3439</v>
      </c>
      <c r="AW66" s="12">
        <f>IF(COUNT(AV61:AV66)=6,(AVERAGE(AV64:AV66)/AVERAGE(AV61:AV63))^4-1,"")</f>
        <v/>
      </c>
      <c r="AX66" s="10" t="n">
        <v>81.935</v>
      </c>
      <c r="AY66" s="11">
        <f>IF(ISNUMBER(AX66),AX66/AX$65*100,"")</f>
        <v/>
      </c>
      <c r="AZ66" s="12">
        <f>IF(AND(ISNUMBER(AX66),ISNUMBER(AX65)),AX66/AX65-1,"")</f>
        <v/>
      </c>
      <c r="BA66" s="12">
        <f>IF(AND(ISNUMBER(AX66),ISNUMBER(AX54)),AX66/AX54-1,"")</f>
        <v/>
      </c>
      <c r="BB66" s="11" t="n">
        <v>82.2671</v>
      </c>
      <c r="BC66" s="12">
        <f>IF(COUNT(BB61:BB66)=6,(AVERAGE(BB64:BB66)/AVERAGE(BB61:BB63))^4-1,"")</f>
        <v/>
      </c>
    </row>
    <row r="67">
      <c r="A67" s="9" t="n">
        <v>43891</v>
      </c>
      <c r="B67" s="10" t="n">
        <v>82.09999999999999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82.14449999999999</v>
      </c>
      <c r="G67" s="12">
        <f>IF(COUNT(F62:F67)=6,(AVERAGE(F65:F67)/AVERAGE(F62:F64))^4-1,"")</f>
        <v/>
      </c>
      <c r="H67" s="10" t="n">
        <v>87.28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87.2516</v>
      </c>
      <c r="M67" s="12">
        <f>IF(COUNT(L62:L67)=6,(AVERAGE(L65:L67)/AVERAGE(L62:L64))^4-1,"")</f>
        <v/>
      </c>
      <c r="N67" s="10" t="n">
        <v>83.48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83.4331</v>
      </c>
      <c r="S67" s="12">
        <f>IF(COUNT(R62:R67)=6,(AVERAGE(R65:R67)/AVERAGE(R62:R64))^4-1,"")</f>
        <v/>
      </c>
      <c r="T67" s="10" t="n">
        <v>80.40000000000001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80.3434</v>
      </c>
      <c r="Y67" s="12">
        <f>IF(COUNT(X62:X67)=6,(AVERAGE(X65:X67)/AVERAGE(X62:X64))^4-1,"")</f>
        <v/>
      </c>
      <c r="Z67" s="10" t="n">
        <v>85.41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85.6802</v>
      </c>
      <c r="AE67" s="12">
        <f>IF(COUNT(AD62:AD67)=6,(AVERAGE(AD65:AD67)/AVERAGE(AD62:AD64))^4-1,"")</f>
        <v/>
      </c>
      <c r="AF67" s="10" t="n">
        <v>74.73999999999999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74.7765</v>
      </c>
      <c r="AK67" s="12">
        <f>IF(COUNT(AJ62:AJ67)=6,(AVERAGE(AJ65:AJ67)/AVERAGE(AJ62:AJ64))^4-1,"")</f>
        <v/>
      </c>
      <c r="AL67" s="10" t="n">
        <v>74.83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75.9169</v>
      </c>
      <c r="AQ67" s="12">
        <f>IF(COUNT(AP62:AP67)=6,(AVERAGE(AP65:AP67)/AVERAGE(AP62:AP64))^4-1,"")</f>
        <v/>
      </c>
      <c r="AR67" s="10" t="n">
        <v>83.94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84.1572</v>
      </c>
      <c r="AW67" s="12">
        <f>IF(COUNT(AV62:AV67)=6,(AVERAGE(AV65:AV67)/AVERAGE(AV62:AV64))^4-1,"")</f>
        <v/>
      </c>
      <c r="AX67" s="10" t="n">
        <v>81.621</v>
      </c>
      <c r="AY67" s="11">
        <f>IF(ISNUMBER(AX67),AX67/AX$65*100,"")</f>
        <v/>
      </c>
      <c r="AZ67" s="12">
        <f>IF(AND(ISNUMBER(AX67),ISNUMBER(AX66)),AX67/AX66-1,"")</f>
        <v/>
      </c>
      <c r="BA67" s="12">
        <f>IF(AND(ISNUMBER(AX67),ISNUMBER(AX55)),AX67/AX55-1,"")</f>
        <v/>
      </c>
      <c r="BB67" s="11" t="n">
        <v>81.9926</v>
      </c>
      <c r="BC67" s="12">
        <f>IF(COUNT(BB62:BB67)=6,(AVERAGE(BB65:BB67)/AVERAGE(BB62:BB64))^4-1,"")</f>
        <v/>
      </c>
    </row>
    <row r="68">
      <c r="A68" s="9" t="n">
        <v>43922</v>
      </c>
      <c r="B68" s="10" t="n">
        <v>82.39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81.952</v>
      </c>
      <c r="G68" s="12">
        <f>IF(COUNT(F63:F68)=6,(AVERAGE(F66:F68)/AVERAGE(F63:F65))^4-1,"")</f>
        <v/>
      </c>
      <c r="H68" s="10" t="n">
        <v>88.38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87.4701</v>
      </c>
      <c r="M68" s="12">
        <f>IF(COUNT(L63:L68)=6,(AVERAGE(L66:L68)/AVERAGE(L63:L65))^4-1,"")</f>
        <v/>
      </c>
      <c r="N68" s="10" t="n">
        <v>84.53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83.94499999999999</v>
      </c>
      <c r="S68" s="12">
        <f>IF(COUNT(R63:R68)=6,(AVERAGE(R66:R68)/AVERAGE(R63:R65))^4-1,"")</f>
        <v/>
      </c>
      <c r="T68" s="10" t="n">
        <v>80.51000000000001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79.8168</v>
      </c>
      <c r="Y68" s="12">
        <f>IF(COUNT(X63:X68)=6,(AVERAGE(X66:X68)/AVERAGE(X63:X65))^4-1,"")</f>
        <v/>
      </c>
      <c r="Z68" s="10" t="n">
        <v>85.95999999999999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85.6375</v>
      </c>
      <c r="AE68" s="12">
        <f>IF(COUNT(AD63:AD68)=6,(AVERAGE(AD66:AD68)/AVERAGE(AD63:AD65))^4-1,"")</f>
        <v/>
      </c>
      <c r="AF68" s="10" t="n">
        <v>75.68000000000001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75.7212</v>
      </c>
      <c r="AK68" s="12">
        <f>IF(COUNT(AJ63:AJ68)=6,(AVERAGE(AJ66:AJ68)/AVERAGE(AJ63:AJ65))^4-1,"")</f>
        <v/>
      </c>
      <c r="AL68" s="10" t="n">
        <v>69.54000000000001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69.65949999999999</v>
      </c>
      <c r="AQ68" s="12">
        <f>IF(COUNT(AP63:AP68)=6,(AVERAGE(AP66:AP68)/AVERAGE(AP63:AP65))^4-1,"")</f>
        <v/>
      </c>
      <c r="AR68" s="10" t="n">
        <v>81.31999999999999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80.87090000000001</v>
      </c>
      <c r="AW68" s="12">
        <f>IF(COUNT(AV63:AV68)=6,(AVERAGE(AV66:AV68)/AVERAGE(AV63:AV65))^4-1,"")</f>
        <v/>
      </c>
      <c r="AX68" s="10" t="n">
        <v>81.86799999999999</v>
      </c>
      <c r="AY68" s="11">
        <f>IF(ISNUMBER(AX68),AX68/AX$65*100,"")</f>
        <v/>
      </c>
      <c r="AZ68" s="12">
        <f>IF(AND(ISNUMBER(AX68),ISNUMBER(AX67)),AX68/AX67-1,"")</f>
        <v/>
      </c>
      <c r="BA68" s="12">
        <f>IF(AND(ISNUMBER(AX68),ISNUMBER(AX56)),AX68/AX56-1,"")</f>
        <v/>
      </c>
      <c r="BB68" s="11" t="n">
        <v>81.73099999999999</v>
      </c>
      <c r="BC68" s="12">
        <f>IF(COUNT(BB63:BB68)=6,(AVERAGE(BB66:BB68)/AVERAGE(BB63:BB65))^4-1,"")</f>
        <v/>
      </c>
    </row>
    <row r="69">
      <c r="A69" s="9" t="n">
        <v>43952</v>
      </c>
      <c r="B69" s="10" t="n">
        <v>82.44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81.9209</v>
      </c>
      <c r="G69" s="12">
        <f>IF(COUNT(F64:F69)=6,(AVERAGE(F67:F69)/AVERAGE(F64:F66))^4-1,"")</f>
        <v/>
      </c>
      <c r="H69" s="10" t="n">
        <v>88.54000000000001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87.61</v>
      </c>
      <c r="M69" s="12">
        <f>IF(COUNT(L64:L69)=6,(AVERAGE(L67:L69)/AVERAGE(L64:L66))^4-1,"")</f>
        <v/>
      </c>
      <c r="N69" s="10" t="n">
        <v>84.65000000000001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83.9046</v>
      </c>
      <c r="S69" s="12">
        <f>IF(COUNT(R64:R69)=6,(AVERAGE(R67:R69)/AVERAGE(R64:R66))^4-1,"")</f>
        <v/>
      </c>
      <c r="T69" s="10" t="n">
        <v>80.67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79.75709999999999</v>
      </c>
      <c r="Y69" s="12">
        <f>IF(COUNT(X64:X69)=6,(AVERAGE(X67:X69)/AVERAGE(X64:X66))^4-1,"")</f>
        <v/>
      </c>
      <c r="Z69" s="10" t="n">
        <v>85.84999999999999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85.7383</v>
      </c>
      <c r="AE69" s="12">
        <f>IF(COUNT(AD64:AD69)=6,(AVERAGE(AD67:AD69)/AVERAGE(AD64:AD66))^4-1,"")</f>
        <v/>
      </c>
      <c r="AF69" s="10" t="n">
        <v>75.68000000000001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75.4928</v>
      </c>
      <c r="AK69" s="12">
        <f>IF(COUNT(AJ64:AJ69)=6,(AVERAGE(AJ67:AJ69)/AVERAGE(AJ64:AJ66))^4-1,"")</f>
        <v/>
      </c>
      <c r="AL69" s="10" t="n">
        <v>69.08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69.34569999999999</v>
      </c>
      <c r="AQ69" s="12">
        <f>IF(COUNT(AP64:AP69)=6,(AVERAGE(AP67:AP69)/AVERAGE(AP64:AP66))^4-1,"")</f>
        <v/>
      </c>
      <c r="AR69" s="10" t="n">
        <v>80.67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80.3908</v>
      </c>
      <c r="AW69" s="12">
        <f>IF(COUNT(AV64:AV69)=6,(AVERAGE(AV67:AV69)/AVERAGE(AV64:AV66))^4-1,"")</f>
        <v/>
      </c>
      <c r="AX69" s="10" t="n">
        <v>81.863</v>
      </c>
      <c r="AY69" s="11">
        <f>IF(ISNUMBER(AX69),AX69/AX$65*100,"")</f>
        <v/>
      </c>
      <c r="AZ69" s="12">
        <f>IF(AND(ISNUMBER(AX69),ISNUMBER(AX68)),AX69/AX68-1,"")</f>
        <v/>
      </c>
      <c r="BA69" s="12">
        <f>IF(AND(ISNUMBER(AX69),ISNUMBER(AX57)),AX69/AX57-1,"")</f>
        <v/>
      </c>
      <c r="BB69" s="11" t="n">
        <v>81.6726</v>
      </c>
      <c r="BC69" s="12">
        <f>IF(COUNT(BB64:BB69)=6,(AVERAGE(BB67:BB69)/AVERAGE(BB64:BB66))^4-1,"")</f>
        <v/>
      </c>
    </row>
    <row r="70">
      <c r="A70" s="9" t="n">
        <v>43983</v>
      </c>
      <c r="B70" s="10" t="n">
        <v>82.8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82.1602</v>
      </c>
      <c r="G70" s="12">
        <f>IF(COUNT(F65:F70)=6,(AVERAGE(F68:F70)/AVERAGE(F65:F67))^4-1,"")</f>
        <v/>
      </c>
      <c r="H70" s="10" t="n">
        <v>88.68000000000001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87.58369999999999</v>
      </c>
      <c r="M70" s="12">
        <f>IF(COUNT(L65:L70)=6,(AVERAGE(L68:L70)/AVERAGE(L65:L67))^4-1,"")</f>
        <v/>
      </c>
      <c r="N70" s="10" t="n">
        <v>84.69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83.8365</v>
      </c>
      <c r="S70" s="12">
        <f>IF(COUNT(R65:R70)=6,(AVERAGE(R68:R70)/AVERAGE(R65:R67))^4-1,"")</f>
        <v/>
      </c>
      <c r="T70" s="10" t="n">
        <v>80.95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80.14319999999999</v>
      </c>
      <c r="Y70" s="12">
        <f>IF(COUNT(X65:X70)=6,(AVERAGE(X68:X70)/AVERAGE(X65:X67))^4-1,"")</f>
        <v/>
      </c>
      <c r="Z70" s="10" t="n">
        <v>86.33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85.8154</v>
      </c>
      <c r="AE70" s="12">
        <f>IF(COUNT(AD65:AD70)=6,(AVERAGE(AD68:AD70)/AVERAGE(AD65:AD67))^4-1,"")</f>
        <v/>
      </c>
      <c r="AF70" s="10" t="n">
        <v>75.45999999999999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75.19629999999999</v>
      </c>
      <c r="AK70" s="12">
        <f>IF(COUNT(AJ65:AJ70)=6,(AVERAGE(AJ68:AJ70)/AVERAGE(AJ65:AJ67))^4-1,"")</f>
        <v/>
      </c>
      <c r="AL70" s="10" t="n">
        <v>71.84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72.1429</v>
      </c>
      <c r="AQ70" s="12">
        <f>IF(COUNT(AP65:AP70)=6,(AVERAGE(AP68:AP70)/AVERAGE(AP65:AP67))^4-1,"")</f>
        <v/>
      </c>
      <c r="AR70" s="10" t="n">
        <v>81.94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82.01990000000001</v>
      </c>
      <c r="AW70" s="12">
        <f>IF(COUNT(AV65:AV70)=6,(AVERAGE(AV68:AV70)/AVERAGE(AV65:AV67))^4-1,"")</f>
        <v/>
      </c>
      <c r="AX70" s="10" t="n">
        <v>82.23999999999999</v>
      </c>
      <c r="AY70" s="11">
        <f>IF(ISNUMBER(AX70),AX70/AX$65*100,"")</f>
        <v/>
      </c>
      <c r="AZ70" s="12">
        <f>IF(AND(ISNUMBER(AX70),ISNUMBER(AX69)),AX70/AX69-1,"")</f>
        <v/>
      </c>
      <c r="BA70" s="12">
        <f>IF(AND(ISNUMBER(AX70),ISNUMBER(AX58)),AX70/AX58-1,"")</f>
        <v/>
      </c>
      <c r="BB70" s="11" t="n">
        <v>81.9182</v>
      </c>
      <c r="BC70" s="12">
        <f>IF(COUNT(BB65:BB70)=6,(AVERAGE(BB68:BB70)/AVERAGE(BB65:BB67))^4-1,"")</f>
        <v/>
      </c>
    </row>
    <row r="71">
      <c r="A71" s="9" t="n">
        <v>44013</v>
      </c>
      <c r="B71" s="10" t="n">
        <v>81.51000000000001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81.7407</v>
      </c>
      <c r="G71" s="12">
        <f>IF(COUNT(F66:F71)=6,(AVERAGE(F69:F71)/AVERAGE(F66:F68))^4-1,"")</f>
        <v/>
      </c>
      <c r="H71" s="10" t="n">
        <v>86.55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86.8278</v>
      </c>
      <c r="M71" s="12">
        <f>IF(COUNT(L66:L71)=6,(AVERAGE(L69:L71)/AVERAGE(L66:L68))^4-1,"")</f>
        <v/>
      </c>
      <c r="N71" s="10" t="n">
        <v>82.98999999999999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83.28870000000001</v>
      </c>
      <c r="S71" s="12">
        <f>IF(COUNT(R66:R71)=6,(AVERAGE(R69:R71)/AVERAGE(R66:R68))^4-1,"")</f>
        <v/>
      </c>
      <c r="T71" s="10" t="n">
        <v>79.11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80.19540000000001</v>
      </c>
      <c r="Y71" s="12">
        <f>IF(COUNT(X66:X71)=6,(AVERAGE(X69:X71)/AVERAGE(X66:X68))^4-1,"")</f>
        <v/>
      </c>
      <c r="Z71" s="10" t="n">
        <v>85.78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84.88890000000001</v>
      </c>
      <c r="AE71" s="12">
        <f>IF(COUNT(AD66:AD71)=6,(AVERAGE(AD69:AD71)/AVERAGE(AD66:AD68))^4-1,"")</f>
        <v/>
      </c>
      <c r="AF71" s="10" t="n">
        <v>74.90000000000001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75.03579999999999</v>
      </c>
      <c r="AK71" s="12">
        <f>IF(COUNT(AJ66:AJ71)=6,(AVERAGE(AJ69:AJ71)/AVERAGE(AJ66:AJ68))^4-1,"")</f>
        <v/>
      </c>
      <c r="AL71" s="10" t="n">
        <v>73.43000000000001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74.2936</v>
      </c>
      <c r="AQ71" s="12">
        <f>IF(COUNT(AP66:AP71)=6,(AVERAGE(AP69:AP71)/AVERAGE(AP66:AP68))^4-1,"")</f>
        <v/>
      </c>
      <c r="AR71" s="10" t="n">
        <v>82.70999999999999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82.7856</v>
      </c>
      <c r="AW71" s="12">
        <f>IF(COUNT(AV66:AV71)=6,(AVERAGE(AV69:AV71)/AVERAGE(AV66:AV68))^4-1,"")</f>
        <v/>
      </c>
      <c r="AX71" s="10" t="n">
        <v>81.502</v>
      </c>
      <c r="AY71" s="11">
        <f>IF(ISNUMBER(AX71),AX71/AX$65*100,"")</f>
        <v/>
      </c>
      <c r="AZ71" s="12">
        <f>IF(AND(ISNUMBER(AX71),ISNUMBER(AX70)),AX71/AX70-1,"")</f>
        <v/>
      </c>
      <c r="BA71" s="12">
        <f>IF(AND(ISNUMBER(AX71),ISNUMBER(AX59)),AX71/AX59-1,"")</f>
        <v/>
      </c>
      <c r="BB71" s="11" t="n">
        <v>81.6417</v>
      </c>
      <c r="BC71" s="12">
        <f>IF(COUNT(BB66:BB71)=6,(AVERAGE(BB69:BB71)/AVERAGE(BB66:BB68))^4-1,"")</f>
        <v/>
      </c>
    </row>
    <row r="72">
      <c r="A72" s="9" t="n">
        <v>44044</v>
      </c>
      <c r="B72" s="10" t="n">
        <v>81.51000000000001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81.7597</v>
      </c>
      <c r="G72" s="12">
        <f>IF(COUNT(F67:F72)=6,(AVERAGE(F70:F72)/AVERAGE(F67:F69))^4-1,"")</f>
        <v/>
      </c>
      <c r="H72" s="10" t="n">
        <v>86.48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86.7931</v>
      </c>
      <c r="M72" s="12">
        <f>IF(COUNT(L67:L72)=6,(AVERAGE(L70:L72)/AVERAGE(L67:L69))^4-1,"")</f>
        <v/>
      </c>
      <c r="N72" s="10" t="n">
        <v>82.95999999999999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83.2974</v>
      </c>
      <c r="S72" s="12">
        <f>IF(COUNT(R67:R72)=6,(AVERAGE(R70:R72)/AVERAGE(R67:R69))^4-1,"")</f>
        <v/>
      </c>
      <c r="T72" s="10" t="n">
        <v>78.98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80.25320000000001</v>
      </c>
      <c r="Y72" s="12">
        <f>IF(COUNT(X67:X72)=6,(AVERAGE(X70:X72)/AVERAGE(X67:X69))^4-1,"")</f>
        <v/>
      </c>
      <c r="Z72" s="10" t="n">
        <v>85.95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84.9427</v>
      </c>
      <c r="AE72" s="12">
        <f>IF(COUNT(AD67:AD72)=6,(AVERAGE(AD70:AD72)/AVERAGE(AD67:AD69))^4-1,"")</f>
        <v/>
      </c>
      <c r="AF72" s="10" t="n">
        <v>74.95999999999999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75.2611</v>
      </c>
      <c r="AK72" s="12">
        <f>IF(COUNT(AJ67:AJ72)=6,(AVERAGE(AJ70:AJ72)/AVERAGE(AJ67:AJ69))^4-1,"")</f>
        <v/>
      </c>
      <c r="AL72" s="10" t="n">
        <v>73.68000000000001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74.31100000000001</v>
      </c>
      <c r="AQ72" s="12">
        <f>IF(COUNT(AP67:AP72)=6,(AVERAGE(AP70:AP72)/AVERAGE(AP67:AP69))^4-1,"")</f>
        <v/>
      </c>
      <c r="AR72" s="10" t="n">
        <v>82.70999999999999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82.4442</v>
      </c>
      <c r="AW72" s="12">
        <f>IF(COUNT(AV67:AV72)=6,(AVERAGE(AV70:AV72)/AVERAGE(AV67:AV69))^4-1,"")</f>
        <v/>
      </c>
      <c r="AX72" s="10" t="n">
        <v>81.54000000000001</v>
      </c>
      <c r="AY72" s="11">
        <f>IF(ISNUMBER(AX72),AX72/AX$65*100,"")</f>
        <v/>
      </c>
      <c r="AZ72" s="12">
        <f>IF(AND(ISNUMBER(AX72),ISNUMBER(AX71)),AX72/AX71-1,"")</f>
        <v/>
      </c>
      <c r="BA72" s="12">
        <f>IF(AND(ISNUMBER(AX72),ISNUMBER(AX60)),AX72/AX60-1,"")</f>
        <v/>
      </c>
      <c r="BB72" s="11" t="n">
        <v>81.672</v>
      </c>
      <c r="BC72" s="12">
        <f>IF(COUNT(BB67:BB72)=6,(AVERAGE(BB70:BB72)/AVERAGE(BB67:BB69))^4-1,"")</f>
        <v/>
      </c>
    </row>
    <row r="73">
      <c r="A73" s="9" t="n">
        <v>44075</v>
      </c>
      <c r="B73" s="10" t="n">
        <v>81.87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81.95099999999999</v>
      </c>
      <c r="G73" s="12">
        <f>IF(COUNT(F68:F73)=6,(AVERAGE(F71:F73)/AVERAGE(F68:F70))^4-1,"")</f>
        <v/>
      </c>
      <c r="H73" s="10" t="n">
        <v>86.98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86.8592</v>
      </c>
      <c r="M73" s="12">
        <f>IF(COUNT(L68:L73)=6,(AVERAGE(L71:L73)/AVERAGE(L68:L70))^4-1,"")</f>
        <v/>
      </c>
      <c r="N73" s="10" t="n">
        <v>83.34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83.396</v>
      </c>
      <c r="S73" s="12">
        <f>IF(COUNT(R68:R73)=6,(AVERAGE(R71:R73)/AVERAGE(R68:R70))^4-1,"")</f>
        <v/>
      </c>
      <c r="T73" s="10" t="n">
        <v>79.98999999999999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80.3716</v>
      </c>
      <c r="Y73" s="12">
        <f>IF(COUNT(X68:X73)=6,(AVERAGE(X71:X73)/AVERAGE(X68:X70))^4-1,"")</f>
        <v/>
      </c>
      <c r="Z73" s="10" t="n">
        <v>85.43000000000001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85.2418</v>
      </c>
      <c r="AE73" s="12">
        <f>IF(COUNT(AD68:AD73)=6,(AVERAGE(AD71:AD73)/AVERAGE(AD68:AD70))^4-1,"")</f>
        <v/>
      </c>
      <c r="AF73" s="10" t="n">
        <v>75.01000000000001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75.4379</v>
      </c>
      <c r="AK73" s="12">
        <f>IF(COUNT(AJ68:AJ73)=6,(AVERAGE(AJ71:AJ73)/AVERAGE(AJ68:AJ70))^4-1,"")</f>
        <v/>
      </c>
      <c r="AL73" s="10" t="n">
        <v>73.94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73.3866</v>
      </c>
      <c r="AQ73" s="12">
        <f>IF(COUNT(AP68:AP73)=6,(AVERAGE(AP71:AP73)/AVERAGE(AP68:AP70))^4-1,"")</f>
        <v/>
      </c>
      <c r="AR73" s="10" t="n">
        <v>82.29000000000001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82.5249</v>
      </c>
      <c r="AW73" s="12">
        <f>IF(COUNT(AV68:AV73)=6,(AVERAGE(AV71:AV73)/AVERAGE(AV68:AV70))^4-1,"")</f>
        <v/>
      </c>
      <c r="AX73" s="10" t="n">
        <v>81.66200000000001</v>
      </c>
      <c r="AY73" s="11">
        <f>IF(ISNUMBER(AX73),AX73/AX$65*100,"")</f>
        <v/>
      </c>
      <c r="AZ73" s="12">
        <f>IF(AND(ISNUMBER(AX73),ISNUMBER(AX72)),AX73/AX72-1,"")</f>
        <v/>
      </c>
      <c r="BA73" s="12">
        <f>IF(AND(ISNUMBER(AX73),ISNUMBER(AX61)),AX73/AX61-1,"")</f>
        <v/>
      </c>
      <c r="BB73" s="11" t="n">
        <v>81.6024</v>
      </c>
      <c r="BC73" s="12">
        <f>IF(COUNT(BB68:BB73)=6,(AVERAGE(BB71:BB73)/AVERAGE(BB68:BB70))^4-1,"")</f>
        <v/>
      </c>
    </row>
    <row r="74">
      <c r="A74" s="9" t="n">
        <v>44105</v>
      </c>
      <c r="B74" s="10" t="n">
        <v>82.13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81.76649999999999</v>
      </c>
      <c r="G74" s="12">
        <f>IF(COUNT(F69:F74)=6,(AVERAGE(F72:F74)/AVERAGE(F69:F71))^4-1,"")</f>
        <v/>
      </c>
      <c r="H74" s="10" t="n">
        <v>87.3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86.98739999999999</v>
      </c>
      <c r="M74" s="12">
        <f>IF(COUNT(L69:L74)=6,(AVERAGE(L72:L74)/AVERAGE(L69:L71))^4-1,"")</f>
        <v/>
      </c>
      <c r="N74" s="10" t="n">
        <v>83.81999999999999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83.51090000000001</v>
      </c>
      <c r="S74" s="12">
        <f>IF(COUNT(R69:R74)=6,(AVERAGE(R72:R74)/AVERAGE(R69:R71))^4-1,"")</f>
        <v/>
      </c>
      <c r="T74" s="10" t="n">
        <v>80.81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79.9829</v>
      </c>
      <c r="Y74" s="12">
        <f>IF(COUNT(X69:X74)=6,(AVERAGE(X72:X74)/AVERAGE(X69:X71))^4-1,"")</f>
        <v/>
      </c>
      <c r="Z74" s="10" t="n">
        <v>84.91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85.1875</v>
      </c>
      <c r="AE74" s="12">
        <f>IF(COUNT(AD69:AD74)=6,(AVERAGE(AD72:AD74)/AVERAGE(AD69:AD71))^4-1,"")</f>
        <v/>
      </c>
      <c r="AF74" s="10" t="n">
        <v>75.91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75.5806</v>
      </c>
      <c r="AK74" s="12">
        <f>IF(COUNT(AJ69:AJ74)=6,(AVERAGE(AJ72:AJ74)/AVERAGE(AJ69:AJ71))^4-1,"")</f>
        <v/>
      </c>
      <c r="AL74" s="10" t="n">
        <v>72.56999999999999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70.94670000000001</v>
      </c>
      <c r="AQ74" s="12">
        <f>IF(COUNT(AP69:AP74)=6,(AVERAGE(AP72:AP74)/AVERAGE(AP69:AP71))^4-1,"")</f>
        <v/>
      </c>
      <c r="AR74" s="10" t="n">
        <v>82.05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81.9486</v>
      </c>
      <c r="AW74" s="12">
        <f>IF(COUNT(AV69:AV74)=6,(AVERAGE(AV72:AV74)/AVERAGE(AV69:AV71))^4-1,"")</f>
        <v/>
      </c>
      <c r="AX74" s="10" t="n">
        <v>82.09</v>
      </c>
      <c r="AY74" s="11">
        <f>IF(ISNUMBER(AX74),AX74/AX$65*100,"")</f>
        <v/>
      </c>
      <c r="AZ74" s="12">
        <f>IF(AND(ISNUMBER(AX74),ISNUMBER(AX73)),AX74/AX73-1,"")</f>
        <v/>
      </c>
      <c r="BA74" s="12">
        <f>IF(AND(ISNUMBER(AX74),ISNUMBER(AX62)),AX74/AX62-1,"")</f>
        <v/>
      </c>
      <c r="BB74" s="11" t="n">
        <v>81.8079</v>
      </c>
      <c r="BC74" s="12">
        <f>IF(COUNT(BB69:BB74)=6,(AVERAGE(BB72:BB74)/AVERAGE(BB69:BB71))^4-1,"")</f>
        <v/>
      </c>
    </row>
    <row r="75">
      <c r="A75" s="9" t="n">
        <v>44136</v>
      </c>
      <c r="B75" s="10" t="n">
        <v>82.20999999999999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82.071</v>
      </c>
      <c r="G75" s="12">
        <f>IF(COUNT(F70:F75)=6,(AVERAGE(F73:F75)/AVERAGE(F70:F72))^4-1,"")</f>
        <v/>
      </c>
      <c r="H75" s="10" t="n">
        <v>87.51000000000001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87.2433</v>
      </c>
      <c r="M75" s="12">
        <f>IF(COUNT(L70:L75)=6,(AVERAGE(L73:L75)/AVERAGE(L70:L72))^4-1,"")</f>
        <v/>
      </c>
      <c r="N75" s="10" t="n">
        <v>83.79000000000001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83.5924</v>
      </c>
      <c r="S75" s="12">
        <f>IF(COUNT(R70:R75)=6,(AVERAGE(R73:R75)/AVERAGE(R70:R72))^4-1,"")</f>
        <v/>
      </c>
      <c r="T75" s="10" t="n">
        <v>81.17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80.3942</v>
      </c>
      <c r="Y75" s="12">
        <f>IF(COUNT(X70:X75)=6,(AVERAGE(X73:X75)/AVERAGE(X70:X72))^4-1,"")</f>
        <v/>
      </c>
      <c r="Z75" s="10" t="n">
        <v>84.61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85.3387</v>
      </c>
      <c r="AE75" s="12">
        <f>IF(COUNT(AD70:AD75)=6,(AVERAGE(AD73:AD75)/AVERAGE(AD70:AD72))^4-1,"")</f>
        <v/>
      </c>
      <c r="AF75" s="10" t="n">
        <v>75.29000000000001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75.2675</v>
      </c>
      <c r="AK75" s="12">
        <f>IF(COUNT(AJ70:AJ75)=6,(AVERAGE(AJ73:AJ75)/AVERAGE(AJ70:AJ72))^4-1,"")</f>
        <v/>
      </c>
      <c r="AL75" s="10" t="n">
        <v>73.43000000000001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73.3018</v>
      </c>
      <c r="AQ75" s="12">
        <f>IF(COUNT(AP70:AP75)=6,(AVERAGE(AP73:AP75)/AVERAGE(AP70:AP72))^4-1,"")</f>
        <v/>
      </c>
      <c r="AR75" s="10" t="n">
        <v>81.94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82.0395</v>
      </c>
      <c r="AW75" s="12">
        <f>IF(COUNT(AV70:AV75)=6,(AVERAGE(AV73:AV75)/AVERAGE(AV70:AV72))^4-1,"")</f>
        <v/>
      </c>
      <c r="AX75" s="10" t="n">
        <v>82.22499999999999</v>
      </c>
      <c r="AY75" s="11">
        <f>IF(ISNUMBER(AX75),AX75/AX$65*100,"")</f>
        <v/>
      </c>
      <c r="AZ75" s="12">
        <f>IF(AND(ISNUMBER(AX75),ISNUMBER(AX74)),AX75/AX74-1,"")</f>
        <v/>
      </c>
      <c r="BA75" s="12">
        <f>IF(AND(ISNUMBER(AX75),ISNUMBER(AX63)),AX75/AX63-1,"")</f>
        <v/>
      </c>
      <c r="BB75" s="11" t="n">
        <v>82.0505</v>
      </c>
      <c r="BC75" s="12">
        <f>IF(COUNT(BB70:BB75)=6,(AVERAGE(BB73:BB75)/AVERAGE(BB70:BB72))^4-1,"")</f>
        <v/>
      </c>
    </row>
    <row r="76">
      <c r="A76" s="9" t="n">
        <v>44166</v>
      </c>
      <c r="B76" s="10" t="n">
        <v>82.34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82.2606</v>
      </c>
      <c r="G76" s="12">
        <f>IF(COUNT(F71:F76)=6,(AVERAGE(F74:F76)/AVERAGE(F71:F73))^4-1,"")</f>
        <v/>
      </c>
      <c r="H76" s="10" t="n">
        <v>87.41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87.2002</v>
      </c>
      <c r="M76" s="12">
        <f>IF(COUNT(L71:L76)=6,(AVERAGE(L74:L76)/AVERAGE(L71:L73))^4-1,"")</f>
        <v/>
      </c>
      <c r="N76" s="10" t="n">
        <v>83.65000000000001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83.5061</v>
      </c>
      <c r="S76" s="12">
        <f>IF(COUNT(R71:R76)=6,(AVERAGE(R74:R76)/AVERAGE(R71:R73))^4-1,"")</f>
        <v/>
      </c>
      <c r="T76" s="10" t="n">
        <v>81.22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80.7397</v>
      </c>
      <c r="Y76" s="12">
        <f>IF(COUNT(X71:X76)=6,(AVERAGE(X74:X76)/AVERAGE(X71:X73))^4-1,"")</f>
        <v/>
      </c>
      <c r="Z76" s="10" t="n">
        <v>84.84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85.32340000000001</v>
      </c>
      <c r="AE76" s="12">
        <f>IF(COUNT(AD71:AD76)=6,(AVERAGE(AD74:AD76)/AVERAGE(AD71:AD73))^4-1,"")</f>
        <v/>
      </c>
      <c r="AF76" s="10" t="n">
        <v>75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75.14230000000001</v>
      </c>
      <c r="AK76" s="12">
        <f>IF(COUNT(AJ71:AJ76)=6,(AVERAGE(AJ74:AJ76)/AVERAGE(AJ71:AJ73))^4-1,"")</f>
        <v/>
      </c>
      <c r="AL76" s="10" t="n">
        <v>75.56999999999999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76.2252</v>
      </c>
      <c r="AQ76" s="12">
        <f>IF(COUNT(AP71:AP76)=6,(AVERAGE(AP74:AP76)/AVERAGE(AP71:AP73))^4-1,"")</f>
        <v/>
      </c>
      <c r="AR76" s="10" t="n">
        <v>83.11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84.002</v>
      </c>
      <c r="AW76" s="12">
        <f>IF(COUNT(AV71:AV76)=6,(AVERAGE(AV74:AV76)/AVERAGE(AV71:AV73))^4-1,"")</f>
        <v/>
      </c>
      <c r="AX76" s="10" t="n">
        <v>82.40000000000001</v>
      </c>
      <c r="AY76" s="11">
        <f>IF(ISNUMBER(AX76),AX76/AX$65*100,"")</f>
        <v/>
      </c>
      <c r="AZ76" s="12">
        <f>IF(AND(ISNUMBER(AX76),ISNUMBER(AX75)),AX76/AX75-1,"")</f>
        <v/>
      </c>
      <c r="BA76" s="12">
        <f>IF(AND(ISNUMBER(AX76),ISNUMBER(AX64)),AX76/AX64-1,"")</f>
        <v/>
      </c>
      <c r="BB76" s="11" t="n">
        <v>82.2392</v>
      </c>
      <c r="BC76" s="12">
        <f>IF(COUNT(BB71:BB76)=6,(AVERAGE(BB74:BB76)/AVERAGE(BB71:BB73))^4-1,"")</f>
        <v/>
      </c>
    </row>
    <row r="77">
      <c r="A77" s="9" t="n">
        <v>44197</v>
      </c>
      <c r="B77" s="10" t="n">
        <v>82.02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82.92149999999999</v>
      </c>
      <c r="G77" s="12">
        <f>IF(COUNT(F72:F77)=6,(AVERAGE(F75:F77)/AVERAGE(F72:F74))^4-1,"")</f>
        <v/>
      </c>
      <c r="H77" s="10" t="n">
        <v>85.64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87.285</v>
      </c>
      <c r="M77" s="12">
        <f>IF(COUNT(L72:L77)=6,(AVERAGE(L75:L77)/AVERAGE(L72:L74))^4-1,"")</f>
        <v/>
      </c>
      <c r="N77" s="10" t="n">
        <v>82.64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83.76000000000001</v>
      </c>
      <c r="S77" s="12">
        <f>IF(COUNT(R72:R77)=6,(AVERAGE(R75:R77)/AVERAGE(R72:R74))^4-1,"")</f>
        <v/>
      </c>
      <c r="T77" s="10" t="n">
        <v>80.63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81.5698</v>
      </c>
      <c r="Y77" s="12">
        <f>IF(COUNT(X72:X77)=6,(AVERAGE(X75:X77)/AVERAGE(X72:X74))^4-1,"")</f>
        <v/>
      </c>
      <c r="Z77" s="10" t="n">
        <v>84.94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85.8289</v>
      </c>
      <c r="AE77" s="12">
        <f>IF(COUNT(AD72:AD77)=6,(AVERAGE(AD75:AD77)/AVERAGE(AD72:AD74))^4-1,"")</f>
        <v/>
      </c>
      <c r="AF77" s="10" t="n">
        <v>75.61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75.459</v>
      </c>
      <c r="AK77" s="12">
        <f>IF(COUNT(AJ72:AJ77)=6,(AVERAGE(AJ75:AJ77)/AVERAGE(AJ72:AJ74))^4-1,"")</f>
        <v/>
      </c>
      <c r="AL77" s="10" t="n">
        <v>80.48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80.2782</v>
      </c>
      <c r="AQ77" s="12">
        <f>IF(COUNT(AP72:AP77)=6,(AVERAGE(AP75:AP77)/AVERAGE(AP72:AP74))^4-1,"")</f>
        <v/>
      </c>
      <c r="AR77" s="10" t="n">
        <v>84.34999999999999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84.3034</v>
      </c>
      <c r="AW77" s="12">
        <f>IF(COUNT(AV72:AV77)=6,(AVERAGE(AV75:AV77)/AVERAGE(AV72:AV74))^4-1,"")</f>
        <v/>
      </c>
      <c r="AX77" s="10" t="n">
        <v>82.407</v>
      </c>
      <c r="AY77" s="11">
        <f>IF(ISNUMBER(AX77),AX77/AX$65*100,"")</f>
        <v/>
      </c>
      <c r="AZ77" s="12">
        <f>IF(AND(ISNUMBER(AX77),ISNUMBER(AX76)),AX77/AX76-1,"")</f>
        <v/>
      </c>
      <c r="BA77" s="12">
        <f>IF(AND(ISNUMBER(AX77),ISNUMBER(AX65)),AX77/AX65-1,"")</f>
        <v/>
      </c>
      <c r="BB77" s="11" t="n">
        <v>82.91540000000001</v>
      </c>
      <c r="BC77" s="12">
        <f>IF(COUNT(BB72:BB77)=6,(AVERAGE(BB75:BB77)/AVERAGE(BB72:BB74))^4-1,"")</f>
        <v/>
      </c>
    </row>
    <row r="78">
      <c r="A78" s="9" t="n">
        <v>44228</v>
      </c>
      <c r="B78" s="10" t="n">
        <v>81.54000000000001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82.2586</v>
      </c>
      <c r="G78" s="12">
        <f>IF(COUNT(F73:F78)=6,(AVERAGE(F76:F78)/AVERAGE(F73:F75))^4-1,"")</f>
        <v/>
      </c>
      <c r="H78" s="10" t="n">
        <v>85.56999999999999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87.17319999999999</v>
      </c>
      <c r="M78" s="12">
        <f>IF(COUNT(L73:L78)=6,(AVERAGE(L76:L78)/AVERAGE(L73:L75))^4-1,"")</f>
        <v/>
      </c>
      <c r="N78" s="10" t="n">
        <v>82.61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83.6675</v>
      </c>
      <c r="S78" s="12">
        <f>IF(COUNT(R73:R78)=6,(AVERAGE(R76:R78)/AVERAGE(R73:R75))^4-1,"")</f>
        <v/>
      </c>
      <c r="T78" s="10" t="n">
        <v>79.73999999999999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80.5521</v>
      </c>
      <c r="Y78" s="12">
        <f>IF(COUNT(X73:X78)=6,(AVERAGE(X76:X78)/AVERAGE(X73:X75))^4-1,"")</f>
        <v/>
      </c>
      <c r="Z78" s="10" t="n">
        <v>85.09999999999999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85.62309999999999</v>
      </c>
      <c r="AE78" s="12">
        <f>IF(COUNT(AD73:AD78)=6,(AVERAGE(AD76:AD78)/AVERAGE(AD73:AD75))^4-1,"")</f>
        <v/>
      </c>
      <c r="AF78" s="10" t="n">
        <v>75.67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75.5492</v>
      </c>
      <c r="AK78" s="12">
        <f>IF(COUNT(AJ73:AJ78)=6,(AVERAGE(AJ76:AJ78)/AVERAGE(AJ73:AJ75))^4-1,"")</f>
        <v/>
      </c>
      <c r="AL78" s="10" t="n">
        <v>76.59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75.91670000000001</v>
      </c>
      <c r="AQ78" s="12">
        <f>IF(COUNT(AP73:AP78)=6,(AVERAGE(AP76:AP78)/AVERAGE(AP73:AP75))^4-1,"")</f>
        <v/>
      </c>
      <c r="AR78" s="10" t="n">
        <v>85.48999999999999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85.24250000000001</v>
      </c>
      <c r="AW78" s="12">
        <f>IF(COUNT(AV73:AV78)=6,(AVERAGE(AV76:AV78)/AVERAGE(AV73:AV75))^4-1,"")</f>
        <v/>
      </c>
      <c r="AX78" s="10" t="n">
        <v>81.922</v>
      </c>
      <c r="AY78" s="11">
        <f>IF(ISNUMBER(AX78),AX78/AX$65*100,"")</f>
        <v/>
      </c>
      <c r="AZ78" s="12">
        <f>IF(AND(ISNUMBER(AX78),ISNUMBER(AX77)),AX78/AX77-1,"")</f>
        <v/>
      </c>
      <c r="BA78" s="12">
        <f>IF(AND(ISNUMBER(AX78),ISNUMBER(AX66)),AX78/AX66-1,"")</f>
        <v/>
      </c>
      <c r="BB78" s="11" t="n">
        <v>82.23609999999999</v>
      </c>
      <c r="BC78" s="12">
        <f>IF(COUNT(BB73:BB78)=6,(AVERAGE(BB76:BB78)/AVERAGE(BB73:BB75))^4-1,"")</f>
        <v/>
      </c>
    </row>
    <row r="79">
      <c r="A79" s="9" t="n">
        <v>44256</v>
      </c>
      <c r="B79" s="10" t="n">
        <v>83.08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83.0792</v>
      </c>
      <c r="G79" s="12">
        <f>IF(COUNT(F74:F79)=6,(AVERAGE(F77:F79)/AVERAGE(F74:F76))^4-1,"")</f>
        <v/>
      </c>
      <c r="H79" s="10" t="n">
        <v>87.25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87.2491</v>
      </c>
      <c r="M79" s="12">
        <f>IF(COUNT(L74:L79)=6,(AVERAGE(L77:L79)/AVERAGE(L74:L76))^4-1,"")</f>
        <v/>
      </c>
      <c r="N79" s="10" t="n">
        <v>83.76000000000001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83.7251</v>
      </c>
      <c r="S79" s="12">
        <f>IF(COUNT(R74:R79)=6,(AVERAGE(R77:R79)/AVERAGE(R74:R76))^4-1,"")</f>
        <v/>
      </c>
      <c r="T79" s="10" t="n">
        <v>82.2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82.0244</v>
      </c>
      <c r="Y79" s="12">
        <f>IF(COUNT(X74:X79)=6,(AVERAGE(X77:X79)/AVERAGE(X74:X76))^4-1,"")</f>
        <v/>
      </c>
      <c r="Z79" s="10" t="n">
        <v>85.23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85.5185</v>
      </c>
      <c r="AE79" s="12">
        <f>IF(COUNT(AD74:AD79)=6,(AVERAGE(AD77:AD79)/AVERAGE(AD74:AD76))^4-1,"")</f>
        <v/>
      </c>
      <c r="AF79" s="10" t="n">
        <v>75.68000000000001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75.669</v>
      </c>
      <c r="AK79" s="12">
        <f>IF(COUNT(AJ74:AJ79)=6,(AVERAGE(AJ77:AJ79)/AVERAGE(AJ74:AJ76))^4-1,"")</f>
        <v/>
      </c>
      <c r="AL79" s="10" t="n">
        <v>81.17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81.8869</v>
      </c>
      <c r="AQ79" s="12">
        <f>IF(COUNT(AP74:AP79)=6,(AVERAGE(AP77:AP79)/AVERAGE(AP74:AP76))^4-1,"")</f>
        <v/>
      </c>
      <c r="AR79" s="10" t="n">
        <v>87.02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87.1203</v>
      </c>
      <c r="AW79" s="12">
        <f>IF(COUNT(AV74:AV79)=6,(AVERAGE(AV77:AV79)/AVERAGE(AV74:AV76))^4-1,"")</f>
        <v/>
      </c>
      <c r="AX79" s="10" t="n">
        <v>82.71599999999999</v>
      </c>
      <c r="AY79" s="11">
        <f>IF(ISNUMBER(AX79),AX79/AX$65*100,"")</f>
        <v/>
      </c>
      <c r="AZ79" s="12">
        <f>IF(AND(ISNUMBER(AX79),ISNUMBER(AX78)),AX79/AX78-1,"")</f>
        <v/>
      </c>
      <c r="BA79" s="12">
        <f>IF(AND(ISNUMBER(AX79),ISNUMBER(AX67)),AX79/AX67-1,"")</f>
        <v/>
      </c>
      <c r="BB79" s="11" t="n">
        <v>83.0241</v>
      </c>
      <c r="BC79" s="12">
        <f>IF(COUNT(BB74:BB79)=6,(AVERAGE(BB77:BB79)/AVERAGE(BB74:BB76))^4-1,"")</f>
        <v/>
      </c>
    </row>
    <row r="80">
      <c r="A80" s="9" t="n">
        <v>44287</v>
      </c>
      <c r="B80" s="10" t="n">
        <v>84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83.5501</v>
      </c>
      <c r="G80" s="12">
        <f>IF(COUNT(F75:F80)=6,(AVERAGE(F78:F80)/AVERAGE(F75:F77))^4-1,"")</f>
        <v/>
      </c>
      <c r="H80" s="10" t="n">
        <v>88.09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87.2218</v>
      </c>
      <c r="M80" s="12">
        <f>IF(COUNT(L75:L80)=6,(AVERAGE(L78:L80)/AVERAGE(L75:L77))^4-1,"")</f>
        <v/>
      </c>
      <c r="N80" s="10" t="n">
        <v>84.39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83.8167</v>
      </c>
      <c r="S80" s="12">
        <f>IF(COUNT(R75:R80)=6,(AVERAGE(R78:R80)/AVERAGE(R75:R77))^4-1,"")</f>
        <v/>
      </c>
      <c r="T80" s="10" t="n">
        <v>83.64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82.9319</v>
      </c>
      <c r="Y80" s="12">
        <f>IF(COUNT(X75:X80)=6,(AVERAGE(X78:X80)/AVERAGE(X75:X77))^4-1,"")</f>
        <v/>
      </c>
      <c r="Z80" s="10" t="n">
        <v>85.36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85.04089999999999</v>
      </c>
      <c r="AE80" s="12">
        <f>IF(COUNT(AD75:AD80)=6,(AVERAGE(AD78:AD80)/AVERAGE(AD75:AD77))^4-1,"")</f>
        <v/>
      </c>
      <c r="AF80" s="10" t="n">
        <v>75.88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75.8593</v>
      </c>
      <c r="AK80" s="12">
        <f>IF(COUNT(AJ75:AJ80)=6,(AVERAGE(AJ78:AJ80)/AVERAGE(AJ75:AJ77))^4-1,"")</f>
        <v/>
      </c>
      <c r="AL80" s="10" t="n">
        <v>84.38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84.583</v>
      </c>
      <c r="AQ80" s="12">
        <f>IF(COUNT(AP75:AP80)=6,(AVERAGE(AP78:AP80)/AVERAGE(AP75:AP77))^4-1,"")</f>
        <v/>
      </c>
      <c r="AR80" s="10" t="n">
        <v>87.08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86.5381</v>
      </c>
      <c r="AW80" s="12">
        <f>IF(COUNT(AV75:AV80)=6,(AVERAGE(AV78:AV80)/AVERAGE(AV75:AV77))^4-1,"")</f>
        <v/>
      </c>
      <c r="AX80" s="10" t="n">
        <v>83.693</v>
      </c>
      <c r="AY80" s="11">
        <f>IF(ISNUMBER(AX80),AX80/AX$65*100,"")</f>
        <v/>
      </c>
      <c r="AZ80" s="12">
        <f>IF(AND(ISNUMBER(AX80),ISNUMBER(AX79)),AX80/AX79-1,"")</f>
        <v/>
      </c>
      <c r="BA80" s="12">
        <f>IF(AND(ISNUMBER(AX80),ISNUMBER(AX68)),AX80/AX68-1,"")</f>
        <v/>
      </c>
      <c r="BB80" s="11" t="n">
        <v>83.53489999999999</v>
      </c>
      <c r="BC80" s="12">
        <f>IF(COUNT(BB75:BB80)=6,(AVERAGE(BB78:BB80)/AVERAGE(BB75:BB77))^4-1,"")</f>
        <v/>
      </c>
    </row>
    <row r="81">
      <c r="A81" s="9" t="n">
        <v>44317</v>
      </c>
      <c r="B81" s="10" t="n">
        <v>84.45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83.971</v>
      </c>
      <c r="G81" s="12">
        <f>IF(COUNT(F76:F81)=6,(AVERAGE(F79:F81)/AVERAGE(F76:F78))^4-1,"")</f>
        <v/>
      </c>
      <c r="H81" s="10" t="n">
        <v>88.44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87.5874</v>
      </c>
      <c r="M81" s="12">
        <f>IF(COUNT(L76:L81)=6,(AVERAGE(L79:L81)/AVERAGE(L76:L78))^4-1,"")</f>
        <v/>
      </c>
      <c r="N81" s="10" t="n">
        <v>84.73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84.02849999999999</v>
      </c>
      <c r="S81" s="12">
        <f>IF(COUNT(R76:R81)=6,(AVERAGE(R79:R81)/AVERAGE(R76:R78))^4-1,"")</f>
        <v/>
      </c>
      <c r="T81" s="10" t="n">
        <v>84.31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83.4692</v>
      </c>
      <c r="Y81" s="12">
        <f>IF(COUNT(X76:X81)=6,(AVERAGE(X79:X81)/AVERAGE(X76:X78))^4-1,"")</f>
        <v/>
      </c>
      <c r="Z81" s="10" t="n">
        <v>85.47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85.342</v>
      </c>
      <c r="AE81" s="12">
        <f>IF(COUNT(AD76:AD81)=6,(AVERAGE(AD79:AD81)/AVERAGE(AD76:AD78))^4-1,"")</f>
        <v/>
      </c>
      <c r="AF81" s="10" t="n">
        <v>76.17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75.94889999999999</v>
      </c>
      <c r="AK81" s="12">
        <f>IF(COUNT(AJ76:AJ81)=6,(AVERAGE(AJ79:AJ81)/AVERAGE(AJ76:AJ78))^4-1,"")</f>
        <v/>
      </c>
      <c r="AL81" s="10" t="n">
        <v>85.66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86.3028</v>
      </c>
      <c r="AQ81" s="12">
        <f>IF(COUNT(AP76:AP81)=6,(AVERAGE(AP79:AP81)/AVERAGE(AP76:AP78))^4-1,"")</f>
        <v/>
      </c>
      <c r="AR81" s="10" t="n">
        <v>87.98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87.7859</v>
      </c>
      <c r="AW81" s="12">
        <f>IF(COUNT(AV76:AV81)=6,(AVERAGE(AV79:AV81)/AVERAGE(AV76:AV78))^4-1,"")</f>
        <v/>
      </c>
      <c r="AX81" s="10" t="n">
        <v>84.087</v>
      </c>
      <c r="AY81" s="11">
        <f>IF(ISNUMBER(AX81),AX81/AX$65*100,"")</f>
        <v/>
      </c>
      <c r="AZ81" s="12">
        <f>IF(AND(ISNUMBER(AX81),ISNUMBER(AX80)),AX81/AX80-1,"")</f>
        <v/>
      </c>
      <c r="BA81" s="12">
        <f>IF(AND(ISNUMBER(AX81),ISNUMBER(AX69)),AX81/AX69-1,"")</f>
        <v/>
      </c>
      <c r="BB81" s="11" t="n">
        <v>83.91679999999999</v>
      </c>
      <c r="BC81" s="12">
        <f>IF(COUNT(BB76:BB81)=6,(AVERAGE(BB79:BB81)/AVERAGE(BB76:BB78))^4-1,"")</f>
        <v/>
      </c>
    </row>
    <row r="82">
      <c r="A82" s="9" t="n">
        <v>44348</v>
      </c>
      <c r="B82" s="10" t="n">
        <v>84.84999999999999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84.2154</v>
      </c>
      <c r="G82" s="12">
        <f>IF(COUNT(F77:F82)=6,(AVERAGE(F80:F82)/AVERAGE(F77:F79))^4-1,"")</f>
        <v/>
      </c>
      <c r="H82" s="10" t="n">
        <v>88.55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87.4984</v>
      </c>
      <c r="M82" s="12">
        <f>IF(COUNT(L77:L82)=6,(AVERAGE(L80:L82)/AVERAGE(L77:L79))^4-1,"")</f>
        <v/>
      </c>
      <c r="N82" s="10" t="n">
        <v>84.79000000000001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83.959</v>
      </c>
      <c r="S82" s="12">
        <f>IF(COUNT(R77:R82)=6,(AVERAGE(R80:R82)/AVERAGE(R77:R79))^4-1,"")</f>
        <v/>
      </c>
      <c r="T82" s="10" t="n">
        <v>84.73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83.96339999999999</v>
      </c>
      <c r="Y82" s="12">
        <f>IF(COUNT(X77:X82)=6,(AVERAGE(X80:X82)/AVERAGE(X77:X79))^4-1,"")</f>
        <v/>
      </c>
      <c r="Z82" s="10" t="n">
        <v>85.84999999999999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85.2974</v>
      </c>
      <c r="AE82" s="12">
        <f>IF(COUNT(AD77:AD82)=6,(AVERAGE(AD80:AD82)/AVERAGE(AD77:AD79))^4-1,"")</f>
        <v/>
      </c>
      <c r="AF82" s="10" t="n">
        <v>76.15000000000001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75.86669999999999</v>
      </c>
      <c r="AK82" s="12">
        <f>IF(COUNT(AJ77:AJ82)=6,(AVERAGE(AJ80:AJ82)/AVERAGE(AJ77:AJ79))^4-1,"")</f>
        <v/>
      </c>
      <c r="AL82" s="10" t="n">
        <v>88.67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89.09059999999999</v>
      </c>
      <c r="AQ82" s="12">
        <f>IF(COUNT(AP77:AP82)=6,(AVERAGE(AP80:AP82)/AVERAGE(AP77:AP79))^4-1,"")</f>
        <v/>
      </c>
      <c r="AR82" s="10" t="n">
        <v>88.92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89.0907</v>
      </c>
      <c r="AW82" s="12">
        <f>IF(COUNT(AV77:AV82)=6,(AVERAGE(AV80:AV82)/AVERAGE(AV77:AV79))^4-1,"")</f>
        <v/>
      </c>
      <c r="AX82" s="10" t="n">
        <v>84.48699999999999</v>
      </c>
      <c r="AY82" s="11">
        <f>IF(ISNUMBER(AX82),AX82/AX$65*100,"")</f>
        <v/>
      </c>
      <c r="AZ82" s="12">
        <f>IF(AND(ISNUMBER(AX82),ISNUMBER(AX81)),AX82/AX81-1,"")</f>
        <v/>
      </c>
      <c r="BA82" s="12">
        <f>IF(AND(ISNUMBER(AX82),ISNUMBER(AX70)),AX82/AX70-1,"")</f>
        <v/>
      </c>
      <c r="BB82" s="11" t="n">
        <v>84.1476</v>
      </c>
      <c r="BC82" s="12">
        <f>IF(COUNT(BB77:BB82)=6,(AVERAGE(BB80:BB82)/AVERAGE(BB77:BB79))^4-1,"")</f>
        <v/>
      </c>
    </row>
    <row r="83">
      <c r="A83" s="9" t="n">
        <v>44378</v>
      </c>
      <c r="B83" s="10" t="n">
        <v>83.84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84.0155</v>
      </c>
      <c r="G83" s="12">
        <f>IF(COUNT(F78:F83)=6,(AVERAGE(F81:F83)/AVERAGE(F78:F80))^4-1,"")</f>
        <v/>
      </c>
      <c r="H83" s="10" t="n">
        <v>86.95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87.1417</v>
      </c>
      <c r="M83" s="12">
        <f>IF(COUNT(L78:L83)=6,(AVERAGE(L81:L83)/AVERAGE(L78:L80))^4-1,"")</f>
        <v/>
      </c>
      <c r="N83" s="10" t="n">
        <v>83.66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83.89239999999999</v>
      </c>
      <c r="S83" s="12">
        <f>IF(COUNT(R78:R83)=6,(AVERAGE(R81:R83)/AVERAGE(R78:R80))^4-1,"")</f>
        <v/>
      </c>
      <c r="T83" s="10" t="n">
        <v>82.76000000000001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83.8189</v>
      </c>
      <c r="Y83" s="12">
        <f>IF(COUNT(X78:X83)=6,(AVERAGE(X81:X83)/AVERAGE(X78:X80))^4-1,"")</f>
        <v/>
      </c>
      <c r="Z83" s="10" t="n">
        <v>86.31999999999999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85.405</v>
      </c>
      <c r="AE83" s="12">
        <f>IF(COUNT(AD78:AD83)=6,(AVERAGE(AD81:AD83)/AVERAGE(AD78:AD80))^4-1,"")</f>
        <v/>
      </c>
      <c r="AF83" s="10" t="n">
        <v>76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76.13</v>
      </c>
      <c r="AK83" s="12">
        <f>IF(COUNT(AJ78:AJ83)=6,(AVERAGE(AJ81:AJ83)/AVERAGE(AJ78:AJ80))^4-1,"")</f>
        <v/>
      </c>
      <c r="AL83" s="10" t="n">
        <v>88.61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89.43219999999999</v>
      </c>
      <c r="AQ83" s="12">
        <f>IF(COUNT(AP78:AP83)=6,(AVERAGE(AP81:AP83)/AVERAGE(AP78:AP80))^4-1,"")</f>
        <v/>
      </c>
      <c r="AR83" s="10" t="n">
        <v>89.52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89.511</v>
      </c>
      <c r="AW83" s="12">
        <f>IF(COUNT(AV78:AV83)=6,(AVERAGE(AV81:AV83)/AVERAGE(AV78:AV80))^4-1,"")</f>
        <v/>
      </c>
      <c r="AX83" s="10" t="n">
        <v>83.84999999999999</v>
      </c>
      <c r="AY83" s="11">
        <f>IF(ISNUMBER(AX83),AX83/AX$65*100,"")</f>
        <v/>
      </c>
      <c r="AZ83" s="12">
        <f>IF(AND(ISNUMBER(AX83),ISNUMBER(AX82)),AX83/AX82-1,"")</f>
        <v/>
      </c>
      <c r="BA83" s="12">
        <f>IF(AND(ISNUMBER(AX83),ISNUMBER(AX71)),AX83/AX71-1,"")</f>
        <v/>
      </c>
      <c r="BB83" s="11" t="n">
        <v>83.93859999999999</v>
      </c>
      <c r="BC83" s="12">
        <f>IF(COUNT(BB78:BB83)=6,(AVERAGE(BB81:BB83)/AVERAGE(BB78:BB80))^4-1,"")</f>
        <v/>
      </c>
    </row>
    <row r="84">
      <c r="A84" s="9" t="n">
        <v>44409</v>
      </c>
      <c r="B84" s="10" t="n">
        <v>84.20999999999999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84.4085</v>
      </c>
      <c r="G84" s="12">
        <f>IF(COUNT(F79:F84)=6,(AVERAGE(F82:F84)/AVERAGE(F79:F81))^4-1,"")</f>
        <v/>
      </c>
      <c r="H84" s="10" t="n">
        <v>87.03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87.2483</v>
      </c>
      <c r="M84" s="12">
        <f>IF(COUNT(L79:L84)=6,(AVERAGE(L82:L84)/AVERAGE(L79:L81))^4-1,"")</f>
        <v/>
      </c>
      <c r="N84" s="10" t="n">
        <v>83.77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84.0548</v>
      </c>
      <c r="S84" s="12">
        <f>IF(COUNT(R79:R84)=6,(AVERAGE(R82:R84)/AVERAGE(R79:R81))^4-1,"")</f>
        <v/>
      </c>
      <c r="T84" s="10" t="n">
        <v>83.15000000000001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84.4074</v>
      </c>
      <c r="Y84" s="12">
        <f>IF(COUNT(X79:X84)=6,(AVERAGE(X82:X84)/AVERAGE(X79:X81))^4-1,"")</f>
        <v/>
      </c>
      <c r="Z84" s="10" t="n">
        <v>86.64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85.60550000000001</v>
      </c>
      <c r="AE84" s="12">
        <f>IF(COUNT(AD79:AD84)=6,(AVERAGE(AD82:AD84)/AVERAGE(AD79:AD81))^4-1,"")</f>
        <v/>
      </c>
      <c r="AF84" s="10" t="n">
        <v>76.19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76.55410000000001</v>
      </c>
      <c r="AK84" s="12">
        <f>IF(COUNT(AJ79:AJ84)=6,(AVERAGE(AJ82:AJ84)/AVERAGE(AJ79:AJ81))^4-1,"")</f>
        <v/>
      </c>
      <c r="AL84" s="10" t="n">
        <v>90.92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91.5314</v>
      </c>
      <c r="AQ84" s="12">
        <f>IF(COUNT(AP79:AP84)=6,(AVERAGE(AP82:AP84)/AVERAGE(AP79:AP81))^4-1,"")</f>
        <v/>
      </c>
      <c r="AR84" s="10" t="n">
        <v>89.78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89.3034</v>
      </c>
      <c r="AW84" s="12">
        <f>IF(COUNT(AV79:AV84)=6,(AVERAGE(AV82:AV84)/AVERAGE(AV79:AV81))^4-1,"")</f>
        <v/>
      </c>
      <c r="AX84" s="10" t="n">
        <v>84.232</v>
      </c>
      <c r="AY84" s="11">
        <f>IF(ISNUMBER(AX84),AX84/AX$65*100,"")</f>
        <v/>
      </c>
      <c r="AZ84" s="12">
        <f>IF(AND(ISNUMBER(AX84),ISNUMBER(AX83)),AX84/AX83-1,"")</f>
        <v/>
      </c>
      <c r="BA84" s="12">
        <f>IF(AND(ISNUMBER(AX84),ISNUMBER(AX72)),AX84/AX72-1,"")</f>
        <v/>
      </c>
      <c r="BB84" s="11" t="n">
        <v>84.3171</v>
      </c>
      <c r="BC84" s="12">
        <f>IF(COUNT(BB79:BB84)=6,(AVERAGE(BB82:BB84)/AVERAGE(BB79:BB81))^4-1,"")</f>
        <v/>
      </c>
    </row>
    <row r="85">
      <c r="A85" s="9" t="n">
        <v>44440</v>
      </c>
      <c r="B85" s="10" t="n">
        <v>85.17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85.23260000000001</v>
      </c>
      <c r="G85" s="12">
        <f>IF(COUNT(F80:F85)=6,(AVERAGE(F83:F85)/AVERAGE(F80:F82))^4-1,"")</f>
        <v/>
      </c>
      <c r="H85" s="10" t="n">
        <v>87.83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87.6837</v>
      </c>
      <c r="M85" s="12">
        <f>IF(COUNT(L80:L85)=6,(AVERAGE(L83:L85)/AVERAGE(L80:L82))^4-1,"")</f>
        <v/>
      </c>
      <c r="N85" s="10" t="n">
        <v>84.31999999999999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84.37520000000001</v>
      </c>
      <c r="S85" s="12">
        <f>IF(COUNT(R80:R85)=6,(AVERAGE(R83:R85)/AVERAGE(R80:R82))^4-1,"")</f>
        <v/>
      </c>
      <c r="T85" s="10" t="n">
        <v>84.95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85.392</v>
      </c>
      <c r="Y85" s="12">
        <f>IF(COUNT(X80:X85)=6,(AVERAGE(X83:X85)/AVERAGE(X80:X82))^4-1,"")</f>
        <v/>
      </c>
      <c r="Z85" s="10" t="n">
        <v>86.33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86.1396</v>
      </c>
      <c r="AE85" s="12">
        <f>IF(COUNT(AD80:AD85)=6,(AVERAGE(AD83:AD85)/AVERAGE(AD80:AD82))^4-1,"")</f>
        <v/>
      </c>
      <c r="AF85" s="10" t="n">
        <v>76.2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76.7132</v>
      </c>
      <c r="AK85" s="12">
        <f>IF(COUNT(AJ80:AJ85)=6,(AVERAGE(AJ83:AJ85)/AVERAGE(AJ80:AJ82))^4-1,"")</f>
        <v/>
      </c>
      <c r="AL85" s="10" t="n">
        <v>95.09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93.2124</v>
      </c>
      <c r="AQ85" s="12">
        <f>IF(COUNT(AP80:AP85)=6,(AVERAGE(AP83:AP85)/AVERAGE(AP80:AP82))^4-1,"")</f>
        <v/>
      </c>
      <c r="AR85" s="10" t="n">
        <v>90.17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90.42449999999999</v>
      </c>
      <c r="AW85" s="12">
        <f>IF(COUNT(AV80:AV85)=6,(AVERAGE(AV83:AV85)/AVERAGE(AV80:AV82))^4-1,"")</f>
        <v/>
      </c>
      <c r="AX85" s="10" t="n">
        <v>84.934</v>
      </c>
      <c r="AY85" s="11">
        <f>IF(ISNUMBER(AX85),AX85/AX$65*100,"")</f>
        <v/>
      </c>
      <c r="AZ85" s="12">
        <f>IF(AND(ISNUMBER(AX85),ISNUMBER(AX84)),AX85/AX84-1,"")</f>
        <v/>
      </c>
      <c r="BA85" s="12">
        <f>IF(AND(ISNUMBER(AX85),ISNUMBER(AX73)),AX85/AX73-1,"")</f>
        <v/>
      </c>
      <c r="BB85" s="11" t="n">
        <v>84.77200000000001</v>
      </c>
      <c r="BC85" s="12">
        <f>IF(COUNT(BB80:BB85)=6,(AVERAGE(BB83:BB85)/AVERAGE(BB80:BB82))^4-1,"")</f>
        <v/>
      </c>
    </row>
    <row r="86">
      <c r="A86" s="9" t="n">
        <v>44470</v>
      </c>
      <c r="B86" s="10" t="n">
        <v>86.54000000000001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86.2098</v>
      </c>
      <c r="G86" s="12">
        <f>IF(COUNT(F81:F86)=6,(AVERAGE(F84:F86)/AVERAGE(F81:F83))^4-1,"")</f>
        <v/>
      </c>
      <c r="H86" s="10" t="n">
        <v>88.51000000000001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88.21169999999999</v>
      </c>
      <c r="M86" s="12">
        <f>IF(COUNT(L81:L86)=6,(AVERAGE(L84:L86)/AVERAGE(L81:L83))^4-1,"")</f>
        <v/>
      </c>
      <c r="N86" s="10" t="n">
        <v>85.09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84.8039</v>
      </c>
      <c r="S86" s="12">
        <f>IF(COUNT(R81:R86)=6,(AVERAGE(R84:R86)/AVERAGE(R81:R83))^4-1,"")</f>
        <v/>
      </c>
      <c r="T86" s="10" t="n">
        <v>87.22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86.4268</v>
      </c>
      <c r="Y86" s="12">
        <f>IF(COUNT(X81:X86)=6,(AVERAGE(X84:X86)/AVERAGE(X81:X83))^4-1,"")</f>
        <v/>
      </c>
      <c r="Z86" s="10" t="n">
        <v>86.31999999999999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86.58320000000001</v>
      </c>
      <c r="AE86" s="12">
        <f>IF(COUNT(AD81:AD86)=6,(AVERAGE(AD84:AD86)/AVERAGE(AD81:AD83))^4-1,"")</f>
        <v/>
      </c>
      <c r="AF86" s="10" t="n">
        <v>77.15000000000001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76.881</v>
      </c>
      <c r="AK86" s="12">
        <f>IF(COUNT(AJ81:AJ86)=6,(AVERAGE(AJ84:AJ86)/AVERAGE(AJ81:AJ83))^4-1,"")</f>
        <v/>
      </c>
      <c r="AL86" s="10" t="n">
        <v>101.06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98.98650000000001</v>
      </c>
      <c r="AQ86" s="12">
        <f>IF(COUNT(AP81:AP86)=6,(AVERAGE(AP84:AP86)/AVERAGE(AP81:AP83))^4-1,"")</f>
        <v/>
      </c>
      <c r="AR86" s="10" t="n">
        <v>91.91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91.84869999999999</v>
      </c>
      <c r="AW86" s="12">
        <f>IF(COUNT(AV81:AV86)=6,(AVERAGE(AV84:AV86)/AVERAGE(AV81:AV83))^4-1,"")</f>
        <v/>
      </c>
      <c r="AX86" s="10" t="n">
        <v>86.496</v>
      </c>
      <c r="AY86" s="11">
        <f>IF(ISNUMBER(AX86),AX86/AX$65*100,"")</f>
        <v/>
      </c>
      <c r="AZ86" s="12">
        <f>IF(AND(ISNUMBER(AX86),ISNUMBER(AX85)),AX86/AX85-1,"")</f>
        <v/>
      </c>
      <c r="BA86" s="12">
        <f>IF(AND(ISNUMBER(AX86),ISNUMBER(AX74)),AX86/AX74-1,"")</f>
        <v/>
      </c>
      <c r="BB86" s="11" t="n">
        <v>86.2782</v>
      </c>
      <c r="BC86" s="12">
        <f>IF(COUNT(BB81:BB86)=6,(AVERAGE(BB84:BB86)/AVERAGE(BB81:BB83))^4-1,"")</f>
        <v/>
      </c>
    </row>
    <row r="87">
      <c r="A87" s="9" t="n">
        <v>44501</v>
      </c>
      <c r="B87" s="10" t="n">
        <v>86.75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86.70440000000001</v>
      </c>
      <c r="G87" s="12">
        <f>IF(COUNT(F82:F87)=6,(AVERAGE(F85:F87)/AVERAGE(F82:F84))^4-1,"")</f>
        <v/>
      </c>
      <c r="H87" s="10" t="n">
        <v>88.94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88.76309999999999</v>
      </c>
      <c r="M87" s="12">
        <f>IF(COUNT(L82:L87)=6,(AVERAGE(L85:L87)/AVERAGE(L82:L84))^4-1,"")</f>
        <v/>
      </c>
      <c r="N87" s="10" t="n">
        <v>85.51000000000001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85.3781</v>
      </c>
      <c r="S87" s="12">
        <f>IF(COUNT(R82:R87)=6,(AVERAGE(R85:R87)/AVERAGE(R82:R84))^4-1,"")</f>
        <v/>
      </c>
      <c r="T87" s="10" t="n">
        <v>87.58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86.88939999999999</v>
      </c>
      <c r="Y87" s="12">
        <f>IF(COUNT(X82:X87)=6,(AVERAGE(X85:X87)/AVERAGE(X82:X84))^4-1,"")</f>
        <v/>
      </c>
      <c r="Z87" s="10" t="n">
        <v>86.3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87.05889999999999</v>
      </c>
      <c r="AE87" s="12">
        <f>IF(COUNT(AD82:AD87)=6,(AVERAGE(AD85:AD87)/AVERAGE(AD82:AD84))^4-1,"")</f>
        <v/>
      </c>
      <c r="AF87" s="10" t="n">
        <v>77.55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77.55540000000001</v>
      </c>
      <c r="AK87" s="12">
        <f>IF(COUNT(AJ82:AJ87)=6,(AVERAGE(AJ85:AJ87)/AVERAGE(AJ82:AJ84))^4-1,"")</f>
        <v/>
      </c>
      <c r="AL87" s="10" t="n">
        <v>99.7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99.919</v>
      </c>
      <c r="AQ87" s="12">
        <f>IF(COUNT(AP82:AP87)=6,(AVERAGE(AP85:AP87)/AVERAGE(AP82:AP84))^4-1,"")</f>
        <v/>
      </c>
      <c r="AR87" s="10" t="n">
        <v>92.79000000000001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92.9243</v>
      </c>
      <c r="AW87" s="12">
        <f>IF(COUNT(AV82:AV87)=6,(AVERAGE(AV85:AV87)/AVERAGE(AV82:AV84))^4-1,"")</f>
        <v/>
      </c>
      <c r="AX87" s="10" t="n">
        <v>86.761</v>
      </c>
      <c r="AY87" s="11">
        <f>IF(ISNUMBER(AX87),AX87/AX$65*100,"")</f>
        <v/>
      </c>
      <c r="AZ87" s="12">
        <f>IF(AND(ISNUMBER(AX87),ISNUMBER(AX86)),AX87/AX86-1,"")</f>
        <v/>
      </c>
      <c r="BA87" s="12">
        <f>IF(AND(ISNUMBER(AX87),ISNUMBER(AX75)),AX87/AX75-1,"")</f>
        <v/>
      </c>
      <c r="BB87" s="11" t="n">
        <v>86.6979</v>
      </c>
      <c r="BC87" s="12">
        <f>IF(COUNT(BB82:BB87)=6,(AVERAGE(BB85:BB87)/AVERAGE(BB82:BB84))^4-1,"")</f>
        <v/>
      </c>
    </row>
    <row r="88">
      <c r="A88" s="9" t="n">
        <v>44531</v>
      </c>
      <c r="B88" s="10" t="n">
        <v>87.75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87.74509999999999</v>
      </c>
      <c r="G88" s="12">
        <f>IF(COUNT(F83:F88)=6,(AVERAGE(F86:F88)/AVERAGE(F83:F85))^4-1,"")</f>
        <v/>
      </c>
      <c r="H88" s="10" t="n">
        <v>89.05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88.89790000000001</v>
      </c>
      <c r="M88" s="12">
        <f>IF(COUNT(L83:L88)=6,(AVERAGE(L86:L88)/AVERAGE(L83:L85))^4-1,"")</f>
        <v/>
      </c>
      <c r="N88" s="10" t="n">
        <v>85.87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85.7681</v>
      </c>
      <c r="S88" s="12">
        <f>IF(COUNT(R83:R88)=6,(AVERAGE(R86:R88)/AVERAGE(R83:R85))^4-1,"")</f>
        <v/>
      </c>
      <c r="T88" s="10" t="n">
        <v>88.94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88.5391</v>
      </c>
      <c r="Y88" s="12">
        <f>IF(COUNT(X83:X88)=6,(AVERAGE(X86:X88)/AVERAGE(X83:X85))^4-1,"")</f>
        <v/>
      </c>
      <c r="Z88" s="10" t="n">
        <v>86.73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87.2313</v>
      </c>
      <c r="AE88" s="12">
        <f>IF(COUNT(AD83:AD88)=6,(AVERAGE(AD86:AD88)/AVERAGE(AD83:AD85))^4-1,"")</f>
        <v/>
      </c>
      <c r="AF88" s="10" t="n">
        <v>78.42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78.57550000000001</v>
      </c>
      <c r="AK88" s="12">
        <f>IF(COUNT(AJ83:AJ88)=6,(AVERAGE(AJ86:AJ88)/AVERAGE(AJ83:AJ85))^4-1,"")</f>
        <v/>
      </c>
      <c r="AL88" s="10" t="n">
        <v>105.59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106.8485</v>
      </c>
      <c r="AQ88" s="12">
        <f>IF(COUNT(AP83:AP88)=6,(AVERAGE(AP86:AP88)/AVERAGE(AP83:AP85))^4-1,"")</f>
        <v/>
      </c>
      <c r="AR88" s="10" t="n">
        <v>91.95999999999999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92.98869999999999</v>
      </c>
      <c r="AW88" s="12">
        <f>IF(COUNT(AV83:AV88)=6,(AVERAGE(AV86:AV88)/AVERAGE(AV83:AV85))^4-1,"")</f>
        <v/>
      </c>
      <c r="AX88" s="10" t="n">
        <v>87.797</v>
      </c>
      <c r="AY88" s="11">
        <f>IF(ISNUMBER(AX88),AX88/AX$65*100,"")</f>
        <v/>
      </c>
      <c r="AZ88" s="12">
        <f>IF(AND(ISNUMBER(AX88),ISNUMBER(AX87)),AX88/AX87-1,"")</f>
        <v/>
      </c>
      <c r="BA88" s="12">
        <f>IF(AND(ISNUMBER(AX88),ISNUMBER(AX76)),AX88/AX76-1,"")</f>
        <v/>
      </c>
      <c r="BB88" s="11" t="n">
        <v>87.7265</v>
      </c>
      <c r="BC88" s="12">
        <f>IF(COUNT(BB83:BB88)=6,(AVERAGE(BB86:BB88)/AVERAGE(BB83:BB85))^4-1,"")</f>
        <v/>
      </c>
    </row>
    <row r="89">
      <c r="A89" s="9" t="n">
        <v>44562</v>
      </c>
      <c r="B89" s="10" t="n">
        <v>87.06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87.9603</v>
      </c>
      <c r="G89" s="12">
        <f>IF(COUNT(F84:F89)=6,(AVERAGE(F87:F89)/AVERAGE(F84:F86))^4-1,"")</f>
        <v/>
      </c>
      <c r="H89" s="10" t="n">
        <v>87.53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89.14570000000001</v>
      </c>
      <c r="M89" s="12">
        <f>IF(COUNT(L84:L89)=6,(AVERAGE(L87:L89)/AVERAGE(L84:L86))^4-1,"")</f>
        <v/>
      </c>
      <c r="N89" s="10" t="n">
        <v>84.97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86.077</v>
      </c>
      <c r="S89" s="12">
        <f>IF(COUNT(R84:R89)=6,(AVERAGE(R87:R89)/AVERAGE(R84:R86))^4-1,"")</f>
        <v/>
      </c>
      <c r="T89" s="10" t="n">
        <v>87.88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88.761</v>
      </c>
      <c r="Y89" s="12">
        <f>IF(COUNT(X84:X89)=6,(AVERAGE(X87:X89)/AVERAGE(X84:X86))^4-1,"")</f>
        <v/>
      </c>
      <c r="Z89" s="10" t="n">
        <v>86.58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87.52030000000001</v>
      </c>
      <c r="AE89" s="12">
        <f>IF(COUNT(AD84:AD89)=6,(AVERAGE(AD87:AD89)/AVERAGE(AD84:AD86))^4-1,"")</f>
        <v/>
      </c>
      <c r="AF89" s="10" t="n">
        <v>78.93000000000001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78.74890000000001</v>
      </c>
      <c r="AK89" s="12">
        <f>IF(COUNT(AJ84:AJ89)=6,(AVERAGE(AJ87:AJ89)/AVERAGE(AJ84:AJ86))^4-1,"")</f>
        <v/>
      </c>
      <c r="AL89" s="10" t="n">
        <v>106.84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106.993</v>
      </c>
      <c r="AQ89" s="12">
        <f>IF(COUNT(AP84:AP89)=6,(AVERAGE(AP87:AP89)/AVERAGE(AP84:AP86))^4-1,"")</f>
        <v/>
      </c>
      <c r="AR89" s="10" t="n">
        <v>93.63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93.8556</v>
      </c>
      <c r="AW89" s="12">
        <f>IF(COUNT(AV84:AV89)=6,(AVERAGE(AV87:AV89)/AVERAGE(AV84:AV86))^4-1,"")</f>
        <v/>
      </c>
      <c r="AX89" s="10" t="n">
        <v>87.45999999999999</v>
      </c>
      <c r="AY89" s="11">
        <f>IF(ISNUMBER(AX89),AX89/AX$65*100,"")</f>
        <v/>
      </c>
      <c r="AZ89" s="12">
        <f>IF(AND(ISNUMBER(AX89),ISNUMBER(AX88)),AX89/AX88-1,"")</f>
        <v/>
      </c>
      <c r="BA89" s="12">
        <f>IF(AND(ISNUMBER(AX89),ISNUMBER(AX77)),AX89/AX77-1,"")</f>
        <v/>
      </c>
      <c r="BB89" s="11" t="n">
        <v>87.988</v>
      </c>
      <c r="BC89" s="12">
        <f>IF(COUNT(BB84:BB89)=6,(AVERAGE(BB87:BB89)/AVERAGE(BB84:BB86))^4-1,"")</f>
        <v/>
      </c>
    </row>
    <row r="90">
      <c r="A90" s="9" t="n">
        <v>44593</v>
      </c>
      <c r="B90" s="10" t="n">
        <v>87.76000000000001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88.4686</v>
      </c>
      <c r="G90" s="12">
        <f>IF(COUNT(F85:F90)=6,(AVERAGE(F88:F90)/AVERAGE(F85:F87))^4-1,"")</f>
        <v/>
      </c>
      <c r="H90" s="10" t="n">
        <v>87.84999999999999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89.4225</v>
      </c>
      <c r="M90" s="12">
        <f>IF(COUNT(L85:L90)=6,(AVERAGE(L88:L90)/AVERAGE(L85:L87))^4-1,"")</f>
        <v/>
      </c>
      <c r="N90" s="10" t="n">
        <v>85.40000000000001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86.4344</v>
      </c>
      <c r="S90" s="12">
        <f>IF(COUNT(R85:R90)=6,(AVERAGE(R88:R90)/AVERAGE(R85:R87))^4-1,"")</f>
        <v/>
      </c>
      <c r="T90" s="10" t="n">
        <v>88.73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89.41379999999999</v>
      </c>
      <c r="Y90" s="12">
        <f>IF(COUNT(X85:X90)=6,(AVERAGE(X88:X90)/AVERAGE(X85:X87))^4-1,"")</f>
        <v/>
      </c>
      <c r="Z90" s="10" t="n">
        <v>87.08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87.65949999999999</v>
      </c>
      <c r="AE90" s="12">
        <f>IF(COUNT(AD85:AD90)=6,(AVERAGE(AD88:AD90)/AVERAGE(AD85:AD87))^4-1,"")</f>
        <v/>
      </c>
      <c r="AF90" s="10" t="n">
        <v>79.59999999999999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79.4213</v>
      </c>
      <c r="AK90" s="12">
        <f>IF(COUNT(AJ85:AJ90)=6,(AVERAGE(AJ88:AJ90)/AVERAGE(AJ85:AJ87))^4-1,"")</f>
        <v/>
      </c>
      <c r="AL90" s="10" t="n">
        <v>110.05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109.4736</v>
      </c>
      <c r="AQ90" s="12">
        <f>IF(COUNT(AP85:AP90)=6,(AVERAGE(AP88:AP90)/AVERAGE(AP85:AP87))^4-1,"")</f>
        <v/>
      </c>
      <c r="AR90" s="10" t="n">
        <v>96.13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95.78789999999999</v>
      </c>
      <c r="AW90" s="12">
        <f>IF(COUNT(AV85:AV90)=6,(AVERAGE(AV88:AV90)/AVERAGE(AV85:AV87))^4-1,"")</f>
        <v/>
      </c>
      <c r="AX90" s="10" t="n">
        <v>88.167</v>
      </c>
      <c r="AY90" s="11">
        <f>IF(ISNUMBER(AX90),AX90/AX$65*100,"")</f>
        <v/>
      </c>
      <c r="AZ90" s="12">
        <f>IF(AND(ISNUMBER(AX90),ISNUMBER(AX89)),AX90/AX89-1,"")</f>
        <v/>
      </c>
      <c r="BA90" s="12">
        <f>IF(AND(ISNUMBER(AX90),ISNUMBER(AX78)),AX90/AX78-1,"")</f>
        <v/>
      </c>
      <c r="BB90" s="11" t="n">
        <v>88.495</v>
      </c>
      <c r="BC90" s="12">
        <f>IF(COUNT(BB85:BB90)=6,(AVERAGE(BB88:BB90)/AVERAGE(BB85:BB87))^4-1,"")</f>
        <v/>
      </c>
    </row>
    <row r="91">
      <c r="A91" s="9" t="n">
        <v>44621</v>
      </c>
      <c r="B91" s="10" t="n">
        <v>91.2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91.15860000000001</v>
      </c>
      <c r="G91" s="12">
        <f>IF(COUNT(F86:F91)=6,(AVERAGE(F89:F91)/AVERAGE(F86:F88))^4-1,"")</f>
        <v/>
      </c>
      <c r="H91" s="10" t="n">
        <v>89.83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89.86279999999999</v>
      </c>
      <c r="M91" s="12">
        <f>IF(COUNT(L86:L91)=6,(AVERAGE(L89:L91)/AVERAGE(L86:L88))^4-1,"")</f>
        <v/>
      </c>
      <c r="N91" s="10" t="n">
        <v>87.05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87.029</v>
      </c>
      <c r="S91" s="12">
        <f>IF(COUNT(R86:R91)=6,(AVERAGE(R89:R91)/AVERAGE(R86:R88))^4-1,"")</f>
        <v/>
      </c>
      <c r="T91" s="10" t="n">
        <v>94.23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93.9092</v>
      </c>
      <c r="Y91" s="12">
        <f>IF(COUNT(X86:X91)=6,(AVERAGE(X89:X91)/AVERAGE(X86:X88))^4-1,"")</f>
        <v/>
      </c>
      <c r="Z91" s="10" t="n">
        <v>87.64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87.959</v>
      </c>
      <c r="AE91" s="12">
        <f>IF(COUNT(AD86:AD91)=6,(AVERAGE(AD89:AD91)/AVERAGE(AD86:AD88))^4-1,"")</f>
        <v/>
      </c>
      <c r="AF91" s="10" t="n">
        <v>80.5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80.4349</v>
      </c>
      <c r="AK91" s="12">
        <f>IF(COUNT(AJ86:AJ91)=6,(AVERAGE(AJ89:AJ91)/AVERAGE(AJ86:AJ88))^4-1,"")</f>
        <v/>
      </c>
      <c r="AL91" s="10" t="n">
        <v>130.08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130.5118</v>
      </c>
      <c r="AQ91" s="12">
        <f>IF(COUNT(AP86:AP91)=6,(AVERAGE(AP89:AP91)/AVERAGE(AP86:AP88))^4-1,"")</f>
        <v/>
      </c>
      <c r="AR91" s="10" t="n">
        <v>102.73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102.6781</v>
      </c>
      <c r="AW91" s="12">
        <f>IF(COUNT(AV86:AV91)=6,(AVERAGE(AV89:AV91)/AVERAGE(AV86:AV88))^4-1,"")</f>
        <v/>
      </c>
      <c r="AX91" s="10" t="n">
        <v>90.837</v>
      </c>
      <c r="AY91" s="11">
        <f>IF(ISNUMBER(AX91),AX91/AX$65*100,"")</f>
        <v/>
      </c>
      <c r="AZ91" s="12">
        <f>IF(AND(ISNUMBER(AX91),ISNUMBER(AX90)),AX91/AX90-1,"")</f>
        <v/>
      </c>
      <c r="BA91" s="12">
        <f>IF(AND(ISNUMBER(AX91),ISNUMBER(AX79)),AX91/AX79-1,"")</f>
        <v/>
      </c>
      <c r="BB91" s="11" t="n">
        <v>91.1026</v>
      </c>
      <c r="BC91" s="12">
        <f>IF(COUNT(BB86:BB91)=6,(AVERAGE(BB89:BB91)/AVERAGE(BB86:BB88))^4-1,"")</f>
        <v/>
      </c>
    </row>
    <row r="92">
      <c r="A92" s="9" t="n">
        <v>44652</v>
      </c>
      <c r="B92" s="10" t="n">
        <v>90.97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90.485</v>
      </c>
      <c r="G92" s="12">
        <f>IF(COUNT(F87:F92)=6,(AVERAGE(F90:F92)/AVERAGE(F87:F89))^4-1,"")</f>
        <v/>
      </c>
      <c r="H92" s="10" t="n">
        <v>91.11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90.2466</v>
      </c>
      <c r="M92" s="12">
        <f>IF(COUNT(L87:L92)=6,(AVERAGE(L90:L92)/AVERAGE(L87:L89))^4-1,"")</f>
        <v/>
      </c>
      <c r="N92" s="10" t="n">
        <v>88.69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88.0937</v>
      </c>
      <c r="S92" s="12">
        <f>IF(COUNT(R87:R92)=6,(AVERAGE(R90:R92)/AVERAGE(R87:R89))^4-1,"")</f>
        <v/>
      </c>
      <c r="T92" s="10" t="n">
        <v>92.95999999999999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92.19110000000001</v>
      </c>
      <c r="Y92" s="12">
        <f>IF(COUNT(X87:X92)=6,(AVERAGE(X90:X92)/AVERAGE(X87:X89))^4-1,"")</f>
        <v/>
      </c>
      <c r="Z92" s="10" t="n">
        <v>88.87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88.54040000000001</v>
      </c>
      <c r="AE92" s="12">
        <f>IF(COUNT(AD87:AD92)=6,(AVERAGE(AD90:AD92)/AVERAGE(AD87:AD89))^4-1,"")</f>
        <v/>
      </c>
      <c r="AF92" s="10" t="n">
        <v>82.94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82.8514</v>
      </c>
      <c r="AK92" s="12">
        <f>IF(COUNT(AJ87:AJ92)=6,(AVERAGE(AJ90:AJ92)/AVERAGE(AJ87:AJ89))^4-1,"")</f>
        <v/>
      </c>
      <c r="AL92" s="10" t="n">
        <v>112.51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112.9242</v>
      </c>
      <c r="AQ92" s="12">
        <f>IF(COUNT(AP87:AP92)=6,(AVERAGE(AP90:AP92)/AVERAGE(AP87:AP89))^4-1,"")</f>
        <v/>
      </c>
      <c r="AR92" s="10" t="n">
        <v>98.01000000000001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97.32380000000001</v>
      </c>
      <c r="AW92" s="12">
        <f>IF(COUNT(AV87:AV92)=6,(AVERAGE(AV90:AV92)/AVERAGE(AV87:AV89))^4-1,"")</f>
        <v/>
      </c>
      <c r="AX92" s="10" t="n">
        <v>90.676</v>
      </c>
      <c r="AY92" s="11">
        <f>IF(ISNUMBER(AX92),AX92/AX$65*100,"")</f>
        <v/>
      </c>
      <c r="AZ92" s="12">
        <f>IF(AND(ISNUMBER(AX92),ISNUMBER(AX91)),AX92/AX91-1,"")</f>
        <v/>
      </c>
      <c r="BA92" s="12">
        <f>IF(AND(ISNUMBER(AX92),ISNUMBER(AX80)),AX92/AX80-1,"")</f>
        <v/>
      </c>
      <c r="BB92" s="11" t="n">
        <v>90.492</v>
      </c>
      <c r="BC92" s="12">
        <f>IF(COUNT(BB87:BB92)=6,(AVERAGE(BB90:BB92)/AVERAGE(BB87:BB89))^4-1,"")</f>
        <v/>
      </c>
    </row>
    <row r="93">
      <c r="A93" s="9" t="n">
        <v>44682</v>
      </c>
      <c r="B93" s="10" t="n">
        <v>91.61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91.1545</v>
      </c>
      <c r="G93" s="12">
        <f>IF(COUNT(F88:F93)=6,(AVERAGE(F91:F93)/AVERAGE(F88:F90))^4-1,"")</f>
        <v/>
      </c>
      <c r="H93" s="10" t="n">
        <v>91.41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90.5998</v>
      </c>
      <c r="M93" s="12">
        <f>IF(COUNT(L88:L93)=6,(AVERAGE(L91:L93)/AVERAGE(L88:L90))^4-1,"")</f>
        <v/>
      </c>
      <c r="N93" s="10" t="n">
        <v>89.18000000000001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88.4821</v>
      </c>
      <c r="S93" s="12">
        <f>IF(COUNT(R88:R93)=6,(AVERAGE(R91:R93)/AVERAGE(R88:R90))^4-1,"")</f>
        <v/>
      </c>
      <c r="T93" s="10" t="n">
        <v>93.95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93.151</v>
      </c>
      <c r="Y93" s="12">
        <f>IF(COUNT(X88:X93)=6,(AVERAGE(X91:X93)/AVERAGE(X88:X90))^4-1,"")</f>
        <v/>
      </c>
      <c r="Z93" s="10" t="n">
        <v>89.02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88.8633</v>
      </c>
      <c r="AE93" s="12">
        <f>IF(COUNT(AD88:AD93)=6,(AVERAGE(AD91:AD93)/AVERAGE(AD88:AD90))^4-1,"")</f>
        <v/>
      </c>
      <c r="AF93" s="10" t="n">
        <v>83.83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83.5558</v>
      </c>
      <c r="AK93" s="12">
        <f>IF(COUNT(AJ88:AJ93)=6,(AVERAGE(AJ91:AJ93)/AVERAGE(AJ88:AJ90))^4-1,"")</f>
        <v/>
      </c>
      <c r="AL93" s="10" t="n">
        <v>114.61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115.9631</v>
      </c>
      <c r="AQ93" s="12">
        <f>IF(COUNT(AP88:AP93)=6,(AVERAGE(AP91:AP93)/AVERAGE(AP88:AP90))^4-1,"")</f>
        <v/>
      </c>
      <c r="AR93" s="10" t="n">
        <v>100.73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100.6061</v>
      </c>
      <c r="AW93" s="12">
        <f>IF(COUNT(AV88:AV93)=6,(AVERAGE(AV91:AV93)/AVERAGE(AV88:AV90))^4-1,"")</f>
        <v/>
      </c>
      <c r="AX93" s="10" t="n">
        <v>91.426</v>
      </c>
      <c r="AY93" s="11">
        <f>IF(ISNUMBER(AX93),AX93/AX$65*100,"")</f>
        <v/>
      </c>
      <c r="AZ93" s="12">
        <f>IF(AND(ISNUMBER(AX93),ISNUMBER(AX92)),AX93/AX92-1,"")</f>
        <v/>
      </c>
      <c r="BA93" s="12">
        <f>IF(AND(ISNUMBER(AX93),ISNUMBER(AX81)),AX93/AX81-1,"")</f>
        <v/>
      </c>
      <c r="BB93" s="11" t="n">
        <v>91.2788</v>
      </c>
      <c r="BC93" s="12">
        <f>IF(COUNT(BB88:BB93)=6,(AVERAGE(BB91:BB93)/AVERAGE(BB88:BB90))^4-1,"")</f>
        <v/>
      </c>
    </row>
    <row r="94">
      <c r="A94" s="9" t="n">
        <v>44713</v>
      </c>
      <c r="B94" s="10" t="n">
        <v>93.34999999999999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92.68640000000001</v>
      </c>
      <c r="G94" s="12">
        <f>IF(COUNT(F89:F94)=6,(AVERAGE(F92:F94)/AVERAGE(F89:F91))^4-1,"")</f>
        <v/>
      </c>
      <c r="H94" s="10" t="n">
        <v>92.02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90.96380000000001</v>
      </c>
      <c r="M94" s="12">
        <f>IF(COUNT(L89:L94)=6,(AVERAGE(L92:L94)/AVERAGE(L89:L91))^4-1,"")</f>
        <v/>
      </c>
      <c r="N94" s="10" t="n">
        <v>90.02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89.16070000000001</v>
      </c>
      <c r="S94" s="12">
        <f>IF(COUNT(R89:R94)=6,(AVERAGE(R92:R94)/AVERAGE(R89:R91))^4-1,"")</f>
        <v/>
      </c>
      <c r="T94" s="10" t="n">
        <v>96.29000000000001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95.51990000000001</v>
      </c>
      <c r="Y94" s="12">
        <f>IF(COUNT(X89:X94)=6,(AVERAGE(X92:X94)/AVERAGE(X89:X91))^4-1,"")</f>
        <v/>
      </c>
      <c r="Z94" s="10" t="n">
        <v>89.91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89.2869</v>
      </c>
      <c r="AE94" s="12">
        <f>IF(COUNT(AD89:AD94)=6,(AVERAGE(AD92:AD94)/AVERAGE(AD89:AD91))^4-1,"")</f>
        <v/>
      </c>
      <c r="AF94" s="10" t="n">
        <v>85.18000000000001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84.85039999999999</v>
      </c>
      <c r="AK94" s="12">
        <f>IF(COUNT(AJ89:AJ94)=6,(AVERAGE(AJ92:AJ94)/AVERAGE(AJ89:AJ91))^4-1,"")</f>
        <v/>
      </c>
      <c r="AL94" s="10" t="n">
        <v>124.56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125.3104</v>
      </c>
      <c r="AQ94" s="12">
        <f>IF(COUNT(AP89:AP94)=6,(AVERAGE(AP92:AP94)/AVERAGE(AP89:AP91))^4-1,"")</f>
        <v/>
      </c>
      <c r="AR94" s="10" t="n">
        <v>105.55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105.9078</v>
      </c>
      <c r="AW94" s="12">
        <f>IF(COUNT(AV89:AV94)=6,(AVERAGE(AV92:AV94)/AVERAGE(AV89:AV91))^4-1,"")</f>
        <v/>
      </c>
      <c r="AX94" s="10" t="n">
        <v>93.11799999999999</v>
      </c>
      <c r="AY94" s="11">
        <f>IF(ISNUMBER(AX94),AX94/AX$65*100,"")</f>
        <v/>
      </c>
      <c r="AZ94" s="12">
        <f>IF(AND(ISNUMBER(AX94),ISNUMBER(AX93)),AX94/AX93-1,"")</f>
        <v/>
      </c>
      <c r="BA94" s="12">
        <f>IF(AND(ISNUMBER(AX94),ISNUMBER(AX82)),AX94/AX82-1,"")</f>
        <v/>
      </c>
      <c r="BB94" s="11" t="n">
        <v>92.74679999999999</v>
      </c>
      <c r="BC94" s="12">
        <f>IF(COUNT(BB89:BB94)=6,(AVERAGE(BB92:BB94)/AVERAGE(BB89:BB91))^4-1,"")</f>
        <v/>
      </c>
    </row>
    <row r="95">
      <c r="A95" s="9" t="n">
        <v>44743</v>
      </c>
      <c r="B95" s="10" t="n">
        <v>92.81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92.9402</v>
      </c>
      <c r="G95" s="12">
        <f>IF(COUNT(F90:F95)=6,(AVERAGE(F93:F95)/AVERAGE(F90:F92))^4-1,"")</f>
        <v/>
      </c>
      <c r="H95" s="10" t="n">
        <v>90.98999999999999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91.0985</v>
      </c>
      <c r="M95" s="12">
        <f>IF(COUNT(L90:L95)=6,(AVERAGE(L93:L95)/AVERAGE(L90:L92))^4-1,"")</f>
        <v/>
      </c>
      <c r="N95" s="10" t="n">
        <v>89.39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89.5711</v>
      </c>
      <c r="S95" s="12">
        <f>IF(COUNT(R90:R95)=6,(AVERAGE(R93:R95)/AVERAGE(R90:R92))^4-1,"")</f>
        <v/>
      </c>
      <c r="T95" s="10" t="n">
        <v>94.95999999999999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96.1003</v>
      </c>
      <c r="Y95" s="12">
        <f>IF(COUNT(X90:X95)=6,(AVERAGE(X93:X95)/AVERAGE(X90:X92))^4-1,"")</f>
        <v/>
      </c>
      <c r="Z95" s="10" t="n">
        <v>90.48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89.4979</v>
      </c>
      <c r="AE95" s="12">
        <f>IF(COUNT(AD90:AD95)=6,(AVERAGE(AD93:AD95)/AVERAGE(AD90:AD92))^4-1,"")</f>
        <v/>
      </c>
      <c r="AF95" s="10" t="n">
        <v>85.44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85.5917</v>
      </c>
      <c r="AK95" s="12">
        <f>IF(COUNT(AJ90:AJ95)=6,(AVERAGE(AJ93:AJ95)/AVERAGE(AJ90:AJ92))^4-1,"")</f>
        <v/>
      </c>
      <c r="AL95" s="10" t="n">
        <v>124.87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125.7201</v>
      </c>
      <c r="AQ95" s="12">
        <f>IF(COUNT(AP90:AP95)=6,(AVERAGE(AP93:AP95)/AVERAGE(AP90:AP92))^4-1,"")</f>
        <v/>
      </c>
      <c r="AR95" s="10" t="n">
        <v>103.64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103.5657</v>
      </c>
      <c r="AW95" s="12">
        <f>IF(COUNT(AV90:AV95)=6,(AVERAGE(AV93:AV95)/AVERAGE(AV90:AV92))^4-1,"")</f>
        <v/>
      </c>
      <c r="AX95" s="10" t="n">
        <v>92.881</v>
      </c>
      <c r="AY95" s="11">
        <f>IF(ISNUMBER(AX95),AX95/AX$65*100,"")</f>
        <v/>
      </c>
      <c r="AZ95" s="12">
        <f>IF(AND(ISNUMBER(AX95),ISNUMBER(AX94)),AX95/AX94-1,"")</f>
        <v/>
      </c>
      <c r="BA95" s="12">
        <f>IF(AND(ISNUMBER(AX95),ISNUMBER(AX83)),AX95/AX83-1,"")</f>
        <v/>
      </c>
      <c r="BB95" s="11" t="n">
        <v>92.9153</v>
      </c>
      <c r="BC95" s="12">
        <f>IF(COUNT(BB90:BB95)=6,(AVERAGE(BB93:BB95)/AVERAGE(BB90:BB92))^4-1,"")</f>
        <v/>
      </c>
    </row>
    <row r="96">
      <c r="A96" s="9" t="n">
        <v>44774</v>
      </c>
      <c r="B96" s="10" t="n">
        <v>93.05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93.1897</v>
      </c>
      <c r="G96" s="12">
        <f>IF(COUNT(F91:F96)=6,(AVERAGE(F94:F96)/AVERAGE(F91:F93))^4-1,"")</f>
        <v/>
      </c>
      <c r="H96" s="10" t="n">
        <v>91.25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91.3813</v>
      </c>
      <c r="M96" s="12">
        <f>IF(COUNT(L91:L96)=6,(AVERAGE(L94:L96)/AVERAGE(L91:L93))^4-1,"")</f>
        <v/>
      </c>
      <c r="N96" s="10" t="n">
        <v>89.69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89.9402</v>
      </c>
      <c r="S96" s="12">
        <f>IF(COUNT(R91:R96)=6,(AVERAGE(R94:R96)/AVERAGE(R91:R93))^4-1,"")</f>
        <v/>
      </c>
      <c r="T96" s="10" t="n">
        <v>95.09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96.40940000000001</v>
      </c>
      <c r="Y96" s="12">
        <f>IF(COUNT(X91:X96)=6,(AVERAGE(X94:X96)/AVERAGE(X91:X93))^4-1,"")</f>
        <v/>
      </c>
      <c r="Z96" s="10" t="n">
        <v>90.88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89.7761</v>
      </c>
      <c r="AE96" s="12">
        <f>IF(COUNT(AD91:AD96)=6,(AVERAGE(AD94:AD96)/AVERAGE(AD91:AD93))^4-1,"")</f>
        <v/>
      </c>
      <c r="AF96" s="10" t="n">
        <v>85.83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86.309</v>
      </c>
      <c r="AK96" s="12">
        <f>IF(COUNT(AJ91:AJ96)=6,(AVERAGE(AJ94:AJ96)/AVERAGE(AJ91:AJ93))^4-1,"")</f>
        <v/>
      </c>
      <c r="AL96" s="10" t="n">
        <v>124.54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125.0839</v>
      </c>
      <c r="AQ96" s="12">
        <f>IF(COUNT(AP91:AP96)=6,(AVERAGE(AP94:AP96)/AVERAGE(AP91:AP93))^4-1,"")</f>
        <v/>
      </c>
      <c r="AR96" s="10" t="n">
        <v>99.92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99.1429</v>
      </c>
      <c r="AW96" s="12">
        <f>IF(COUNT(AV91:AV96)=6,(AVERAGE(AV94:AV96)/AVERAGE(AV91:AV93))^4-1,"")</f>
        <v/>
      </c>
      <c r="AX96" s="10" t="n">
        <v>93.117</v>
      </c>
      <c r="AY96" s="11">
        <f>IF(ISNUMBER(AX96),AX96/AX$65*100,"")</f>
        <v/>
      </c>
      <c r="AZ96" s="12">
        <f>IF(AND(ISNUMBER(AX96),ISNUMBER(AX95)),AX96/AX95-1,"")</f>
        <v/>
      </c>
      <c r="BA96" s="12">
        <f>IF(AND(ISNUMBER(AX96),ISNUMBER(AX84)),AX96/AX84-1,"")</f>
        <v/>
      </c>
      <c r="BB96" s="11" t="n">
        <v>93.1341</v>
      </c>
      <c r="BC96" s="12">
        <f>IF(COUNT(BB91:BB96)=6,(AVERAGE(BB94:BB96)/AVERAGE(BB91:BB93))^4-1,"")</f>
        <v/>
      </c>
    </row>
    <row r="97">
      <c r="A97" s="9" t="n">
        <v>44805</v>
      </c>
      <c r="B97" s="10" t="n">
        <v>92.81999999999999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92.84990000000001</v>
      </c>
      <c r="G97" s="12">
        <f>IF(COUNT(F92:F97)=6,(AVERAGE(F95:F97)/AVERAGE(F92:F94))^4-1,"")</f>
        <v/>
      </c>
      <c r="H97" s="10" t="n">
        <v>92.02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91.8434</v>
      </c>
      <c r="M97" s="12">
        <f>IF(COUNT(L92:L97)=6,(AVERAGE(L95:L97)/AVERAGE(L92:L94))^4-1,"")</f>
        <v/>
      </c>
      <c r="N97" s="10" t="n">
        <v>90.34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90.399</v>
      </c>
      <c r="S97" s="12">
        <f>IF(COUNT(R92:R97)=6,(AVERAGE(R95:R97)/AVERAGE(R92:R94))^4-1,"")</f>
        <v/>
      </c>
      <c r="T97" s="10" t="n">
        <v>95.22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95.762</v>
      </c>
      <c r="Y97" s="12">
        <f>IF(COUNT(X92:X97)=6,(AVERAGE(X95:X97)/AVERAGE(X92:X94))^4-1,"")</f>
        <v/>
      </c>
      <c r="Z97" s="10" t="n">
        <v>90.15000000000001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89.95050000000001</v>
      </c>
      <c r="AE97" s="12">
        <f>IF(COUNT(AD92:AD97)=6,(AVERAGE(AD95:AD97)/AVERAGE(AD92:AD94))^4-1,"")</f>
        <v/>
      </c>
      <c r="AF97" s="10" t="n">
        <v>86.2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86.8557</v>
      </c>
      <c r="AK97" s="12">
        <f>IF(COUNT(AJ92:AJ97)=6,(AVERAGE(AJ95:AJ97)/AVERAGE(AJ92:AJ94))^4-1,"")</f>
        <v/>
      </c>
      <c r="AL97" s="10" t="n">
        <v>116.23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112.4085</v>
      </c>
      <c r="AQ97" s="12">
        <f>IF(COUNT(AP92:AP97)=6,(AVERAGE(AP95:AP97)/AVERAGE(AP92:AP94))^4-1,"")</f>
        <v/>
      </c>
      <c r="AR97" s="10" t="n">
        <v>98.04000000000001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98.2372</v>
      </c>
      <c r="AW97" s="12">
        <f>IF(COUNT(AV92:AV97)=6,(AVERAGE(AV95:AV97)/AVERAGE(AV92:AV94))^4-1,"")</f>
        <v/>
      </c>
      <c r="AX97" s="10" t="n">
        <v>92.47</v>
      </c>
      <c r="AY97" s="11">
        <f>IF(ISNUMBER(AX97),AX97/AX$65*100,"")</f>
        <v/>
      </c>
      <c r="AZ97" s="12">
        <f>IF(AND(ISNUMBER(AX97),ISNUMBER(AX96)),AX97/AX96-1,"")</f>
        <v/>
      </c>
      <c r="BA97" s="12">
        <f>IF(AND(ISNUMBER(AX97),ISNUMBER(AX85)),AX97/AX85-1,"")</f>
        <v/>
      </c>
      <c r="BB97" s="11" t="n">
        <v>92.18340000000001</v>
      </c>
      <c r="BC97" s="12">
        <f>IF(COUNT(BB92:BB97)=6,(AVERAGE(BB95:BB97)/AVERAGE(BB92:BB94))^4-1,"")</f>
        <v/>
      </c>
    </row>
    <row r="98">
      <c r="A98" s="9" t="n">
        <v>44835</v>
      </c>
      <c r="B98" s="10" t="n">
        <v>92.86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92.55970000000001</v>
      </c>
      <c r="G98" s="12">
        <f>IF(COUNT(F93:F98)=6,(AVERAGE(F96:F98)/AVERAGE(F93:F95))^4-1,"")</f>
        <v/>
      </c>
      <c r="H98" s="10" t="n">
        <v>92.43000000000001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92.13679999999999</v>
      </c>
      <c r="M98" s="12">
        <f>IF(COUNT(L93:L98)=6,(AVERAGE(L96:L98)/AVERAGE(L93:L95))^4-1,"")</f>
        <v/>
      </c>
      <c r="N98" s="10" t="n">
        <v>91.17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90.8922</v>
      </c>
      <c r="S98" s="12">
        <f>IF(COUNT(R93:R98)=6,(AVERAGE(R96:R98)/AVERAGE(R93:R95))^4-1,"")</f>
        <v/>
      </c>
      <c r="T98" s="10" t="n">
        <v>95.36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94.5964</v>
      </c>
      <c r="Y98" s="12">
        <f>IF(COUNT(X93:X98)=6,(AVERAGE(X96:X98)/AVERAGE(X93:X95))^4-1,"")</f>
        <v/>
      </c>
      <c r="Z98" s="10" t="n">
        <v>90.05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90.3062</v>
      </c>
      <c r="AE98" s="12">
        <f>IF(COUNT(AD93:AD98)=6,(AVERAGE(AD96:AD98)/AVERAGE(AD93:AD95))^4-1,"")</f>
        <v/>
      </c>
      <c r="AF98" s="10" t="n">
        <v>87.95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87.7178</v>
      </c>
      <c r="AK98" s="12">
        <f>IF(COUNT(AJ93:AJ98)=6,(AVERAGE(AJ96:AJ98)/AVERAGE(AJ93:AJ95))^4-1,"")</f>
        <v/>
      </c>
      <c r="AL98" s="10" t="n">
        <v>109.05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107.0025</v>
      </c>
      <c r="AQ98" s="12">
        <f>IF(COUNT(AP93:AP98)=6,(AVERAGE(AP96:AP98)/AVERAGE(AP93:AP95))^4-1,"")</f>
        <v/>
      </c>
      <c r="AR98" s="10" t="n">
        <v>99.38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99.3682</v>
      </c>
      <c r="AW98" s="12">
        <f>IF(COUNT(AV93:AV98)=6,(AVERAGE(AV96:AV98)/AVERAGE(AV93:AV95))^4-1,"")</f>
        <v/>
      </c>
      <c r="AX98" s="10" t="n">
        <v>92.78</v>
      </c>
      <c r="AY98" s="11">
        <f>IF(ISNUMBER(AX98),AX98/AX$65*100,"")</f>
        <v/>
      </c>
      <c r="AZ98" s="12">
        <f>IF(AND(ISNUMBER(AX98),ISNUMBER(AX97)),AX98/AX97-1,"")</f>
        <v/>
      </c>
      <c r="BA98" s="12">
        <f>IF(AND(ISNUMBER(AX98),ISNUMBER(AX86)),AX98/AX86-1,"")</f>
        <v/>
      </c>
      <c r="BB98" s="11" t="n">
        <v>92.6301</v>
      </c>
      <c r="BC98" s="12">
        <f>IF(COUNT(BB93:BB98)=6,(AVERAGE(BB96:BB98)/AVERAGE(BB93:BB95))^4-1,"")</f>
        <v/>
      </c>
    </row>
    <row r="99">
      <c r="A99" s="9" t="n">
        <v>44866</v>
      </c>
      <c r="B99" s="10" t="n">
        <v>92.55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92.6087</v>
      </c>
      <c r="G99" s="12">
        <f>IF(COUNT(F94:F99)=6,(AVERAGE(F97:F99)/AVERAGE(F94:F96))^4-1,"")</f>
        <v/>
      </c>
      <c r="H99" s="10" t="n">
        <v>92.53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92.4432</v>
      </c>
      <c r="M99" s="12">
        <f>IF(COUNT(L94:L99)=6,(AVERAGE(L97:L99)/AVERAGE(L94:L96))^4-1,"")</f>
        <v/>
      </c>
      <c r="N99" s="10" t="n">
        <v>91.37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91.303</v>
      </c>
      <c r="S99" s="12">
        <f>IF(COUNT(R94:R99)=6,(AVERAGE(R97:R99)/AVERAGE(R94:R96))^4-1,"")</f>
        <v/>
      </c>
      <c r="T99" s="10" t="n">
        <v>95.06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94.4705</v>
      </c>
      <c r="Y99" s="12">
        <f>IF(COUNT(X94:X99)=6,(AVERAGE(X97:X99)/AVERAGE(X94:X96))^4-1,"")</f>
        <v/>
      </c>
      <c r="Z99" s="10" t="n">
        <v>89.73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90.535</v>
      </c>
      <c r="AE99" s="12">
        <f>IF(COUNT(AD94:AD99)=6,(AVERAGE(AD97:AD99)/AVERAGE(AD94:AD96))^4-1,"")</f>
        <v/>
      </c>
      <c r="AF99" s="10" t="n">
        <v>88.38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88.4175</v>
      </c>
      <c r="AK99" s="12">
        <f>IF(COUNT(AJ94:AJ99)=6,(AVERAGE(AJ97:AJ99)/AVERAGE(AJ94:AJ96))^4-1,"")</f>
        <v/>
      </c>
      <c r="AL99" s="10" t="n">
        <v>104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104.6457</v>
      </c>
      <c r="AQ99" s="12">
        <f>IF(COUNT(AP94:AP99)=6,(AVERAGE(AP97:AP99)/AVERAGE(AP94:AP96))^4-1,"")</f>
        <v/>
      </c>
      <c r="AR99" s="10" t="n">
        <v>99.36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99.5264</v>
      </c>
      <c r="AW99" s="12">
        <f>IF(COUNT(AV94:AV99)=6,(AVERAGE(AV97:AV99)/AVERAGE(AV94:AV96))^4-1,"")</f>
        <v/>
      </c>
      <c r="AX99" s="10" t="n">
        <v>92.669</v>
      </c>
      <c r="AY99" s="11">
        <f>IF(ISNUMBER(AX99),AX99/AX$65*100,"")</f>
        <v/>
      </c>
      <c r="AZ99" s="12">
        <f>IF(AND(ISNUMBER(AX99),ISNUMBER(AX98)),AX99/AX98-1,"")</f>
        <v/>
      </c>
      <c r="BA99" s="12">
        <f>IF(AND(ISNUMBER(AX99),ISNUMBER(AX87)),AX99/AX87-1,"")</f>
        <v/>
      </c>
      <c r="BB99" s="11" t="n">
        <v>92.7315</v>
      </c>
      <c r="BC99" s="12">
        <f>IF(COUNT(BB94:BB99)=6,(AVERAGE(BB97:BB99)/AVERAGE(BB94:BB96))^4-1,"")</f>
        <v/>
      </c>
    </row>
    <row r="100">
      <c r="A100" s="9" t="n">
        <v>44896</v>
      </c>
      <c r="B100" s="10" t="n">
        <v>92.56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92.63630000000001</v>
      </c>
      <c r="G100" s="12">
        <f>IF(COUNT(F95:F100)=6,(AVERAGE(F98:F100)/AVERAGE(F95:F97))^4-1,"")</f>
        <v/>
      </c>
      <c r="H100" s="10" t="n">
        <v>92.73999999999999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92.64579999999999</v>
      </c>
      <c r="M100" s="12">
        <f>IF(COUNT(L95:L100)=6,(AVERAGE(L98:L100)/AVERAGE(L95:L97))^4-1,"")</f>
        <v/>
      </c>
      <c r="N100" s="10" t="n">
        <v>91.98999999999999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91.9286</v>
      </c>
      <c r="S100" s="12">
        <f>IF(COUNT(R95:R100)=6,(AVERAGE(R98:R100)/AVERAGE(R95:R97))^4-1,"")</f>
        <v/>
      </c>
      <c r="T100" s="10" t="n">
        <v>94.63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94.33369999999999</v>
      </c>
      <c r="Y100" s="12">
        <f>IF(COUNT(X95:X100)=6,(AVERAGE(X98:X100)/AVERAGE(X95:X97))^4-1,"")</f>
        <v/>
      </c>
      <c r="Z100" s="10" t="n">
        <v>90.34999999999999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90.8789</v>
      </c>
      <c r="AE100" s="12">
        <f>IF(COUNT(AD95:AD100)=6,(AVERAGE(AD98:AD100)/AVERAGE(AD95:AD97))^4-1,"")</f>
        <v/>
      </c>
      <c r="AF100" s="10" t="n">
        <v>89.91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90.096</v>
      </c>
      <c r="AK100" s="12">
        <f>IF(COUNT(AJ95:AJ100)=6,(AVERAGE(AJ98:AJ100)/AVERAGE(AJ95:AJ97))^4-1,"")</f>
        <v/>
      </c>
      <c r="AL100" s="10" t="n">
        <v>98.29000000000001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99.77889999999999</v>
      </c>
      <c r="AQ100" s="12">
        <f>IF(COUNT(AP95:AP100)=6,(AVERAGE(AP98:AP100)/AVERAGE(AP95:AP97))^4-1,"")</f>
        <v/>
      </c>
      <c r="AR100" s="10" t="n">
        <v>94.52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95.63200000000001</v>
      </c>
      <c r="AW100" s="12">
        <f>IF(COUNT(AV95:AV100)=6,(AVERAGE(AV98:AV100)/AVERAGE(AV95:AV97))^4-1,"")</f>
        <v/>
      </c>
      <c r="AX100" s="10" t="n">
        <v>92.80800000000001</v>
      </c>
      <c r="AY100" s="11">
        <f>IF(ISNUMBER(AX100),AX100/AX$65*100,"")</f>
        <v/>
      </c>
      <c r="AZ100" s="12">
        <f>IF(AND(ISNUMBER(AX100),ISNUMBER(AX99)),AX100/AX99-1,"")</f>
        <v/>
      </c>
      <c r="BA100" s="12">
        <f>IF(AND(ISNUMBER(AX100),ISNUMBER(AX88)),AX100/AX88-1,"")</f>
        <v/>
      </c>
      <c r="BB100" s="11" t="n">
        <v>92.8378</v>
      </c>
      <c r="BC100" s="12">
        <f>IF(COUNT(BB95:BB100)=6,(AVERAGE(BB98:BB100)/AVERAGE(BB95:BB97))^4-1,"")</f>
        <v/>
      </c>
    </row>
    <row r="101">
      <c r="A101" s="9" t="n">
        <v>44927</v>
      </c>
      <c r="B101" s="10" t="n">
        <v>92.16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93.06180000000001</v>
      </c>
      <c r="G101" s="12">
        <f>IF(COUNT(F96:F101)=6,(AVERAGE(F99:F101)/AVERAGE(F96:F98))^4-1,"")</f>
        <v/>
      </c>
      <c r="H101" s="10" t="n">
        <v>91.98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93.60890000000001</v>
      </c>
      <c r="M101" s="12">
        <f>IF(COUNT(L96:L101)=6,(AVERAGE(L99:L101)/AVERAGE(L96:L98))^4-1,"")</f>
        <v/>
      </c>
      <c r="N101" s="10" t="n">
        <v>91.56999999999999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92.71169999999999</v>
      </c>
      <c r="S101" s="12">
        <f>IF(COUNT(R96:R101)=6,(AVERAGE(R99:R101)/AVERAGE(R96:R98))^4-1,"")</f>
        <v/>
      </c>
      <c r="T101" s="10" t="n">
        <v>93.8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94.6003</v>
      </c>
      <c r="Y101" s="12">
        <f>IF(COUNT(X96:X101)=6,(AVERAGE(X99:X101)/AVERAGE(X96:X98))^4-1,"")</f>
        <v/>
      </c>
      <c r="Z101" s="10" t="n">
        <v>90.43000000000001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91.4464</v>
      </c>
      <c r="AE101" s="12">
        <f>IF(COUNT(AD96:AD101)=6,(AVERAGE(AD99:AD101)/AVERAGE(AD96:AD98))^4-1,"")</f>
        <v/>
      </c>
      <c r="AF101" s="10" t="n">
        <v>90.42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90.1797</v>
      </c>
      <c r="AK101" s="12">
        <f>IF(COUNT(AJ96:AJ101)=6,(AVERAGE(AJ99:AJ101)/AVERAGE(AJ96:AJ98))^4-1,"")</f>
        <v/>
      </c>
      <c r="AL101" s="10" t="n">
        <v>98.14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98.6952</v>
      </c>
      <c r="AQ101" s="12">
        <f>IF(COUNT(AP96:AP101)=6,(AVERAGE(AP99:AP101)/AVERAGE(AP96:AP98))^4-1,"")</f>
        <v/>
      </c>
      <c r="AR101" s="10" t="n">
        <v>98.43000000000001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98.98609999999999</v>
      </c>
      <c r="AW101" s="12">
        <f>IF(COUNT(AV96:AV101)=6,(AVERAGE(AV99:AV101)/AVERAGE(AV96:AV98))^4-1,"")</f>
        <v/>
      </c>
      <c r="AX101" s="10" t="n">
        <v>92.613</v>
      </c>
      <c r="AY101" s="11">
        <f>IF(ISNUMBER(AX101),AX101/AX$65*100,"")</f>
        <v/>
      </c>
      <c r="AZ101" s="12">
        <f>IF(AND(ISNUMBER(AX101),ISNUMBER(AX100)),AX101/AX100-1,"")</f>
        <v/>
      </c>
      <c r="BA101" s="12">
        <f>IF(AND(ISNUMBER(AX101),ISNUMBER(AX89)),AX101/AX89-1,"")</f>
        <v/>
      </c>
      <c r="BB101" s="11" t="n">
        <v>93.1678</v>
      </c>
      <c r="BC101" s="12">
        <f>IF(COUNT(BB96:BB101)=6,(AVERAGE(BB99:BB101)/AVERAGE(BB96:BB98))^4-1,"")</f>
        <v/>
      </c>
    </row>
    <row r="102">
      <c r="A102" s="9" t="n">
        <v>44958</v>
      </c>
      <c r="B102" s="10" t="n">
        <v>93.03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93.71380000000001</v>
      </c>
      <c r="G102" s="12">
        <f>IF(COUNT(F97:F102)=6,(AVERAGE(F100:F102)/AVERAGE(F97:F99))^4-1,"")</f>
        <v/>
      </c>
      <c r="H102" s="10" t="n">
        <v>92.37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93.9507</v>
      </c>
      <c r="M102" s="12">
        <f>IF(COUNT(L97:L102)=6,(AVERAGE(L100:L102)/AVERAGE(L97:L99))^4-1,"")</f>
        <v/>
      </c>
      <c r="N102" s="10" t="n">
        <v>92.29000000000001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93.34269999999999</v>
      </c>
      <c r="S102" s="12">
        <f>IF(COUNT(R97:R102)=6,(AVERAGE(R100:R102)/AVERAGE(R97:R99))^4-1,"")</f>
        <v/>
      </c>
      <c r="T102" s="10" t="n">
        <v>94.97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95.45829999999999</v>
      </c>
      <c r="Y102" s="12">
        <f>IF(COUNT(X97:X102)=6,(AVERAGE(X100:X102)/AVERAGE(X97:X99))^4-1,"")</f>
        <v/>
      </c>
      <c r="Z102" s="10" t="n">
        <v>90.95999999999999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91.6133</v>
      </c>
      <c r="AE102" s="12">
        <f>IF(COUNT(AD97:AD102)=6,(AVERAGE(AD100:AD102)/AVERAGE(AD97:AD99))^4-1,"")</f>
        <v/>
      </c>
      <c r="AF102" s="10" t="n">
        <v>92.06999999999999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91.8031</v>
      </c>
      <c r="AK102" s="12">
        <f>IF(COUNT(AJ97:AJ102)=6,(AVERAGE(AJ100:AJ102)/AVERAGE(AJ97:AJ99))^4-1,"")</f>
        <v/>
      </c>
      <c r="AL102" s="10" t="n">
        <v>100.4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100.2403</v>
      </c>
      <c r="AQ102" s="12">
        <f>IF(COUNT(AP97:AP102)=6,(AVERAGE(AP100:AP102)/AVERAGE(AP97:AP99))^4-1,"")</f>
        <v/>
      </c>
      <c r="AR102" s="10" t="n">
        <v>97.5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97.086</v>
      </c>
      <c r="AW102" s="12">
        <f>IF(COUNT(AV97:AV102)=6,(AVERAGE(AV100:AV102)/AVERAGE(AV97:AV99))^4-1,"")</f>
        <v/>
      </c>
      <c r="AX102" s="10" t="n">
        <v>93.48699999999999</v>
      </c>
      <c r="AY102" s="11">
        <f>IF(ISNUMBER(AX102),AX102/AX$65*100,"")</f>
        <v/>
      </c>
      <c r="AZ102" s="12">
        <f>IF(AND(ISNUMBER(AX102),ISNUMBER(AX101)),AX102/AX101-1,"")</f>
        <v/>
      </c>
      <c r="BA102" s="12">
        <f>IF(AND(ISNUMBER(AX102),ISNUMBER(AX90)),AX102/AX90-1,"")</f>
        <v/>
      </c>
      <c r="BB102" s="11" t="n">
        <v>93.8261</v>
      </c>
      <c r="BC102" s="12">
        <f>IF(COUNT(BB97:BB102)=6,(AVERAGE(BB100:BB102)/AVERAGE(BB97:BB99))^4-1,"")</f>
        <v/>
      </c>
    </row>
    <row r="103">
      <c r="A103" s="9" t="n">
        <v>44986</v>
      </c>
      <c r="B103" s="10" t="n">
        <v>94.01000000000001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93.92189999999999</v>
      </c>
      <c r="G103" s="12">
        <f>IF(COUNT(F98:F103)=6,(AVERAGE(F101:F103)/AVERAGE(F98:F100))^4-1,"")</f>
        <v/>
      </c>
      <c r="H103" s="10" t="n">
        <v>93.98999999999999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94.0591</v>
      </c>
      <c r="M103" s="12">
        <f>IF(COUNT(L98:L103)=6,(AVERAGE(L101:L103)/AVERAGE(L98:L100))^4-1,"")</f>
        <v/>
      </c>
      <c r="N103" s="10" t="n">
        <v>93.72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93.71210000000001</v>
      </c>
      <c r="S103" s="12">
        <f>IF(COUNT(R98:R103)=6,(AVERAGE(R101:R103)/AVERAGE(R98:R100))^4-1,"")</f>
        <v/>
      </c>
      <c r="T103" s="10" t="n">
        <v>96.2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95.7439</v>
      </c>
      <c r="Y103" s="12">
        <f>IF(COUNT(X98:X103)=6,(AVERAGE(X101:X103)/AVERAGE(X98:X100))^4-1,"")</f>
        <v/>
      </c>
      <c r="Z103" s="10" t="n">
        <v>91.66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92.01819999999999</v>
      </c>
      <c r="AE103" s="12">
        <f>IF(COUNT(AD98:AD103)=6,(AVERAGE(AD101:AD103)/AVERAGE(AD98:AD100))^4-1,"")</f>
        <v/>
      </c>
      <c r="AF103" s="10" t="n">
        <v>92.98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92.8432</v>
      </c>
      <c r="AK103" s="12">
        <f>IF(COUNT(AJ98:AJ103)=6,(AVERAGE(AJ101:AJ103)/AVERAGE(AJ98:AJ100))^4-1,"")</f>
        <v/>
      </c>
      <c r="AL103" s="10" t="n">
        <v>96.95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96.72450000000001</v>
      </c>
      <c r="AQ103" s="12">
        <f>IF(COUNT(AP98:AP103)=6,(AVERAGE(AP101:AP103)/AVERAGE(AP98:AP100))^4-1,"")</f>
        <v/>
      </c>
      <c r="AR103" s="10" t="n">
        <v>97.52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97.3107</v>
      </c>
      <c r="AW103" s="12">
        <f>IF(COUNT(AV98:AV103)=6,(AVERAGE(AV101:AV103)/AVERAGE(AV98:AV100))^4-1,"")</f>
        <v/>
      </c>
      <c r="AX103" s="10" t="n">
        <v>93.831</v>
      </c>
      <c r="AY103" s="11">
        <f>IF(ISNUMBER(AX103),AX103/AX$65*100,"")</f>
        <v/>
      </c>
      <c r="AZ103" s="12">
        <f>IF(AND(ISNUMBER(AX103),ISNUMBER(AX102)),AX103/AX102-1,"")</f>
        <v/>
      </c>
      <c r="BA103" s="12">
        <f>IF(AND(ISNUMBER(AX103),ISNUMBER(AX91)),AX103/AX91-1,"")</f>
        <v/>
      </c>
      <c r="BB103" s="11" t="n">
        <v>94.0269</v>
      </c>
      <c r="BC103" s="12">
        <f>IF(COUNT(BB98:BB103)=6,(AVERAGE(BB101:BB103)/AVERAGE(BB98:BB100))^4-1,"")</f>
        <v/>
      </c>
    </row>
    <row r="104">
      <c r="A104" s="9" t="n">
        <v>45017</v>
      </c>
      <c r="B104" s="10" t="n">
        <v>94.44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93.93810000000001</v>
      </c>
      <c r="G104" s="12">
        <f>IF(COUNT(F99:F104)=6,(AVERAGE(F102:F104)/AVERAGE(F99:F101))^4-1,"")</f>
        <v/>
      </c>
      <c r="H104" s="10" t="n">
        <v>94.8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93.9376</v>
      </c>
      <c r="M104" s="12">
        <f>IF(COUNT(L99:L104)=6,(AVERAGE(L102:L104)/AVERAGE(L99:L101))^4-1,"")</f>
        <v/>
      </c>
      <c r="N104" s="10" t="n">
        <v>94.39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93.76309999999999</v>
      </c>
      <c r="S104" s="12">
        <f>IF(COUNT(R99:R104)=6,(AVERAGE(R102:R104)/AVERAGE(R99:R101))^4-1,"")</f>
        <v/>
      </c>
      <c r="T104" s="10" t="n">
        <v>96.22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95.4401</v>
      </c>
      <c r="Y104" s="12">
        <f>IF(COUNT(X99:X104)=6,(AVERAGE(X102:X104)/AVERAGE(X99:X101))^4-1,"")</f>
        <v/>
      </c>
      <c r="Z104" s="10" t="n">
        <v>92.56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92.2212</v>
      </c>
      <c r="AE104" s="12">
        <f>IF(COUNT(AD99:AD104)=6,(AVERAGE(AD102:AD104)/AVERAGE(AD99:AD101))^4-1,"")</f>
        <v/>
      </c>
      <c r="AF104" s="10" t="n">
        <v>93.23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93.05459999999999</v>
      </c>
      <c r="AK104" s="12">
        <f>IF(COUNT(AJ99:AJ104)=6,(AVERAGE(AJ102:AJ104)/AVERAGE(AJ99:AJ101))^4-1,"")</f>
        <v/>
      </c>
      <c r="AL104" s="10" t="n">
        <v>95.16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95.63809999999999</v>
      </c>
      <c r="AQ104" s="12">
        <f>IF(COUNT(AP99:AP104)=6,(AVERAGE(AP102:AP104)/AVERAGE(AP99:AP101))^4-1,"")</f>
        <v/>
      </c>
      <c r="AR104" s="10" t="n">
        <v>98.19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97.4256</v>
      </c>
      <c r="AW104" s="12">
        <f>IF(COUNT(AV99:AV104)=6,(AVERAGE(AV102:AV104)/AVERAGE(AV99:AV101))^4-1,"")</f>
        <v/>
      </c>
      <c r="AX104" s="10" t="n">
        <v>94.39</v>
      </c>
      <c r="AY104" s="11">
        <f>IF(ISNUMBER(AX104),AX104/AX$65*100,"")</f>
        <v/>
      </c>
      <c r="AZ104" s="12">
        <f>IF(AND(ISNUMBER(AX104),ISNUMBER(AX103)),AX104/AX103-1,"")</f>
        <v/>
      </c>
      <c r="BA104" s="12">
        <f>IF(AND(ISNUMBER(AX104),ISNUMBER(AX92)),AX104/AX92-1,"")</f>
        <v/>
      </c>
      <c r="BB104" s="11" t="n">
        <v>94.1833</v>
      </c>
      <c r="BC104" s="12">
        <f>IF(COUNT(BB99:BB104)=6,(AVERAGE(BB102:BB104)/AVERAGE(BB99:BB101))^4-1,"")</f>
        <v/>
      </c>
    </row>
    <row r="105">
      <c r="A105" s="9" t="n">
        <v>45047</v>
      </c>
      <c r="B105" s="10" t="n">
        <v>94.31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93.9093</v>
      </c>
      <c r="G105" s="12">
        <f>IF(COUNT(F100:F105)=6,(AVERAGE(F103:F105)/AVERAGE(F100:F102))^4-1,"")</f>
        <v/>
      </c>
      <c r="H105" s="10" t="n">
        <v>94.89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94.122</v>
      </c>
      <c r="M105" s="12">
        <f>IF(COUNT(L100:L105)=6,(AVERAGE(L103:L105)/AVERAGE(L100:L102))^4-1,"")</f>
        <v/>
      </c>
      <c r="N105" s="10" t="n">
        <v>94.53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93.83369999999999</v>
      </c>
      <c r="S105" s="12">
        <f>IF(COUNT(R100:R105)=6,(AVERAGE(R103:R105)/AVERAGE(R100:R102))^4-1,"")</f>
        <v/>
      </c>
      <c r="T105" s="10" t="n">
        <v>95.86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95.1891</v>
      </c>
      <c r="Y105" s="12">
        <f>IF(COUNT(X100:X105)=6,(AVERAGE(X103:X105)/AVERAGE(X100:X102))^4-1,"")</f>
        <v/>
      </c>
      <c r="Z105" s="10" t="n">
        <v>92.67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92.4825</v>
      </c>
      <c r="AE105" s="12">
        <f>IF(COUNT(AD100:AD105)=6,(AVERAGE(AD103:AD105)/AVERAGE(AD100:AD102))^4-1,"")</f>
        <v/>
      </c>
      <c r="AF105" s="10" t="n">
        <v>93.52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93.1803</v>
      </c>
      <c r="AK105" s="12">
        <f>IF(COUNT(AJ100:AJ105)=6,(AVERAGE(AJ103:AJ105)/AVERAGE(AJ100:AJ102))^4-1,"")</f>
        <v/>
      </c>
      <c r="AL105" s="10" t="n">
        <v>92.25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93.7509</v>
      </c>
      <c r="AQ105" s="12">
        <f>IF(COUNT(AP100:AP105)=6,(AVERAGE(AP103:AP105)/AVERAGE(AP100:AP102))^4-1,"")</f>
        <v/>
      </c>
      <c r="AR105" s="10" t="n">
        <v>96.7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96.68729999999999</v>
      </c>
      <c r="AW105" s="12">
        <f>IF(COUNT(AV100:AV105)=6,(AVERAGE(AV103:AV105)/AVERAGE(AV100:AV102))^4-1,"")</f>
        <v/>
      </c>
      <c r="AX105" s="10" t="n">
        <v>94.345</v>
      </c>
      <c r="AY105" s="11">
        <f>IF(ISNUMBER(AX105),AX105/AX$65*100,"")</f>
        <v/>
      </c>
      <c r="AZ105" s="12">
        <f>IF(AND(ISNUMBER(AX105),ISNUMBER(AX104)),AX105/AX104-1,"")</f>
        <v/>
      </c>
      <c r="BA105" s="12">
        <f>IF(AND(ISNUMBER(AX105),ISNUMBER(AX93)),AX105/AX93-1,"")</f>
        <v/>
      </c>
      <c r="BB105" s="11" t="n">
        <v>94.2334</v>
      </c>
      <c r="BC105" s="12">
        <f>IF(COUNT(BB100:BB105)=6,(AVERAGE(BB103:BB105)/AVERAGE(BB100:BB102))^4-1,"")</f>
        <v/>
      </c>
    </row>
    <row r="106">
      <c r="A106" s="9" t="n">
        <v>45078</v>
      </c>
      <c r="B106" s="10" t="n">
        <v>94.84999999999999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94.2136</v>
      </c>
      <c r="G106" s="12">
        <f>IF(COUNT(F101:F106)=6,(AVERAGE(F104:F106)/AVERAGE(F101:F103))^4-1,"")</f>
        <v/>
      </c>
      <c r="H106" s="10" t="n">
        <v>95.44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94.3826</v>
      </c>
      <c r="M106" s="12">
        <f>IF(COUNT(L101:L106)=6,(AVERAGE(L104:L106)/AVERAGE(L101:L103))^4-1,"")</f>
        <v/>
      </c>
      <c r="N106" s="10" t="n">
        <v>94.98999999999999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94.1084</v>
      </c>
      <c r="S106" s="12">
        <f>IF(COUNT(R101:R106)=6,(AVERAGE(R104:R106)/AVERAGE(R101:R103))^4-1,"")</f>
        <v/>
      </c>
      <c r="T106" s="10" t="n">
        <v>96.15000000000001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95.4847</v>
      </c>
      <c r="Y106" s="12">
        <f>IF(COUNT(X101:X106)=6,(AVERAGE(X104:X106)/AVERAGE(X101:X103))^4-1,"")</f>
        <v/>
      </c>
      <c r="Z106" s="10" t="n">
        <v>93.51000000000001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92.8151</v>
      </c>
      <c r="AE106" s="12">
        <f>IF(COUNT(AD101:AD106)=6,(AVERAGE(AD104:AD106)/AVERAGE(AD101:AD103))^4-1,"")</f>
        <v/>
      </c>
      <c r="AF106" s="10" t="n">
        <v>93.73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93.3545</v>
      </c>
      <c r="AK106" s="12">
        <f>IF(COUNT(AJ101:AJ106)=6,(AVERAGE(AJ104:AJ106)/AVERAGE(AJ101:AJ103))^4-1,"")</f>
        <v/>
      </c>
      <c r="AL106" s="10" t="n">
        <v>93.67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94.3582</v>
      </c>
      <c r="AQ106" s="12">
        <f>IF(COUNT(AP101:AP106)=6,(AVERAGE(AP104:AP106)/AVERAGE(AP101:AP103))^4-1,"")</f>
        <v/>
      </c>
      <c r="AR106" s="10" t="n">
        <v>97.31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97.7865</v>
      </c>
      <c r="AW106" s="12">
        <f>IF(COUNT(AV101:AV106)=6,(AVERAGE(AV104:AV106)/AVERAGE(AV101:AV103))^4-1,"")</f>
        <v/>
      </c>
      <c r="AX106" s="10" t="n">
        <v>94.881</v>
      </c>
      <c r="AY106" s="11">
        <f>IF(ISNUMBER(AX106),AX106/AX$65*100,"")</f>
        <v/>
      </c>
      <c r="AZ106" s="12">
        <f>IF(AND(ISNUMBER(AX106),ISNUMBER(AX105)),AX106/AX105-1,"")</f>
        <v/>
      </c>
      <c r="BA106" s="12">
        <f>IF(AND(ISNUMBER(AX106),ISNUMBER(AX94)),AX106/AX94-1,"")</f>
        <v/>
      </c>
      <c r="BB106" s="11" t="n">
        <v>94.5069</v>
      </c>
      <c r="BC106" s="12">
        <f>IF(COUNT(BB101:BB106)=6,(AVERAGE(BB104:BB106)/AVERAGE(BB101:BB103))^4-1,"")</f>
        <v/>
      </c>
    </row>
    <row r="107">
      <c r="A107" s="9" t="n">
        <v>45108</v>
      </c>
      <c r="B107" s="10" t="n">
        <v>94.78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94.8459</v>
      </c>
      <c r="G107" s="12">
        <f>IF(COUNT(F102:F107)=6,(AVERAGE(F105:F107)/AVERAGE(F102:F104))^4-1,"")</f>
        <v/>
      </c>
      <c r="H107" s="10" t="n">
        <v>94.97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94.98560000000001</v>
      </c>
      <c r="M107" s="12">
        <f>IF(COUNT(L102:L107)=6,(AVERAGE(L105:L107)/AVERAGE(L102:L104))^4-1,"")</f>
        <v/>
      </c>
      <c r="N107" s="10" t="n">
        <v>94.81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94.9306</v>
      </c>
      <c r="S107" s="12">
        <f>IF(COUNT(R102:R107)=6,(AVERAGE(R105:R107)/AVERAGE(R102:R104))^4-1,"")</f>
        <v/>
      </c>
      <c r="T107" s="10" t="n">
        <v>95.27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96.3383</v>
      </c>
      <c r="Y107" s="12">
        <f>IF(COUNT(X102:X107)=6,(AVERAGE(X105:X107)/AVERAGE(X102:X104))^4-1,"")</f>
        <v/>
      </c>
      <c r="Z107" s="10" t="n">
        <v>94.31999999999999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93.271</v>
      </c>
      <c r="AE107" s="12">
        <f>IF(COUNT(AD102:AD107)=6,(AVERAGE(AD105:AD107)/AVERAGE(AD102:AD104))^4-1,"")</f>
        <v/>
      </c>
      <c r="AF107" s="10" t="n">
        <v>94.34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94.5132</v>
      </c>
      <c r="AK107" s="12">
        <f>IF(COUNT(AJ102:AJ107)=6,(AVERAGE(AJ105:AJ107)/AVERAGE(AJ102:AJ104))^4-1,"")</f>
        <v/>
      </c>
      <c r="AL107" s="10" t="n">
        <v>94.67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95.0776</v>
      </c>
      <c r="AQ107" s="12">
        <f>IF(COUNT(AP102:AP107)=6,(AVERAGE(AP105:AP107)/AVERAGE(AP102:AP104))^4-1,"")</f>
        <v/>
      </c>
      <c r="AR107" s="10" t="n">
        <v>97.87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97.7453</v>
      </c>
      <c r="AW107" s="12">
        <f>IF(COUNT(AV102:AV107)=6,(AVERAGE(AV105:AV107)/AVERAGE(AV102:AV104))^4-1,"")</f>
        <v/>
      </c>
      <c r="AX107" s="10" t="n">
        <v>95.042</v>
      </c>
      <c r="AY107" s="11">
        <f>IF(ISNUMBER(AX107),AX107/AX$65*100,"")</f>
        <v/>
      </c>
      <c r="AZ107" s="12">
        <f>IF(AND(ISNUMBER(AX107),ISNUMBER(AX106)),AX107/AX106-1,"")</f>
        <v/>
      </c>
      <c r="BA107" s="12">
        <f>IF(AND(ISNUMBER(AX107),ISNUMBER(AX95)),AX107/AX95-1,"")</f>
        <v/>
      </c>
      <c r="BB107" s="11" t="n">
        <v>95.01000000000001</v>
      </c>
      <c r="BC107" s="12">
        <f>IF(COUNT(BB102:BB107)=6,(AVERAGE(BB105:BB107)/AVERAGE(BB102:BB104))^4-1,"")</f>
        <v/>
      </c>
    </row>
    <row r="108">
      <c r="A108" s="9" t="n">
        <v>45139</v>
      </c>
      <c r="B108" s="10" t="n">
        <v>95.29000000000001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95.34780000000001</v>
      </c>
      <c r="G108" s="12">
        <f>IF(COUNT(F103:F108)=6,(AVERAGE(F106:F108)/AVERAGE(F103:F105))^4-1,"")</f>
        <v/>
      </c>
      <c r="H108" s="10" t="n">
        <v>95.20999999999999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95.24420000000001</v>
      </c>
      <c r="M108" s="12">
        <f>IF(COUNT(L103:L108)=6,(AVERAGE(L106:L108)/AVERAGE(L103:L105))^4-1,"")</f>
        <v/>
      </c>
      <c r="N108" s="10" t="n">
        <v>95.02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95.2264</v>
      </c>
      <c r="S108" s="12">
        <f>IF(COUNT(R103:R108)=6,(AVERAGE(R106:R108)/AVERAGE(R103:R105))^4-1,"")</f>
        <v/>
      </c>
      <c r="T108" s="10" t="n">
        <v>95.95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97.1571</v>
      </c>
      <c r="Y108" s="12">
        <f>IF(COUNT(X103:X108)=6,(AVERAGE(X106:X108)/AVERAGE(X103:X105))^4-1,"")</f>
        <v/>
      </c>
      <c r="Z108" s="10" t="n">
        <v>94.64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93.4709</v>
      </c>
      <c r="AE108" s="12">
        <f>IF(COUNT(AD103:AD108)=6,(AVERAGE(AD106:AD108)/AVERAGE(AD103:AD105))^4-1,"")</f>
        <v/>
      </c>
      <c r="AF108" s="10" t="n">
        <v>94.48999999999999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95.0911</v>
      </c>
      <c r="AK108" s="12">
        <f>IF(COUNT(AJ103:AJ108)=6,(AVERAGE(AJ106:AJ108)/AVERAGE(AJ103:AJ105))^4-1,"")</f>
        <v/>
      </c>
      <c r="AL108" s="10" t="n">
        <v>98.08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98.2373</v>
      </c>
      <c r="AQ108" s="12">
        <f>IF(COUNT(AP103:AP108)=6,(AVERAGE(AP106:AP108)/AVERAGE(AP103:AP105))^4-1,"")</f>
        <v/>
      </c>
      <c r="AR108" s="10" t="n">
        <v>100.72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99.6691</v>
      </c>
      <c r="AW108" s="12">
        <f>IF(COUNT(AV103:AV108)=6,(AVERAGE(AV106:AV108)/AVERAGE(AV103:AV105))^4-1,"")</f>
        <v/>
      </c>
      <c r="AX108" s="10" t="n">
        <v>95.55200000000001</v>
      </c>
      <c r="AY108" s="11">
        <f>IF(ISNUMBER(AX108),AX108/AX$65*100,"")</f>
        <v/>
      </c>
      <c r="AZ108" s="12">
        <f>IF(AND(ISNUMBER(AX108),ISNUMBER(AX107)),AX108/AX107-1,"")</f>
        <v/>
      </c>
      <c r="BA108" s="12">
        <f>IF(AND(ISNUMBER(AX108),ISNUMBER(AX96)),AX108/AX96-1,"")</f>
        <v/>
      </c>
      <c r="BB108" s="11" t="n">
        <v>95.4873</v>
      </c>
      <c r="BC108" s="12">
        <f>IF(COUNT(BB103:BB108)=6,(AVERAGE(BB106:BB108)/AVERAGE(BB103:BB105))^4-1,"")</f>
        <v/>
      </c>
    </row>
    <row r="109">
      <c r="A109" s="9" t="n">
        <v>45170</v>
      </c>
      <c r="B109" s="10" t="n">
        <v>95.84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95.82989999999999</v>
      </c>
      <c r="G109" s="12">
        <f>IF(COUNT(F104:F109)=6,(AVERAGE(F107:F109)/AVERAGE(F104:F106))^4-1,"")</f>
        <v/>
      </c>
      <c r="H109" s="10" t="n">
        <v>95.59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95.38039999999999</v>
      </c>
      <c r="M109" s="12">
        <f>IF(COUNT(L104:L109)=6,(AVERAGE(L107:L109)/AVERAGE(L104:L106))^4-1,"")</f>
        <v/>
      </c>
      <c r="N109" s="10" t="n">
        <v>95.42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95.4812</v>
      </c>
      <c r="S109" s="12">
        <f>IF(COUNT(R104:R109)=6,(AVERAGE(R107:R109)/AVERAGE(R104:R106))^4-1,"")</f>
        <v/>
      </c>
      <c r="T109" s="10" t="n">
        <v>97.48999999999999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98.09050000000001</v>
      </c>
      <c r="Y109" s="12">
        <f>IF(COUNT(X104:X109)=6,(AVERAGE(X107:X109)/AVERAGE(X104:X106))^4-1,"")</f>
        <v/>
      </c>
      <c r="Z109" s="10" t="n">
        <v>94.11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93.90049999999999</v>
      </c>
      <c r="AE109" s="12">
        <f>IF(COUNT(AD104:AD109)=6,(AVERAGE(AD107:AD109)/AVERAGE(AD104:AD106))^4-1,"")</f>
        <v/>
      </c>
      <c r="AF109" s="10" t="n">
        <v>94.92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95.7252</v>
      </c>
      <c r="AK109" s="12">
        <f>IF(COUNT(AJ104:AJ109)=6,(AVERAGE(AJ107:AJ109)/AVERAGE(AJ104:AJ106))^4-1,"")</f>
        <v/>
      </c>
      <c r="AL109" s="10" t="n">
        <v>100.22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95.6949</v>
      </c>
      <c r="AQ109" s="12">
        <f>IF(COUNT(AP104:AP109)=6,(AVERAGE(AP107:AP109)/AVERAGE(AP104:AP106))^4-1,"")</f>
        <v/>
      </c>
      <c r="AR109" s="10" t="n">
        <v>101.72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101.8324</v>
      </c>
      <c r="AW109" s="12">
        <f>IF(COUNT(AV104:AV109)=6,(AVERAGE(AV107:AV109)/AVERAGE(AV104:AV106))^4-1,"")</f>
        <v/>
      </c>
      <c r="AX109" s="10" t="n">
        <v>95.721</v>
      </c>
      <c r="AY109" s="11">
        <f>IF(ISNUMBER(AX109),AX109/AX$65*100,"")</f>
        <v/>
      </c>
      <c r="AZ109" s="12">
        <f>IF(AND(ISNUMBER(AX109),ISNUMBER(AX108)),AX109/AX108-1,"")</f>
        <v/>
      </c>
      <c r="BA109" s="12">
        <f>IF(AND(ISNUMBER(AX109),ISNUMBER(AX97)),AX109/AX97-1,"")</f>
        <v/>
      </c>
      <c r="BB109" s="11" t="n">
        <v>95.3051</v>
      </c>
      <c r="BC109" s="12">
        <f>IF(COUNT(BB104:BB109)=6,(AVERAGE(BB107:BB109)/AVERAGE(BB104:BB106))^4-1,"")</f>
        <v/>
      </c>
    </row>
    <row r="110">
      <c r="A110" s="9" t="n">
        <v>45200</v>
      </c>
      <c r="B110" s="10" t="n">
        <v>96.09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95.8343</v>
      </c>
      <c r="G110" s="12">
        <f>IF(COUNT(F105:F110)=6,(AVERAGE(F108:F110)/AVERAGE(F105:F107))^4-1,"")</f>
        <v/>
      </c>
      <c r="H110" s="10" t="n">
        <v>95.90000000000001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95.614</v>
      </c>
      <c r="M110" s="12">
        <f>IF(COUNT(L105:L110)=6,(AVERAGE(L108:L110)/AVERAGE(L105:L107))^4-1,"")</f>
        <v/>
      </c>
      <c r="N110" s="10" t="n">
        <v>95.91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95.649</v>
      </c>
      <c r="S110" s="12">
        <f>IF(COUNT(R105:R110)=6,(AVERAGE(R108:R110)/AVERAGE(R105:R107))^4-1,"")</f>
        <v/>
      </c>
      <c r="T110" s="10" t="n">
        <v>98.12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97.4406</v>
      </c>
      <c r="Y110" s="12">
        <f>IF(COUNT(X105:X110)=6,(AVERAGE(X108:X110)/AVERAGE(X105:X107))^4-1,"")</f>
        <v/>
      </c>
      <c r="Z110" s="10" t="n">
        <v>93.93000000000001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94.17789999999999</v>
      </c>
      <c r="AE110" s="12">
        <f>IF(COUNT(AD105:AD110)=6,(AVERAGE(AD108:AD110)/AVERAGE(AD105:AD107))^4-1,"")</f>
        <v/>
      </c>
      <c r="AF110" s="10" t="n">
        <v>95.93000000000001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95.7619</v>
      </c>
      <c r="AK110" s="12">
        <f>IF(COUNT(AJ105:AJ110)=6,(AVERAGE(AJ108:AJ110)/AVERAGE(AJ105:AJ107))^4-1,"")</f>
        <v/>
      </c>
      <c r="AL110" s="10" t="n">
        <v>98.01000000000001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96.33199999999999</v>
      </c>
      <c r="AQ110" s="12">
        <f>IF(COUNT(AP105:AP110)=6,(AVERAGE(AP108:AP110)/AVERAGE(AP105:AP107))^4-1,"")</f>
        <v/>
      </c>
      <c r="AR110" s="10" t="n">
        <v>100.82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100.8586</v>
      </c>
      <c r="AW110" s="12">
        <f>IF(COUNT(AV105:AV110)=6,(AVERAGE(AV108:AV110)/AVERAGE(AV105:AV107))^4-1,"")</f>
        <v/>
      </c>
      <c r="AX110" s="10" t="n">
        <v>95.998</v>
      </c>
      <c r="AY110" s="11">
        <f>IF(ISNUMBER(AX110),AX110/AX$65*100,"")</f>
        <v/>
      </c>
      <c r="AZ110" s="12">
        <f>IF(AND(ISNUMBER(AX110),ISNUMBER(AX109)),AX110/AX109-1,"")</f>
        <v/>
      </c>
      <c r="BA110" s="12">
        <f>IF(AND(ISNUMBER(AX110),ISNUMBER(AX98)),AX110/AX98-1,"")</f>
        <v/>
      </c>
      <c r="BB110" s="11" t="n">
        <v>95.93049999999999</v>
      </c>
      <c r="BC110" s="12">
        <f>IF(COUNT(BB105:BB110)=6,(AVERAGE(BB108:BB110)/AVERAGE(BB105:BB107))^4-1,"")</f>
        <v/>
      </c>
    </row>
    <row r="111">
      <c r="A111" s="9" t="n">
        <v>45231</v>
      </c>
      <c r="B111" s="10" t="n">
        <v>95.58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95.7522</v>
      </c>
      <c r="G111" s="12">
        <f>IF(COUNT(F106:F111)=6,(AVERAGE(F109:F111)/AVERAGE(F106:F108))^4-1,"")</f>
        <v/>
      </c>
      <c r="H111" s="10" t="n">
        <v>95.69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95.70269999999999</v>
      </c>
      <c r="M111" s="12">
        <f>IF(COUNT(L106:L111)=6,(AVERAGE(L109:L111)/AVERAGE(L106:L108))^4-1,"")</f>
        <v/>
      </c>
      <c r="N111" s="10" t="n">
        <v>95.78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95.789</v>
      </c>
      <c r="S111" s="12">
        <f>IF(COUNT(R106:R111)=6,(AVERAGE(R109:R111)/AVERAGE(R106:R108))^4-1,"")</f>
        <v/>
      </c>
      <c r="T111" s="10" t="n">
        <v>97.52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97.0821</v>
      </c>
      <c r="Y111" s="12">
        <f>IF(COUNT(X106:X111)=6,(AVERAGE(X109:X111)/AVERAGE(X106:X108))^4-1,"")</f>
        <v/>
      </c>
      <c r="Z111" s="10" t="n">
        <v>93.52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94.3754</v>
      </c>
      <c r="AE111" s="12">
        <f>IF(COUNT(AD106:AD111)=6,(AVERAGE(AD109:AD111)/AVERAGE(AD106:AD108))^4-1,"")</f>
        <v/>
      </c>
      <c r="AF111" s="10" t="n">
        <v>96.01000000000001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96.08580000000001</v>
      </c>
      <c r="AK111" s="12">
        <f>IF(COUNT(AJ106:AJ111)=6,(AVERAGE(AJ109:AJ111)/AVERAGE(AJ106:AJ108))^4-1,"")</f>
        <v/>
      </c>
      <c r="AL111" s="10" t="n">
        <v>93.81999999999999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94.7822</v>
      </c>
      <c r="AQ111" s="12">
        <f>IF(COUNT(AP106:AP111)=6,(AVERAGE(AP109:AP111)/AVERAGE(AP106:AP108))^4-1,"")</f>
        <v/>
      </c>
      <c r="AR111" s="10" t="n">
        <v>99.34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99.52760000000001</v>
      </c>
      <c r="AW111" s="12">
        <f>IF(COUNT(AV106:AV111)=6,(AVERAGE(AV109:AV111)/AVERAGE(AV106:AV108))^4-1,"")</f>
        <v/>
      </c>
      <c r="AX111" s="10" t="n">
        <v>95.663</v>
      </c>
      <c r="AY111" s="11">
        <f>IF(ISNUMBER(AX111),AX111/AX$65*100,"")</f>
        <v/>
      </c>
      <c r="AZ111" s="12">
        <f>IF(AND(ISNUMBER(AX111),ISNUMBER(AX110)),AX111/AX110-1,"")</f>
        <v/>
      </c>
      <c r="BA111" s="12">
        <f>IF(AND(ISNUMBER(AX111),ISNUMBER(AX99)),AX111/AX99-1,"")</f>
        <v/>
      </c>
      <c r="BB111" s="11" t="n">
        <v>95.863</v>
      </c>
      <c r="BC111" s="12">
        <f>IF(COUNT(BB106:BB111)=6,(AVERAGE(BB109:BB111)/AVERAGE(BB106:BB108))^4-1,"")</f>
        <v/>
      </c>
    </row>
    <row r="112">
      <c r="A112" s="9" t="n">
        <v>45261</v>
      </c>
      <c r="B112" s="10" t="n">
        <v>95.59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95.7542</v>
      </c>
      <c r="G112" s="12">
        <f>IF(COUNT(F107:F112)=6,(AVERAGE(F110:F112)/AVERAGE(F107:F109))^4-1,"")</f>
        <v/>
      </c>
      <c r="H112" s="10" t="n">
        <v>95.97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95.9397</v>
      </c>
      <c r="M112" s="12">
        <f>IF(COUNT(L107:L112)=6,(AVERAGE(L110:L112)/AVERAGE(L107:L109))^4-1,"")</f>
        <v/>
      </c>
      <c r="N112" s="10" t="n">
        <v>95.95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95.9358</v>
      </c>
      <c r="S112" s="12">
        <f>IF(COUNT(R107:R112)=6,(AVERAGE(R110:R112)/AVERAGE(R107:R109))^4-1,"")</f>
        <v/>
      </c>
      <c r="T112" s="10" t="n">
        <v>97.06999999999999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96.9027</v>
      </c>
      <c r="Y112" s="12">
        <f>IF(COUNT(X107:X112)=6,(AVERAGE(X110:X112)/AVERAGE(X107:X109))^4-1,"")</f>
        <v/>
      </c>
      <c r="Z112" s="10" t="n">
        <v>94.03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94.5865</v>
      </c>
      <c r="AE112" s="12">
        <f>IF(COUNT(AD107:AD112)=6,(AVERAGE(AD110:AD112)/AVERAGE(AD107:AD109))^4-1,"")</f>
        <v/>
      </c>
      <c r="AF112" s="10" t="n">
        <v>95.87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96.0759</v>
      </c>
      <c r="AK112" s="12">
        <f>IF(COUNT(AJ107:AJ112)=6,(AVERAGE(AJ110:AJ112)/AVERAGE(AJ107:AJ109))^4-1,"")</f>
        <v/>
      </c>
      <c r="AL112" s="10" t="n">
        <v>92.23999999999999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93.93770000000001</v>
      </c>
      <c r="AQ112" s="12">
        <f>IF(COUNT(AP107:AP112)=6,(AVERAGE(AP110:AP112)/AVERAGE(AP107:AP109))^4-1,"")</f>
        <v/>
      </c>
      <c r="AR112" s="10" t="n">
        <v>98.12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99.3302</v>
      </c>
      <c r="AW112" s="12">
        <f>IF(COUNT(AV107:AV112)=6,(AVERAGE(AV110:AV112)/AVERAGE(AV107:AV109))^4-1,"")</f>
        <v/>
      </c>
      <c r="AX112" s="10" t="n">
        <v>95.687</v>
      </c>
      <c r="AY112" s="11">
        <f>IF(ISNUMBER(AX112),AX112/AX$65*100,"")</f>
        <v/>
      </c>
      <c r="AZ112" s="12">
        <f>IF(AND(ISNUMBER(AX112),ISNUMBER(AX111)),AX112/AX111-1,"")</f>
        <v/>
      </c>
      <c r="BA112" s="12">
        <f>IF(AND(ISNUMBER(AX112),ISNUMBER(AX100)),AX112/AX100-1,"")</f>
        <v/>
      </c>
      <c r="BB112" s="11" t="n">
        <v>95.8271</v>
      </c>
      <c r="BC112" s="12">
        <f>IF(COUNT(BB107:BB112)=6,(AVERAGE(BB110:BB112)/AVERAGE(BB107:BB109))^4-1,"")</f>
        <v/>
      </c>
    </row>
    <row r="113">
      <c r="A113" s="9" t="n">
        <v>45292</v>
      </c>
      <c r="B113" s="10" t="n">
        <v>95.40000000000001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96.28660000000001</v>
      </c>
      <c r="G113" s="12">
        <f>IF(COUNT(F108:F113)=6,(AVERAGE(F111:F113)/AVERAGE(F108:F110))^4-1,"")</f>
        <v/>
      </c>
      <c r="H113" s="10" t="n">
        <v>94.92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96.52849999999999</v>
      </c>
      <c r="M113" s="12">
        <f>IF(COUNT(L108:L113)=6,(AVERAGE(L111:L113)/AVERAGE(L108:L110))^4-1,"")</f>
        <v/>
      </c>
      <c r="N113" s="10" t="n">
        <v>95.36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96.4939</v>
      </c>
      <c r="S113" s="12">
        <f>IF(COUNT(R108:R113)=6,(AVERAGE(R111:R113)/AVERAGE(R108:R110))^4-1,"")</f>
        <v/>
      </c>
      <c r="T113" s="10" t="n">
        <v>96.92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97.6097</v>
      </c>
      <c r="Y113" s="12">
        <f>IF(COUNT(X108:X113)=6,(AVERAGE(X111:X113)/AVERAGE(X108:X110))^4-1,"")</f>
        <v/>
      </c>
      <c r="Z113" s="10" t="n">
        <v>93.81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94.89879999999999</v>
      </c>
      <c r="AE113" s="12">
        <f>IF(COUNT(AD108:AD113)=6,(AVERAGE(AD111:AD113)/AVERAGE(AD108:AD110))^4-1,"")</f>
        <v/>
      </c>
      <c r="AF113" s="10" t="n">
        <v>96.66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96.3638</v>
      </c>
      <c r="AK113" s="12">
        <f>IF(COUNT(AJ108:AJ113)=6,(AVERAGE(AJ111:AJ113)/AVERAGE(AJ108:AJ110))^4-1,"")</f>
        <v/>
      </c>
      <c r="AL113" s="10" t="n">
        <v>95.8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96.76649999999999</v>
      </c>
      <c r="AQ113" s="12">
        <f>IF(COUNT(AP108:AP113)=6,(AVERAGE(AP111:AP113)/AVERAGE(AP108:AP110))^4-1,"")</f>
        <v/>
      </c>
      <c r="AR113" s="10" t="n">
        <v>98.17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99.05110000000001</v>
      </c>
      <c r="AW113" s="12">
        <f>IF(COUNT(AV108:AV113)=6,(AVERAGE(AV111:AV113)/AVERAGE(AV108:AV110))^4-1,"")</f>
        <v/>
      </c>
      <c r="AX113" s="10" t="n">
        <v>95.768</v>
      </c>
      <c r="AY113" s="11">
        <f>IF(ISNUMBER(AX113),AX113/AX$65*100,"")</f>
        <v/>
      </c>
      <c r="AZ113" s="12">
        <f>IF(AND(ISNUMBER(AX113),ISNUMBER(AX112)),AX113/AX112-1,"")</f>
        <v/>
      </c>
      <c r="BA113" s="12">
        <f>IF(AND(ISNUMBER(AX113),ISNUMBER(AX101)),AX113/AX101-1,"")</f>
        <v/>
      </c>
      <c r="BB113" s="11" t="n">
        <v>96.3436</v>
      </c>
      <c r="BC113" s="12">
        <f>IF(COUNT(BB108:BB113)=6,(AVERAGE(BB111:BB113)/AVERAGE(BB108:BB110))^4-1,"")</f>
        <v/>
      </c>
    </row>
    <row r="114">
      <c r="A114" s="9" t="n">
        <v>45323</v>
      </c>
      <c r="B114" s="10" t="n">
        <v>95.77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96.4049</v>
      </c>
      <c r="G114" s="12">
        <f>IF(COUNT(F109:F114)=6,(AVERAGE(F112:F114)/AVERAGE(F109:F111))^4-1,"")</f>
        <v/>
      </c>
      <c r="H114" s="10" t="n">
        <v>95.39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96.94710000000001</v>
      </c>
      <c r="M114" s="12">
        <f>IF(COUNT(L109:L114)=6,(AVERAGE(L112:L114)/AVERAGE(L109:L111))^4-1,"")</f>
        <v/>
      </c>
      <c r="N114" s="10" t="n">
        <v>95.77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96.79389999999999</v>
      </c>
      <c r="S114" s="12">
        <f>IF(COUNT(R109:R114)=6,(AVERAGE(R112:R114)/AVERAGE(R109:R111))^4-1,"")</f>
        <v/>
      </c>
      <c r="T114" s="10" t="n">
        <v>96.84999999999999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97.09829999999999</v>
      </c>
      <c r="Y114" s="12">
        <f>IF(COUNT(X109:X114)=6,(AVERAGE(X112:X114)/AVERAGE(X109:X111))^4-1,"")</f>
        <v/>
      </c>
      <c r="Z114" s="10" t="n">
        <v>94.64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95.37050000000001</v>
      </c>
      <c r="AE114" s="12">
        <f>IF(COUNT(AD109:AD114)=6,(AVERAGE(AD112:AD114)/AVERAGE(AD109:AD111))^4-1,"")</f>
        <v/>
      </c>
      <c r="AF114" s="10" t="n">
        <v>96.88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96.53530000000001</v>
      </c>
      <c r="AK114" s="12">
        <f>IF(COUNT(AJ109:AJ114)=6,(AVERAGE(AJ112:AJ114)/AVERAGE(AJ109:AJ111))^4-1,"")</f>
        <v/>
      </c>
      <c r="AL114" s="10" t="n">
        <v>95.81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96.0141</v>
      </c>
      <c r="AQ114" s="12">
        <f>IF(COUNT(AP109:AP114)=6,(AVERAGE(AP112:AP114)/AVERAGE(AP109:AP111))^4-1,"")</f>
        <v/>
      </c>
      <c r="AR114" s="10" t="n">
        <v>99.81999999999999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99.3327</v>
      </c>
      <c r="AW114" s="12">
        <f>IF(COUNT(AV109:AV114)=6,(AVERAGE(AV112:AV114)/AVERAGE(AV109:AV111))^4-1,"")</f>
        <v/>
      </c>
      <c r="AX114" s="10" t="n">
        <v>96.108</v>
      </c>
      <c r="AY114" s="11">
        <f>IF(ISNUMBER(AX114),AX114/AX$65*100,"")</f>
        <v/>
      </c>
      <c r="AZ114" s="12">
        <f>IF(AND(ISNUMBER(AX114),ISNUMBER(AX113)),AX114/AX113-1,"")</f>
        <v/>
      </c>
      <c r="BA114" s="12">
        <f>IF(AND(ISNUMBER(AX114),ISNUMBER(AX102)),AX114/AX102-1,"")</f>
        <v/>
      </c>
      <c r="BB114" s="11" t="n">
        <v>96.4496</v>
      </c>
      <c r="BC114" s="12">
        <f>IF(COUNT(BB109:BB114)=6,(AVERAGE(BB112:BB114)/AVERAGE(BB109:BB111))^4-1,"")</f>
        <v/>
      </c>
    </row>
    <row r="115">
      <c r="A115" s="9" t="n">
        <v>45352</v>
      </c>
      <c r="B115" s="10" t="n">
        <v>97.06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96.9186</v>
      </c>
      <c r="G115" s="12">
        <f>IF(COUNT(F110:F115)=6,(AVERAGE(F113:F115)/AVERAGE(F110:F112))^4-1,"")</f>
        <v/>
      </c>
      <c r="H115" s="10" t="n">
        <v>96.89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96.99630000000001</v>
      </c>
      <c r="M115" s="12">
        <f>IF(COUNT(L110:L115)=6,(AVERAGE(L113:L115)/AVERAGE(L110:L112))^4-1,"")</f>
        <v/>
      </c>
      <c r="N115" s="10" t="n">
        <v>96.91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96.9162</v>
      </c>
      <c r="S115" s="12">
        <f>IF(COUNT(R110:R115)=6,(AVERAGE(R113:R115)/AVERAGE(R110:R112))^4-1,"")</f>
        <v/>
      </c>
      <c r="T115" s="10" t="n">
        <v>98.59999999999999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97.9945</v>
      </c>
      <c r="Y115" s="12">
        <f>IF(COUNT(X110:X115)=6,(AVERAGE(X113:X115)/AVERAGE(X110:X112))^4-1,"")</f>
        <v/>
      </c>
      <c r="Z115" s="10" t="n">
        <v>95.45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95.84780000000001</v>
      </c>
      <c r="AE115" s="12">
        <f>IF(COUNT(AD110:AD115)=6,(AVERAGE(AD113:AD115)/AVERAGE(AD110:AD112))^4-1,"")</f>
        <v/>
      </c>
      <c r="AF115" s="10" t="n">
        <v>96.94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96.73309999999999</v>
      </c>
      <c r="AK115" s="12">
        <f>IF(COUNT(AJ110:AJ115)=6,(AVERAGE(AJ113:AJ115)/AVERAGE(AJ110:AJ112))^4-1,"")</f>
        <v/>
      </c>
      <c r="AL115" s="10" t="n">
        <v>98.5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97.6892</v>
      </c>
      <c r="AQ115" s="12">
        <f>IF(COUNT(AP110:AP115)=6,(AVERAGE(AP113:AP115)/AVERAGE(AP110:AP112))^4-1,"")</f>
        <v/>
      </c>
      <c r="AR115" s="10" t="n">
        <v>100.34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99.9628</v>
      </c>
      <c r="AW115" s="12">
        <f>IF(COUNT(AV110:AV115)=6,(AVERAGE(AV113:AV115)/AVERAGE(AV110:AV112))^4-1,"")</f>
        <v/>
      </c>
      <c r="AX115" s="10" t="n">
        <v>96.84</v>
      </c>
      <c r="AY115" s="11">
        <f>IF(ISNUMBER(AX115),AX115/AX$65*100,"")</f>
        <v/>
      </c>
      <c r="AZ115" s="12">
        <f>IF(AND(ISNUMBER(AX115),ISNUMBER(AX114)),AX115/AX114-1,"")</f>
        <v/>
      </c>
      <c r="BA115" s="12">
        <f>IF(AND(ISNUMBER(AX115),ISNUMBER(AX103)),AX115/AX103-1,"")</f>
        <v/>
      </c>
      <c r="BB115" s="11" t="n">
        <v>96.9585</v>
      </c>
      <c r="BC115" s="12">
        <f>IF(COUNT(BB110:BB115)=6,(AVERAGE(BB113:BB115)/AVERAGE(BB110:BB112))^4-1,"")</f>
        <v/>
      </c>
    </row>
    <row r="116">
      <c r="A116" s="9" t="n">
        <v>45383</v>
      </c>
      <c r="B116" s="10" t="n">
        <v>97.65000000000001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97.131</v>
      </c>
      <c r="G116" s="12">
        <f>IF(COUNT(F111:F116)=6,(AVERAGE(F114:F116)/AVERAGE(F111:F113))^4-1,"")</f>
        <v/>
      </c>
      <c r="H116" s="10" t="n">
        <v>97.34999999999999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96.5026</v>
      </c>
      <c r="M116" s="12">
        <f>IF(COUNT(L111:L116)=6,(AVERAGE(L114:L116)/AVERAGE(L111:L113))^4-1,"")</f>
        <v/>
      </c>
      <c r="N116" s="10" t="n">
        <v>97.40000000000001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96.7616</v>
      </c>
      <c r="S116" s="12">
        <f>IF(COUNT(R111:R116)=6,(AVERAGE(R114:R116)/AVERAGE(R111:R113))^4-1,"")</f>
        <v/>
      </c>
      <c r="T116" s="10" t="n">
        <v>99.38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98.5899</v>
      </c>
      <c r="Y116" s="12">
        <f>IF(COUNT(X111:X116)=6,(AVERAGE(X114:X116)/AVERAGE(X111:X113))^4-1,"")</f>
        <v/>
      </c>
      <c r="Z116" s="10" t="n">
        <v>95.81999999999999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95.4756</v>
      </c>
      <c r="AE116" s="12">
        <f>IF(COUNT(AD111:AD116)=6,(AVERAGE(AD114:AD116)/AVERAGE(AD111:AD113))^4-1,"")</f>
        <v/>
      </c>
      <c r="AF116" s="10" t="n">
        <v>97.53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97.2653</v>
      </c>
      <c r="AK116" s="12">
        <f>IF(COUNT(AJ111:AJ116)=6,(AVERAGE(AJ114:AJ116)/AVERAGE(AJ111:AJ113))^4-1,"")</f>
        <v/>
      </c>
      <c r="AL116" s="10" t="n">
        <v>99.90000000000001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100.5382</v>
      </c>
      <c r="AQ116" s="12">
        <f>IF(COUNT(AP111:AP116)=6,(AVERAGE(AP114:AP116)/AVERAGE(AP111:AP113))^4-1,"")</f>
        <v/>
      </c>
      <c r="AR116" s="10" t="n">
        <v>100.98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100.1199</v>
      </c>
      <c r="AW116" s="12">
        <f>IF(COUNT(AV111:AV116)=6,(AVERAGE(AV114:AV116)/AVERAGE(AV111:AV113))^4-1,"")</f>
        <v/>
      </c>
      <c r="AX116" s="10" t="n">
        <v>97.514</v>
      </c>
      <c r="AY116" s="11">
        <f>IF(ISNUMBER(AX116),AX116/AX$65*100,"")</f>
        <v/>
      </c>
      <c r="AZ116" s="12">
        <f>IF(AND(ISNUMBER(AX116),ISNUMBER(AX115)),AX116/AX115-1,"")</f>
        <v/>
      </c>
      <c r="BA116" s="12">
        <f>IF(AND(ISNUMBER(AX116),ISNUMBER(AX104)),AX116/AX104-1,"")</f>
        <v/>
      </c>
      <c r="BB116" s="11" t="n">
        <v>97.2821</v>
      </c>
      <c r="BC116" s="12">
        <f>IF(COUNT(BB111:BB116)=6,(AVERAGE(BB114:BB116)/AVERAGE(BB111:BB113))^4-1,"")</f>
        <v/>
      </c>
    </row>
    <row r="117">
      <c r="A117" s="9" t="n">
        <v>45413</v>
      </c>
      <c r="B117" s="10" t="n">
        <v>97.87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97.5253</v>
      </c>
      <c r="G117" s="12">
        <f>IF(COUNT(F112:F117)=6,(AVERAGE(F115:F117)/AVERAGE(F112:F114))^4-1,"")</f>
        <v/>
      </c>
      <c r="H117" s="10" t="n">
        <v>97.72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97.0056</v>
      </c>
      <c r="M117" s="12">
        <f>IF(COUNT(L112:L117)=6,(AVERAGE(L115:L117)/AVERAGE(L112:L114))^4-1,"")</f>
        <v/>
      </c>
      <c r="N117" s="10" t="n">
        <v>97.69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97.0172</v>
      </c>
      <c r="S117" s="12">
        <f>IF(COUNT(R112:R117)=6,(AVERAGE(R115:R117)/AVERAGE(R112:R114))^4-1,"")</f>
        <v/>
      </c>
      <c r="T117" s="10" t="n">
        <v>99.39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98.8462</v>
      </c>
      <c r="Y117" s="12">
        <f>IF(COUNT(X112:X117)=6,(AVERAGE(X115:X117)/AVERAGE(X112:X114))^4-1,"")</f>
        <v/>
      </c>
      <c r="Z117" s="10" t="n">
        <v>96.27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96.0513</v>
      </c>
      <c r="AE117" s="12">
        <f>IF(COUNT(AD112:AD117)=6,(AVERAGE(AD115:AD117)/AVERAGE(AD112:AD114))^4-1,"")</f>
        <v/>
      </c>
      <c r="AF117" s="10" t="n">
        <v>97.58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97.1904</v>
      </c>
      <c r="AK117" s="12">
        <f>IF(COUNT(AJ112:AJ117)=6,(AVERAGE(AJ115:AJ117)/AVERAGE(AJ112:AJ114))^4-1,"")</f>
        <v/>
      </c>
      <c r="AL117" s="10" t="n">
        <v>99.51000000000001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101.5859</v>
      </c>
      <c r="AQ117" s="12">
        <f>IF(COUNT(AP112:AP117)=6,(AVERAGE(AP115:AP117)/AVERAGE(AP112:AP114))^4-1,"")</f>
        <v/>
      </c>
      <c r="AR117" s="10" t="n">
        <v>100.37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100.4764</v>
      </c>
      <c r="AW117" s="12">
        <f>IF(COUNT(AV112:AV117)=6,(AVERAGE(AV115:AV117)/AVERAGE(AV112:AV114))^4-1,"")</f>
        <v/>
      </c>
      <c r="AX117" s="10" t="n">
        <v>97.771</v>
      </c>
      <c r="AY117" s="11">
        <f>IF(ISNUMBER(AX117),AX117/AX$65*100,"")</f>
        <v/>
      </c>
      <c r="AZ117" s="12">
        <f>IF(AND(ISNUMBER(AX117),ISNUMBER(AX116)),AX117/AX116-1,"")</f>
        <v/>
      </c>
      <c r="BA117" s="12">
        <f>IF(AND(ISNUMBER(AX117),ISNUMBER(AX105)),AX117/AX105-1,"")</f>
        <v/>
      </c>
      <c r="BB117" s="11" t="n">
        <v>97.6955</v>
      </c>
      <c r="BC117" s="12">
        <f>IF(COUNT(BB112:BB117)=6,(AVERAGE(BB115:BB117)/AVERAGE(BB112:BB114))^4-1,"")</f>
        <v/>
      </c>
    </row>
    <row r="118">
      <c r="A118" s="9" t="n">
        <v>45444</v>
      </c>
      <c r="B118" s="10" t="n">
        <v>98.26000000000001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97.63979999999999</v>
      </c>
      <c r="G118" s="12">
        <f>IF(COUNT(F113:F118)=6,(AVERAGE(F116:F118)/AVERAGE(F113:F115))^4-1,"")</f>
        <v/>
      </c>
      <c r="H118" s="10" t="n">
        <v>98.31999999999999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97.27200000000001</v>
      </c>
      <c r="M118" s="12">
        <f>IF(COUNT(L113:L118)=6,(AVERAGE(L116:L118)/AVERAGE(L113:L115))^4-1,"")</f>
        <v/>
      </c>
      <c r="N118" s="10" t="n">
        <v>98.15000000000001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97.2671</v>
      </c>
      <c r="S118" s="12">
        <f>IF(COUNT(R113:R118)=6,(AVERAGE(R116:R118)/AVERAGE(R113:R115))^4-1,"")</f>
        <v/>
      </c>
      <c r="T118" s="10" t="n">
        <v>99.23999999999999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98.661</v>
      </c>
      <c r="Y118" s="12">
        <f>IF(COUNT(X113:X118)=6,(AVERAGE(X116:X118)/AVERAGE(X113:X115))^4-1,"")</f>
        <v/>
      </c>
      <c r="Z118" s="10" t="n">
        <v>97.23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96.45999999999999</v>
      </c>
      <c r="AE118" s="12">
        <f>IF(COUNT(AD113:AD118)=6,(AVERAGE(AD116:AD118)/AVERAGE(AD113:AD115))^4-1,"")</f>
        <v/>
      </c>
      <c r="AF118" s="10" t="n">
        <v>97.59999999999999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97.1977</v>
      </c>
      <c r="AK118" s="12">
        <f>IF(COUNT(AJ113:AJ118)=6,(AVERAGE(AJ116:AJ118)/AVERAGE(AJ113:AJ115))^4-1,"")</f>
        <v/>
      </c>
      <c r="AL118" s="10" t="n">
        <v>99.27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100.1306</v>
      </c>
      <c r="AQ118" s="12">
        <f>IF(COUNT(AP113:AP118)=6,(AVERAGE(AP116:AP118)/AVERAGE(AP113:AP115))^4-1,"")</f>
        <v/>
      </c>
      <c r="AR118" s="10" t="n">
        <v>100.01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100.6478</v>
      </c>
      <c r="AW118" s="12">
        <f>IF(COUNT(AV113:AV118)=6,(AVERAGE(AV116:AV118)/AVERAGE(AV113:AV115))^4-1,"")</f>
        <v/>
      </c>
      <c r="AX118" s="10" t="n">
        <v>98.139</v>
      </c>
      <c r="AY118" s="11">
        <f>IF(ISNUMBER(AX118),AX118/AX$65*100,"")</f>
        <v/>
      </c>
      <c r="AZ118" s="12">
        <f>IF(AND(ISNUMBER(AX118),ISNUMBER(AX117)),AX118/AX117-1,"")</f>
        <v/>
      </c>
      <c r="BA118" s="12">
        <f>IF(AND(ISNUMBER(AX118),ISNUMBER(AX106)),AX118/AX106-1,"")</f>
        <v/>
      </c>
      <c r="BB118" s="11" t="n">
        <v>97.75449999999999</v>
      </c>
      <c r="BC118" s="12">
        <f>IF(COUNT(BB113:BB118)=6,(AVERAGE(BB116:BB118)/AVERAGE(BB113:BB115))^4-1,"")</f>
        <v/>
      </c>
    </row>
    <row r="119">
      <c r="A119" s="9" t="n">
        <v>45474</v>
      </c>
      <c r="B119" s="10" t="n">
        <v>97.52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97.51730000000001</v>
      </c>
      <c r="G119" s="12">
        <f>IF(COUNT(F114:F119)=6,(AVERAGE(F117:F119)/AVERAGE(F114:F116))^4-1,"")</f>
        <v/>
      </c>
      <c r="H119" s="10" t="n">
        <v>97.62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97.5348</v>
      </c>
      <c r="M119" s="12">
        <f>IF(COUNT(L114:L119)=6,(AVERAGE(L117:L119)/AVERAGE(L114:L116))^4-1,"")</f>
        <v/>
      </c>
      <c r="N119" s="10" t="n">
        <v>97.56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97.60850000000001</v>
      </c>
      <c r="S119" s="12">
        <f>IF(COUNT(R114:R119)=6,(AVERAGE(R117:R119)/AVERAGE(R114:R116))^4-1,"")</f>
        <v/>
      </c>
      <c r="T119" s="10" t="n">
        <v>97.40000000000001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98.411</v>
      </c>
      <c r="Y119" s="12">
        <f>IF(COUNT(X114:X119)=6,(AVERAGE(X117:X119)/AVERAGE(X114:X116))^4-1,"")</f>
        <v/>
      </c>
      <c r="Z119" s="10" t="n">
        <v>97.67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96.5581</v>
      </c>
      <c r="AE119" s="12">
        <f>IF(COUNT(AD114:AD119)=6,(AVERAGE(AD117:AD119)/AVERAGE(AD114:AD116))^4-1,"")</f>
        <v/>
      </c>
      <c r="AF119" s="10" t="n">
        <v>97.34999999999999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97.53319999999999</v>
      </c>
      <c r="AK119" s="12">
        <f>IF(COUNT(AJ114:AJ119)=6,(AVERAGE(AJ117:AJ119)/AVERAGE(AJ114:AJ116))^4-1,"")</f>
        <v/>
      </c>
      <c r="AL119" s="10" t="n">
        <v>97.17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97.3271</v>
      </c>
      <c r="AQ119" s="12">
        <f>IF(COUNT(AP114:AP119)=6,(AVERAGE(AP117:AP119)/AVERAGE(AP114:AP116))^4-1,"")</f>
        <v/>
      </c>
      <c r="AR119" s="10" t="n">
        <v>100.23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100.0427</v>
      </c>
      <c r="AW119" s="12">
        <f>IF(COUNT(AV114:AV119)=6,(AVERAGE(AV117:AV119)/AVERAGE(AV114:AV116))^4-1,"")</f>
        <v/>
      </c>
      <c r="AX119" s="10" t="n">
        <v>97.673</v>
      </c>
      <c r="AY119" s="11">
        <f>IF(ISNUMBER(AX119),AX119/AX$65*100,"")</f>
        <v/>
      </c>
      <c r="AZ119" s="12">
        <f>IF(AND(ISNUMBER(AX119),ISNUMBER(AX118)),AX119/AX118-1,"")</f>
        <v/>
      </c>
      <c r="BA119" s="12">
        <f>IF(AND(ISNUMBER(AX119),ISNUMBER(AX107)),AX119/AX107-1,"")</f>
        <v/>
      </c>
      <c r="BB119" s="11" t="n">
        <v>97.5697</v>
      </c>
      <c r="BC119" s="12">
        <f>IF(COUNT(BB114:BB119)=6,(AVERAGE(BB117:BB119)/AVERAGE(BB114:BB116))^4-1,"")</f>
        <v/>
      </c>
    </row>
    <row r="120">
      <c r="A120" s="9" t="n">
        <v>45505</v>
      </c>
      <c r="B120" s="10" t="n">
        <v>97.55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97.5205</v>
      </c>
      <c r="G120" s="12">
        <f>IF(COUNT(F115:F120)=6,(AVERAGE(F118:F120)/AVERAGE(F115:F117))^4-1,"")</f>
        <v/>
      </c>
      <c r="H120" s="10" t="n">
        <v>97.87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97.79819999999999</v>
      </c>
      <c r="M120" s="12">
        <f>IF(COUNT(L115:L120)=6,(AVERAGE(L118:L120)/AVERAGE(L115:L117))^4-1,"")</f>
        <v/>
      </c>
      <c r="N120" s="10" t="n">
        <v>97.67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97.8201</v>
      </c>
      <c r="S120" s="12">
        <f>IF(COUNT(R115:R120)=6,(AVERAGE(R118:R120)/AVERAGE(R115:R117))^4-1,"")</f>
        <v/>
      </c>
      <c r="T120" s="10" t="n">
        <v>97.01000000000001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98.1018</v>
      </c>
      <c r="Y120" s="12">
        <f>IF(COUNT(X115:X120)=6,(AVERAGE(X118:X120)/AVERAGE(X115:X117))^4-1,"")</f>
        <v/>
      </c>
      <c r="Z120" s="10" t="n">
        <v>98.14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96.90779999999999</v>
      </c>
      <c r="AE120" s="12">
        <f>IF(COUNT(AD115:AD120)=6,(AVERAGE(AD118:AD120)/AVERAGE(AD115:AD117))^4-1,"")</f>
        <v/>
      </c>
      <c r="AF120" s="10" t="n">
        <v>97.05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97.74209999999999</v>
      </c>
      <c r="AK120" s="12">
        <f>IF(COUNT(AJ115:AJ120)=6,(AVERAGE(AJ118:AJ120)/AVERAGE(AJ115:AJ117))^4-1,"")</f>
        <v/>
      </c>
      <c r="AL120" s="10" t="n">
        <v>96.43000000000001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96.29130000000001</v>
      </c>
      <c r="AQ120" s="12">
        <f>IF(COUNT(AP115:AP120)=6,(AVERAGE(AP118:AP120)/AVERAGE(AP115:AP117))^4-1,"")</f>
        <v/>
      </c>
      <c r="AR120" s="10" t="n">
        <v>99.51000000000001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98.1999</v>
      </c>
      <c r="AW120" s="12">
        <f>IF(COUNT(AV115:AV120)=6,(AVERAGE(AV118:AV120)/AVERAGE(AV115:AV117))^4-1,"")</f>
        <v/>
      </c>
      <c r="AX120" s="10" t="n">
        <v>97.71299999999999</v>
      </c>
      <c r="AY120" s="11">
        <f>IF(ISNUMBER(AX120),AX120/AX$65*100,"")</f>
        <v/>
      </c>
      <c r="AZ120" s="12">
        <f>IF(AND(ISNUMBER(AX120),ISNUMBER(AX119)),AX120/AX119-1,"")</f>
        <v/>
      </c>
      <c r="BA120" s="12">
        <f>IF(AND(ISNUMBER(AX120),ISNUMBER(AX108)),AX120/AX108-1,"")</f>
        <v/>
      </c>
      <c r="BB120" s="11" t="n">
        <v>97.5617</v>
      </c>
      <c r="BC120" s="12">
        <f>IF(COUNT(BB115:BB120)=6,(AVERAGE(BB118:BB120)/AVERAGE(BB115:BB117))^4-1,"")</f>
        <v/>
      </c>
    </row>
    <row r="121">
      <c r="A121" s="9" t="n">
        <v>45536</v>
      </c>
      <c r="B121" s="10" t="n">
        <v>97.45999999999999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97.4062</v>
      </c>
      <c r="G121" s="12">
        <f>IF(COUNT(F116:F121)=6,(AVERAGE(F119:F121)/AVERAGE(F116:F118))^4-1,"")</f>
        <v/>
      </c>
      <c r="H121" s="10" t="n">
        <v>98.20999999999999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97.9669</v>
      </c>
      <c r="M121" s="12">
        <f>IF(COUNT(L116:L121)=6,(AVERAGE(L119:L121)/AVERAGE(L116:L118))^4-1,"")</f>
        <v/>
      </c>
      <c r="N121" s="10" t="n">
        <v>97.88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97.9405</v>
      </c>
      <c r="S121" s="12">
        <f>IF(COUNT(R116:R121)=6,(AVERAGE(R119:R121)/AVERAGE(R116:R118))^4-1,"")</f>
        <v/>
      </c>
      <c r="T121" s="10" t="n">
        <v>97.58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98.2227</v>
      </c>
      <c r="Y121" s="12">
        <f>IF(COUNT(X116:X121)=6,(AVERAGE(X119:X121)/AVERAGE(X116:X118))^4-1,"")</f>
        <v/>
      </c>
      <c r="Z121" s="10" t="n">
        <v>97.34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97.1208</v>
      </c>
      <c r="AE121" s="12">
        <f>IF(COUNT(AD116:AD121)=6,(AVERAGE(AD119:AD121)/AVERAGE(AD116:AD118))^4-1,"")</f>
        <v/>
      </c>
      <c r="AF121" s="10" t="n">
        <v>96.88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97.7885</v>
      </c>
      <c r="AK121" s="12">
        <f>IF(COUNT(AJ116:AJ121)=6,(AVERAGE(AJ119:AJ121)/AVERAGE(AJ116:AJ118))^4-1,"")</f>
        <v/>
      </c>
      <c r="AL121" s="10" t="n">
        <v>93.47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88.10720000000001</v>
      </c>
      <c r="AQ121" s="12">
        <f>IF(COUNT(AP116:AP121)=6,(AVERAGE(AP119:AP121)/AVERAGE(AP116:AP118))^4-1,"")</f>
        <v/>
      </c>
      <c r="AR121" s="10" t="n">
        <v>97.69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97.70529999999999</v>
      </c>
      <c r="AW121" s="12">
        <f>IF(COUNT(AV116:AV121)=6,(AVERAGE(AV119:AV121)/AVERAGE(AV116:AV118))^4-1,"")</f>
        <v/>
      </c>
      <c r="AX121" s="10" t="n">
        <v>97.123</v>
      </c>
      <c r="AY121" s="11">
        <f>IF(ISNUMBER(AX121),AX121/AX$65*100,"")</f>
        <v/>
      </c>
      <c r="AZ121" s="12">
        <f>IF(AND(ISNUMBER(AX121),ISNUMBER(AX120)),AX121/AX120-1,"")</f>
        <v/>
      </c>
      <c r="BA121" s="12">
        <f>IF(AND(ISNUMBER(AX121),ISNUMBER(AX109)),AX121/AX109-1,"")</f>
        <v/>
      </c>
      <c r="BB121" s="11" t="n">
        <v>96.5791</v>
      </c>
      <c r="BC121" s="12">
        <f>IF(COUNT(BB116:BB121)=6,(AVERAGE(BB119:BB121)/AVERAGE(BB116:BB118))^4-1,"")</f>
        <v/>
      </c>
    </row>
    <row r="122">
      <c r="A122" s="9" t="n">
        <v>45566</v>
      </c>
      <c r="B122" s="10" t="n">
        <v>97.84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97.63760000000001</v>
      </c>
      <c r="G122" s="12">
        <f>IF(COUNT(F117:F122)=6,(AVERAGE(F120:F122)/AVERAGE(F117:F119))^4-1,"")</f>
        <v/>
      </c>
      <c r="H122" s="10" t="n">
        <v>98.31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98.0351</v>
      </c>
      <c r="M122" s="12">
        <f>IF(COUNT(L117:L122)=6,(AVERAGE(L120:L122)/AVERAGE(L117:L119))^4-1,"")</f>
        <v/>
      </c>
      <c r="N122" s="10" t="n">
        <v>98.23999999999999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98.00579999999999</v>
      </c>
      <c r="S122" s="12">
        <f>IF(COUNT(R117:R122)=6,(AVERAGE(R120:R122)/AVERAGE(R117:R119))^4-1,"")</f>
        <v/>
      </c>
      <c r="T122" s="10" t="n">
        <v>98.5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97.9295</v>
      </c>
      <c r="Y122" s="12">
        <f>IF(COUNT(X117:X122)=6,(AVERAGE(X120:X122)/AVERAGE(X117:X119))^4-1,"")</f>
        <v/>
      </c>
      <c r="Z122" s="10" t="n">
        <v>97.16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97.3952</v>
      </c>
      <c r="AE122" s="12">
        <f>IF(COUNT(AD117:AD122)=6,(AVERAGE(AD120:AD122)/AVERAGE(AD117:AD119))^4-1,"")</f>
        <v/>
      </c>
      <c r="AF122" s="10" t="n">
        <v>98.03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97.95010000000001</v>
      </c>
      <c r="AK122" s="12">
        <f>IF(COUNT(AJ117:AJ122)=6,(AVERAGE(AJ120:AJ122)/AVERAGE(AJ117:AJ119))^4-1,"")</f>
        <v/>
      </c>
      <c r="AL122" s="10" t="n">
        <v>94.11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92.6782</v>
      </c>
      <c r="AQ122" s="12">
        <f>IF(COUNT(AP117:AP122)=6,(AVERAGE(AP120:AP122)/AVERAGE(AP117:AP119))^4-1,"")</f>
        <v/>
      </c>
      <c r="AR122" s="10" t="n">
        <v>97.83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97.9186</v>
      </c>
      <c r="AW122" s="12">
        <f>IF(COUNT(AV117:AV122)=6,(AVERAGE(AV120:AV122)/AVERAGE(AV117:AV119))^4-1,"")</f>
        <v/>
      </c>
      <c r="AX122" s="10" t="n">
        <v>97.729</v>
      </c>
      <c r="AY122" s="11">
        <f>IF(ISNUMBER(AX122),AX122/AX$65*100,"")</f>
        <v/>
      </c>
      <c r="AZ122" s="12">
        <f>IF(AND(ISNUMBER(AX122),ISNUMBER(AX121)),AX122/AX121-1,"")</f>
        <v/>
      </c>
      <c r="BA122" s="12">
        <f>IF(AND(ISNUMBER(AX122),ISNUMBER(AX110)),AX122/AX110-1,"")</f>
        <v/>
      </c>
      <c r="BB122" s="11" t="n">
        <v>97.7522</v>
      </c>
      <c r="BC122" s="12">
        <f>IF(COUNT(BB117:BB122)=6,(AVERAGE(BB120:BB122)/AVERAGE(BB117:BB119))^4-1,"")</f>
        <v/>
      </c>
    </row>
    <row r="123">
      <c r="A123" s="9" t="n">
        <v>45597</v>
      </c>
      <c r="B123" s="10" t="n">
        <v>97.87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98.16079999999999</v>
      </c>
      <c r="G123" s="12">
        <f>IF(COUNT(F118:F123)=6,(AVERAGE(F121:F123)/AVERAGE(F118:F120))^4-1,"")</f>
        <v/>
      </c>
      <c r="H123" s="10" t="n">
        <v>98.06999999999999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98.19029999999999</v>
      </c>
      <c r="M123" s="12">
        <f>IF(COUNT(L118:L123)=6,(AVERAGE(L121:L123)/AVERAGE(L118:L120))^4-1,"")</f>
        <v/>
      </c>
      <c r="N123" s="10" t="n">
        <v>98.05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98.14239999999999</v>
      </c>
      <c r="S123" s="12">
        <f>IF(COUNT(R118:R123)=6,(AVERAGE(R121:R123)/AVERAGE(R118:R120))^4-1,"")</f>
        <v/>
      </c>
      <c r="T123" s="10" t="n">
        <v>98.90000000000001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98.62649999999999</v>
      </c>
      <c r="Y123" s="12">
        <f>IF(COUNT(X118:X123)=6,(AVERAGE(X121:X123)/AVERAGE(X118:X120))^4-1,"")</f>
        <v/>
      </c>
      <c r="Z123" s="10" t="n">
        <v>96.8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97.7017</v>
      </c>
      <c r="AE123" s="12">
        <f>IF(COUNT(AD118:AD123)=6,(AVERAGE(AD121:AD123)/AVERAGE(AD118:AD120))^4-1,"")</f>
        <v/>
      </c>
      <c r="AF123" s="10" t="n">
        <v>97.95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98.0639</v>
      </c>
      <c r="AK123" s="12">
        <f>IF(COUNT(AJ118:AJ123)=6,(AVERAGE(AJ121:AJ123)/AVERAGE(AJ118:AJ120))^4-1,"")</f>
        <v/>
      </c>
      <c r="AL123" s="10" t="n">
        <v>96.25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97.6366</v>
      </c>
      <c r="AQ123" s="12">
        <f>IF(COUNT(AP118:AP123)=6,(AVERAGE(AP121:AP123)/AVERAGE(AP118:AP120))^4-1,"")</f>
        <v/>
      </c>
      <c r="AR123" s="10" t="n">
        <v>98.45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98.66119999999999</v>
      </c>
      <c r="AW123" s="12">
        <f>IF(COUNT(AV118:AV123)=6,(AVERAGE(AV121:AV123)/AVERAGE(AV118:AV120))^4-1,"")</f>
        <v/>
      </c>
      <c r="AX123" s="10" t="n">
        <v>97.968</v>
      </c>
      <c r="AY123" s="11">
        <f>IF(ISNUMBER(AX123),AX123/AX$65*100,"")</f>
        <v/>
      </c>
      <c r="AZ123" s="12">
        <f>IF(AND(ISNUMBER(AX123),ISNUMBER(AX122)),AX123/AX122-1,"")</f>
        <v/>
      </c>
      <c r="BA123" s="12">
        <f>IF(AND(ISNUMBER(AX123),ISNUMBER(AX111)),AX123/AX111-1,"")</f>
        <v/>
      </c>
      <c r="BB123" s="11" t="n">
        <v>98.31189999999999</v>
      </c>
      <c r="BC123" s="12">
        <f>IF(COUNT(BB118:BB123)=6,(AVERAGE(BB121:BB123)/AVERAGE(BB118:BB120))^4-1,"")</f>
        <v/>
      </c>
    </row>
    <row r="124">
      <c r="A124" s="9" t="n">
        <v>45627</v>
      </c>
      <c r="B124" s="10" t="n">
        <v>98.3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98.5578</v>
      </c>
      <c r="G124" s="12">
        <f>IF(COUNT(F119:F124)=6,(AVERAGE(F122:F124)/AVERAGE(F119:F121))^4-1,"")</f>
        <v/>
      </c>
      <c r="H124" s="10" t="n">
        <v>98.5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98.53830000000001</v>
      </c>
      <c r="M124" s="12">
        <f>IF(COUNT(L119:L124)=6,(AVERAGE(L122:L124)/AVERAGE(L119:L121))^4-1,"")</f>
        <v/>
      </c>
      <c r="N124" s="10" t="n">
        <v>98.40000000000001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98.4372</v>
      </c>
      <c r="S124" s="12">
        <f>IF(COUNT(R119:R124)=6,(AVERAGE(R122:R124)/AVERAGE(R119:R121))^4-1,"")</f>
        <v/>
      </c>
      <c r="T124" s="10" t="n">
        <v>99.09999999999999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99.0716</v>
      </c>
      <c r="Y124" s="12">
        <f>IF(COUNT(X119:X124)=6,(AVERAGE(X122:X124)/AVERAGE(X119:X121))^4-1,"")</f>
        <v/>
      </c>
      <c r="Z124" s="10" t="n">
        <v>97.47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98.0517</v>
      </c>
      <c r="AE124" s="12">
        <f>IF(COUNT(AD119:AD124)=6,(AVERAGE(AD122:AD124)/AVERAGE(AD119:AD121))^4-1,"")</f>
        <v/>
      </c>
      <c r="AF124" s="10" t="n">
        <v>98.09999999999999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98.3172</v>
      </c>
      <c r="AK124" s="12">
        <f>IF(COUNT(AJ119:AJ124)=6,(AVERAGE(AJ122:AJ124)/AVERAGE(AJ119:AJ121))^4-1,"")</f>
        <v/>
      </c>
      <c r="AL124" s="10" t="n">
        <v>97.31999999999999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99.4311</v>
      </c>
      <c r="AQ124" s="12">
        <f>IF(COUNT(AP119:AP124)=6,(AVERAGE(AP122:AP124)/AVERAGE(AP119:AP121))^4-1,"")</f>
        <v/>
      </c>
      <c r="AR124" s="10" t="n">
        <v>98.81999999999999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100.0846</v>
      </c>
      <c r="AW124" s="12">
        <f>IF(COUNT(AV119:AV124)=6,(AVERAGE(AV122:AV124)/AVERAGE(AV119:AV121))^4-1,"")</f>
        <v/>
      </c>
      <c r="AX124" s="10" t="n">
        <v>98.411</v>
      </c>
      <c r="AY124" s="11">
        <f>IF(ISNUMBER(AX124),AX124/AX$65*100,"")</f>
        <v/>
      </c>
      <c r="AZ124" s="12">
        <f>IF(AND(ISNUMBER(AX124),ISNUMBER(AX123)),AX124/AX123-1,"")</f>
        <v/>
      </c>
      <c r="BA124" s="12">
        <f>IF(AND(ISNUMBER(AX124),ISNUMBER(AX112)),AX124/AX112-1,"")</f>
        <v/>
      </c>
      <c r="BB124" s="11" t="n">
        <v>98.66889999999999</v>
      </c>
      <c r="BC124" s="12">
        <f>IF(COUNT(BB119:BB124)=6,(AVERAGE(BB122:BB124)/AVERAGE(BB119:BB121))^4-1,"")</f>
        <v/>
      </c>
    </row>
    <row r="125">
      <c r="A125" s="9" t="n">
        <v>45658</v>
      </c>
      <c r="B125" s="10" t="n">
        <v>98.15000000000001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99.0184</v>
      </c>
      <c r="G125" s="12">
        <f>IF(COUNT(F120:F125)=6,(AVERAGE(F123:F125)/AVERAGE(F120:F122))^4-1,"")</f>
        <v/>
      </c>
      <c r="H125" s="10" t="n">
        <v>97.23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98.80159999999999</v>
      </c>
      <c r="M125" s="12">
        <f>IF(COUNT(L120:L125)=6,(AVERAGE(L123:L125)/AVERAGE(L120:L122))^4-1,"")</f>
        <v/>
      </c>
      <c r="N125" s="10" t="n">
        <v>97.62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98.7236</v>
      </c>
      <c r="S125" s="12">
        <f>IF(COUNT(R120:R125)=6,(AVERAGE(R123:R125)/AVERAGE(R120:R122))^4-1,"")</f>
        <v/>
      </c>
      <c r="T125" s="10" t="n">
        <v>99.16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99.729</v>
      </c>
      <c r="Y125" s="12">
        <f>IF(COUNT(X120:X125)=6,(AVERAGE(X123:X125)/AVERAGE(X120:X122))^4-1,"")</f>
        <v/>
      </c>
      <c r="Z125" s="10" t="n">
        <v>97.11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98.2723</v>
      </c>
      <c r="AE125" s="12">
        <f>IF(COUNT(AD120:AD125)=6,(AVERAGE(AD123:AD125)/AVERAGE(AD120:AD122))^4-1,"")</f>
        <v/>
      </c>
      <c r="AF125" s="10" t="n">
        <v>98.83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98.4843</v>
      </c>
      <c r="AK125" s="12">
        <f>IF(COUNT(AJ120:AJ125)=6,(AVERAGE(AJ123:AJ125)/AVERAGE(AJ120:AJ122))^4-1,"")</f>
        <v/>
      </c>
      <c r="AL125" s="10" t="n">
        <v>103.29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104.8092</v>
      </c>
      <c r="AQ125" s="12">
        <f>IF(COUNT(AP120:AP125)=6,(AVERAGE(AP123:AP125)/AVERAGE(AP120:AP122))^4-1,"")</f>
        <v/>
      </c>
      <c r="AR125" s="10" t="n">
        <v>99.43000000000001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100.6583</v>
      </c>
      <c r="AW125" s="12">
        <f>IF(COUNT(AV120:AV125)=6,(AVERAGE(AV123:AV125)/AVERAGE(AV120:AV122))^4-1,"")</f>
        <v/>
      </c>
      <c r="AX125" s="10" t="n">
        <v>98.57899999999999</v>
      </c>
      <c r="AY125" s="11">
        <f>IF(ISNUMBER(AX125),AX125/AX$65*100,"")</f>
        <v/>
      </c>
      <c r="AZ125" s="12">
        <f>IF(AND(ISNUMBER(AX125),ISNUMBER(AX124)),AX125/AX124-1,"")</f>
        <v/>
      </c>
      <c r="BA125" s="12">
        <f>IF(AND(ISNUMBER(AX125),ISNUMBER(AX113)),AX125/AX113-1,"")</f>
        <v/>
      </c>
      <c r="BB125" s="11" t="n">
        <v>99.17789999999999</v>
      </c>
      <c r="BC125" s="12">
        <f>IF(COUNT(BB120:BB125)=6,(AVERAGE(BB123:BB125)/AVERAGE(BB120:BB122))^4-1,"")</f>
        <v/>
      </c>
    </row>
    <row r="126">
      <c r="A126" s="9" t="n">
        <v>45689</v>
      </c>
      <c r="B126" s="10" t="n">
        <v>98.54000000000001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99.1241</v>
      </c>
      <c r="G126" s="12">
        <f>IF(COUNT(F121:F126)=6,(AVERAGE(F124:F126)/AVERAGE(F121:F123))^4-1,"")</f>
        <v/>
      </c>
      <c r="H126" s="10" t="n">
        <v>97.59999999999999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99.11450000000001</v>
      </c>
      <c r="M126" s="12">
        <f>IF(COUNT(L121:L126)=6,(AVERAGE(L124:L126)/AVERAGE(L121:L123))^4-1,"")</f>
        <v/>
      </c>
      <c r="N126" s="10" t="n">
        <v>97.97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98.9465</v>
      </c>
      <c r="S126" s="12">
        <f>IF(COUNT(R121:R126)=6,(AVERAGE(R124:R126)/AVERAGE(R121:R123))^4-1,"")</f>
        <v/>
      </c>
      <c r="T126" s="10" t="n">
        <v>99.27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99.2717</v>
      </c>
      <c r="Y126" s="12">
        <f>IF(COUNT(X121:X126)=6,(AVERAGE(X124:X126)/AVERAGE(X121:X123))^4-1,"")</f>
        <v/>
      </c>
      <c r="Z126" s="10" t="n">
        <v>97.78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98.5874</v>
      </c>
      <c r="AE126" s="12">
        <f>IF(COUNT(AD121:AD126)=6,(AVERAGE(AD124:AD126)/AVERAGE(AD121:AD123))^4-1,"")</f>
        <v/>
      </c>
      <c r="AF126" s="10" t="n">
        <v>99.14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98.7204</v>
      </c>
      <c r="AK126" s="12">
        <f>IF(COUNT(AJ121:AJ126)=6,(AVERAGE(AJ124:AJ126)/AVERAGE(AJ121:AJ123))^4-1,"")</f>
        <v/>
      </c>
      <c r="AL126" s="10" t="n">
        <v>104.03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104.6699</v>
      </c>
      <c r="AQ126" s="12">
        <f>IF(COUNT(AP121:AP126)=6,(AVERAGE(AP124:AP126)/AVERAGE(AP121:AP123))^4-1,"")</f>
        <v/>
      </c>
      <c r="AR126" s="10" t="n">
        <v>100.04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99.492</v>
      </c>
      <c r="AW126" s="12">
        <f>IF(COUNT(AV121:AV126)=6,(AVERAGE(AV124:AV126)/AVERAGE(AV121:AV123))^4-1,"")</f>
        <v/>
      </c>
      <c r="AX126" s="10" t="n">
        <v>98.96599999999999</v>
      </c>
      <c r="AY126" s="11">
        <f>IF(ISNUMBER(AX126),AX126/AX$65*100,"")</f>
        <v/>
      </c>
      <c r="AZ126" s="12">
        <f>IF(AND(ISNUMBER(AX126),ISNUMBER(AX125)),AX126/AX125-1,"")</f>
        <v/>
      </c>
      <c r="BA126" s="12">
        <f>IF(AND(ISNUMBER(AX126),ISNUMBER(AX114)),AX126/AX114-1,"")</f>
        <v/>
      </c>
      <c r="BB126" s="11" t="n">
        <v>99.3137</v>
      </c>
      <c r="BC126" s="12">
        <f>IF(COUNT(BB121:BB126)=6,(AVERAGE(BB124:BB126)/AVERAGE(BB121:BB123))^4-1,"")</f>
        <v/>
      </c>
    </row>
    <row r="127">
      <c r="A127" s="9" t="n">
        <v>45717</v>
      </c>
      <c r="B127" s="10" t="n">
        <v>99.22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99.0222</v>
      </c>
      <c r="G127" s="12">
        <f>IF(COUNT(F122:F127)=6,(AVERAGE(F125:F127)/AVERAGE(F122:F124))^4-1,"")</f>
        <v/>
      </c>
      <c r="H127" s="10" t="n">
        <v>99.03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99.1737</v>
      </c>
      <c r="M127" s="12">
        <f>IF(COUNT(L122:L127)=6,(AVERAGE(L125:L127)/AVERAGE(L122:L124))^4-1,"")</f>
        <v/>
      </c>
      <c r="N127" s="10" t="n">
        <v>99.12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99.14060000000001</v>
      </c>
      <c r="S127" s="12">
        <f>IF(COUNT(R122:R127)=6,(AVERAGE(R125:R127)/AVERAGE(R122:R124))^4-1,"")</f>
        <v/>
      </c>
      <c r="T127" s="10" t="n">
        <v>100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99.2427</v>
      </c>
      <c r="Y127" s="12">
        <f>IF(COUNT(X122:X127)=6,(AVERAGE(X125:X127)/AVERAGE(X122:X124))^4-1,"")</f>
        <v/>
      </c>
      <c r="Z127" s="10" t="n">
        <v>98.42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98.8548</v>
      </c>
      <c r="AE127" s="12">
        <f>IF(COUNT(AD122:AD127)=6,(AVERAGE(AD125:AD127)/AVERAGE(AD122:AD124))^4-1,"")</f>
        <v/>
      </c>
      <c r="AF127" s="10" t="n">
        <v>99.41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99.1309</v>
      </c>
      <c r="AK127" s="12">
        <f>IF(COUNT(AJ122:AJ127)=6,(AVERAGE(AJ125:AJ127)/AVERAGE(AJ122:AJ124))^4-1,"")</f>
        <v/>
      </c>
      <c r="AL127" s="10" t="n">
        <v>100.2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98.7572</v>
      </c>
      <c r="AQ127" s="12">
        <f>IF(COUNT(AP122:AP127)=6,(AVERAGE(AP125:AP127)/AVERAGE(AP122:AP124))^4-1,"")</f>
        <v/>
      </c>
      <c r="AR127" s="10" t="n">
        <v>99.43000000000001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98.8959</v>
      </c>
      <c r="AW127" s="12">
        <f>IF(COUNT(AV122:AV127)=6,(AVERAGE(AV125:AV127)/AVERAGE(AV122:AV124))^4-1,"")</f>
        <v/>
      </c>
      <c r="AX127" s="10" t="n">
        <v>99.024</v>
      </c>
      <c r="AY127" s="11">
        <f>IF(ISNUMBER(AX127),AX127/AX$65*100,"")</f>
        <v/>
      </c>
      <c r="AZ127" s="12">
        <f>IF(AND(ISNUMBER(AX127),ISNUMBER(AX126)),AX127/AX126-1,"")</f>
        <v/>
      </c>
      <c r="BA127" s="12">
        <f>IF(AND(ISNUMBER(AX127),ISNUMBER(AX115)),AX127/AX115-1,"")</f>
        <v/>
      </c>
      <c r="BB127" s="11" t="n">
        <v>99.0583</v>
      </c>
      <c r="BC127" s="12">
        <f>IF(COUNT(BB122:BB127)=6,(AVERAGE(BB125:BB127)/AVERAGE(BB122:BB124))^4-1,"")</f>
        <v/>
      </c>
    </row>
    <row r="128">
      <c r="A128" s="9" t="n">
        <v>45748</v>
      </c>
      <c r="B128" s="10" t="n">
        <v>99.84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99.30759999999999</v>
      </c>
      <c r="G128" s="12">
        <f>IF(COUNT(F123:F128)=6,(AVERAGE(F126:F128)/AVERAGE(F123:F125))^4-1,"")</f>
        <v/>
      </c>
      <c r="H128" s="10" t="n">
        <v>100.23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99.39830000000001</v>
      </c>
      <c r="M128" s="12">
        <f>IF(COUNT(L123:L128)=6,(AVERAGE(L126:L128)/AVERAGE(L123:L125))^4-1,"")</f>
        <v/>
      </c>
      <c r="N128" s="10" t="n">
        <v>100.09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99.4421</v>
      </c>
      <c r="S128" s="12">
        <f>IF(COUNT(R123:R128)=6,(AVERAGE(R126:R128)/AVERAGE(R123:R125))^4-1,"")</f>
        <v/>
      </c>
      <c r="T128" s="10" t="n">
        <v>99.90000000000001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99.1208</v>
      </c>
      <c r="Y128" s="12">
        <f>IF(COUNT(X123:X128)=6,(AVERAGE(X126:X128)/AVERAGE(X123:X125))^4-1,"")</f>
        <v/>
      </c>
      <c r="Z128" s="10" t="n">
        <v>99.76000000000001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99.40940000000001</v>
      </c>
      <c r="AE128" s="12">
        <f>IF(COUNT(AD123:AD128)=6,(AVERAGE(AD126:AD128)/AVERAGE(AD123:AD125))^4-1,"")</f>
        <v/>
      </c>
      <c r="AF128" s="10" t="n">
        <v>99.64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99.2843</v>
      </c>
      <c r="AK128" s="12">
        <f>IF(COUNT(AJ123:AJ128)=6,(AVERAGE(AJ126:AJ128)/AVERAGE(AJ123:AJ125))^4-1,"")</f>
        <v/>
      </c>
      <c r="AL128" s="10" t="n">
        <v>97.43000000000001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98.18640000000001</v>
      </c>
      <c r="AQ128" s="12">
        <f>IF(COUNT(AP123:AP128)=6,(AVERAGE(AP126:AP128)/AVERAGE(AP123:AP125))^4-1,"")</f>
        <v/>
      </c>
      <c r="AR128" s="10" t="n">
        <v>99.43000000000001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98.51609999999999</v>
      </c>
      <c r="AW128" s="12">
        <f>IF(COUNT(AV123:AV128)=6,(AVERAGE(AV126:AV128)/AVERAGE(AV123:AV125))^4-1,"")</f>
        <v/>
      </c>
      <c r="AX128" s="10" t="n">
        <v>99.64700000000001</v>
      </c>
      <c r="AY128" s="11">
        <f>IF(ISNUMBER(AX128),AX128/AX$65*100,"")</f>
        <v/>
      </c>
      <c r="AZ128" s="12">
        <f>IF(AND(ISNUMBER(AX128),ISNUMBER(AX127)),AX128/AX127-1,"")</f>
        <v/>
      </c>
      <c r="BA128" s="12">
        <f>IF(AND(ISNUMBER(AX128),ISNUMBER(AX116)),AX128/AX116-1,"")</f>
        <v/>
      </c>
      <c r="BB128" s="11" t="n">
        <v>99.3891</v>
      </c>
      <c r="BC128" s="12">
        <f>IF(COUNT(BB123:BB128)=6,(AVERAGE(BB126:BB128)/AVERAGE(BB123:BB125))^4-1,"")</f>
        <v/>
      </c>
    </row>
    <row r="129">
      <c r="A129" s="9" t="n">
        <v>45778</v>
      </c>
      <c r="B129" s="10" t="n">
        <v>99.81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99.5291</v>
      </c>
      <c r="G129" s="12">
        <f>IF(COUNT(F124:F129)=6,(AVERAGE(F127:F129)/AVERAGE(F124:F126))^4-1,"")</f>
        <v/>
      </c>
      <c r="H129" s="10" t="n">
        <v>100.13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99.477</v>
      </c>
      <c r="M129" s="12">
        <f>IF(COUNT(L124:L129)=6,(AVERAGE(L127:L129)/AVERAGE(L124:L126))^4-1,"")</f>
        <v/>
      </c>
      <c r="N129" s="10" t="n">
        <v>100.15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99.5098</v>
      </c>
      <c r="S129" s="12">
        <f>IF(COUNT(R124:R129)=6,(AVERAGE(R127:R129)/AVERAGE(R124:R126))^4-1,"")</f>
        <v/>
      </c>
      <c r="T129" s="10" t="n">
        <v>100.02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99.6249</v>
      </c>
      <c r="Y129" s="12">
        <f>IF(COUNT(X124:X129)=6,(AVERAGE(X127:X129)/AVERAGE(X124:X126))^4-1,"")</f>
        <v/>
      </c>
      <c r="Z129" s="10" t="n">
        <v>99.59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99.3404</v>
      </c>
      <c r="AE129" s="12">
        <f>IF(COUNT(AD124:AD129)=6,(AVERAGE(AD127:AD129)/AVERAGE(AD124:AD126))^4-1,"")</f>
        <v/>
      </c>
      <c r="AF129" s="10" t="n">
        <v>100.2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99.764</v>
      </c>
      <c r="AK129" s="12">
        <f>IF(COUNT(AJ124:AJ129)=6,(AVERAGE(AJ127:AJ129)/AVERAGE(AJ124:AJ126))^4-1,"")</f>
        <v/>
      </c>
      <c r="AL129" s="10" t="n">
        <v>96.54000000000001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99.0034</v>
      </c>
      <c r="AQ129" s="12">
        <f>IF(COUNT(AP124:AP129)=6,(AVERAGE(AP127:AP129)/AVERAGE(AP124:AP126))^4-1,"")</f>
        <v/>
      </c>
      <c r="AR129" s="10" t="n">
        <v>98.31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98.5329</v>
      </c>
      <c r="AW129" s="12">
        <f>IF(COUNT(AV124:AV129)=6,(AVERAGE(AV127:AV129)/AVERAGE(AV124:AV126))^4-1,"")</f>
        <v/>
      </c>
      <c r="AX129" s="10" t="n">
        <v>99.714</v>
      </c>
      <c r="AY129" s="11">
        <f>IF(ISNUMBER(AX129),AX129/AX$65*100,"")</f>
        <v/>
      </c>
      <c r="AZ129" s="12">
        <f>IF(AND(ISNUMBER(AX129),ISNUMBER(AX128)),AX129/AX128-1,"")</f>
        <v/>
      </c>
      <c r="BA129" s="12">
        <f>IF(AND(ISNUMBER(AX129),ISNUMBER(AX117)),AX129/AX117-1,"")</f>
        <v/>
      </c>
      <c r="BB129" s="11" t="n">
        <v>99.675</v>
      </c>
      <c r="BC129" s="12">
        <f>IF(COUNT(BB124:BB129)=6,(AVERAGE(BB127:BB129)/AVERAGE(BB124:BB126))^4-1,"")</f>
        <v/>
      </c>
    </row>
    <row r="130">
      <c r="A130" s="9" t="n">
        <v>45809</v>
      </c>
      <c r="B130" s="10" t="n">
        <v>100.49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99.8935</v>
      </c>
      <c r="G130" s="12">
        <f>IF(COUNT(F125:F130)=6,(AVERAGE(F128:F130)/AVERAGE(F125:F127))^4-1,"")</f>
        <v/>
      </c>
      <c r="H130" s="10" t="n">
        <v>100.74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99.71040000000001</v>
      </c>
      <c r="M130" s="12">
        <f>IF(COUNT(L125:L130)=6,(AVERAGE(L128:L130)/AVERAGE(L125:L127))^4-1,"")</f>
        <v/>
      </c>
      <c r="N130" s="10" t="n">
        <v>100.7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99.825</v>
      </c>
      <c r="S130" s="12">
        <f>IF(COUNT(R125:R130)=6,(AVERAGE(R128:R130)/AVERAGE(R125:R127))^4-1,"")</f>
        <v/>
      </c>
      <c r="T130" s="10" t="n">
        <v>100.44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99.961</v>
      </c>
      <c r="Y130" s="12">
        <f>IF(COUNT(X125:X130)=6,(AVERAGE(X128:X130)/AVERAGE(X125:X127))^4-1,"")</f>
        <v/>
      </c>
      <c r="Z130" s="10" t="n">
        <v>100.54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99.6965</v>
      </c>
      <c r="AE130" s="12">
        <f>IF(COUNT(AD125:AD130)=6,(AVERAGE(AD128:AD130)/AVERAGE(AD125:AD127))^4-1,"")</f>
        <v/>
      </c>
      <c r="AF130" s="10" t="n">
        <v>100.56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100.1363</v>
      </c>
      <c r="AK130" s="12">
        <f>IF(COUNT(AJ125:AJ130)=6,(AVERAGE(AJ128:AJ130)/AVERAGE(AJ125:AJ127))^4-1,"")</f>
        <v/>
      </c>
      <c r="AL130" s="10" t="n">
        <v>98.52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99.5022</v>
      </c>
      <c r="AQ130" s="12">
        <f>IF(COUNT(AP125:AP130)=6,(AVERAGE(AP128:AP130)/AVERAGE(AP125:AP127))^4-1,"")</f>
        <v/>
      </c>
      <c r="AR130" s="10" t="n">
        <v>99.29000000000001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100.0663</v>
      </c>
      <c r="AW130" s="12">
        <f>IF(COUNT(AV125:AV130)=6,(AVERAGE(AV128:AV130)/AVERAGE(AV125:AV127))^4-1,"")</f>
        <v/>
      </c>
      <c r="AX130" s="10" t="n">
        <v>100.382</v>
      </c>
      <c r="AY130" s="11">
        <f>IF(ISNUMBER(AX130),AX130/AX$65*100,"")</f>
        <v/>
      </c>
      <c r="AZ130" s="12">
        <f>IF(AND(ISNUMBER(AX130),ISNUMBER(AX129)),AX130/AX129-1,"")</f>
        <v/>
      </c>
      <c r="BA130" s="12">
        <f>IF(AND(ISNUMBER(AX130),ISNUMBER(AX118)),AX130/AX118-1,"")</f>
        <v/>
      </c>
      <c r="BB130" s="11" t="n">
        <v>99.9881</v>
      </c>
      <c r="BC130" s="12">
        <f>IF(COUNT(BB125:BB130)=6,(AVERAGE(BB128:BB130)/AVERAGE(BB125:BB127))^4-1,"")</f>
        <v/>
      </c>
    </row>
    <row r="131">
      <c r="A131" s="9" t="n">
        <v>45839</v>
      </c>
      <c r="B131" s="10" t="n">
        <v>100.15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100.0737</v>
      </c>
      <c r="G131" s="12">
        <f>IF(COUNT(F126:F131)=6,(AVERAGE(F129:F131)/AVERAGE(F126:F128))^4-1,"")</f>
        <v/>
      </c>
      <c r="H131" s="10" t="n">
        <v>100.14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99.9486</v>
      </c>
      <c r="M131" s="12">
        <f>IF(COUNT(L126:L131)=6,(AVERAGE(L129:L131)/AVERAGE(L126:L128))^4-1,"")</f>
        <v/>
      </c>
      <c r="N131" s="10" t="n">
        <v>100.16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100.13</v>
      </c>
      <c r="S131" s="12">
        <f>IF(COUNT(R126:R131)=6,(AVERAGE(R129:R131)/AVERAGE(R126:R128))^4-1,"")</f>
        <v/>
      </c>
      <c r="T131" s="10" t="n">
        <v>99.14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100.0822</v>
      </c>
      <c r="Y131" s="12">
        <f>IF(COUNT(X126:X131)=6,(AVERAGE(X129:X131)/AVERAGE(X126:X128))^4-1,"")</f>
        <v/>
      </c>
      <c r="Z131" s="10" t="n">
        <v>101.21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100.0328</v>
      </c>
      <c r="AE131" s="12">
        <f>IF(COUNT(AD126:AD131)=6,(AVERAGE(AD129:AD131)/AVERAGE(AD126:AD128))^4-1,"")</f>
        <v/>
      </c>
      <c r="AF131" s="10" t="n">
        <v>100.22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100.413</v>
      </c>
      <c r="AK131" s="12">
        <f>IF(COUNT(AJ126:AJ131)=6,(AVERAGE(AJ129:AJ131)/AVERAGE(AJ126:AJ128))^4-1,"")</f>
        <v/>
      </c>
      <c r="AL131" s="10" t="n">
        <v>100.06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99.92659999999999</v>
      </c>
      <c r="AQ131" s="12">
        <f>IF(COUNT(AP126:AP131)=6,(AVERAGE(AP129:AP131)/AVERAGE(AP126:AP128))^4-1,"")</f>
        <v/>
      </c>
      <c r="AR131" s="10" t="n">
        <v>100.72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100.4639</v>
      </c>
      <c r="AW131" s="12">
        <f>IF(COUNT(AV126:AV131)=6,(AVERAGE(AV129:AV131)/AVERAGE(AV126:AV128))^4-1,"")</f>
        <v/>
      </c>
      <c r="AX131" s="10" t="n">
        <v>100.305</v>
      </c>
      <c r="AY131" s="11">
        <f>IF(ISNUMBER(AX131),AX131/AX$65*100,"")</f>
        <v/>
      </c>
      <c r="AZ131" s="12">
        <f>IF(AND(ISNUMBER(AX131),ISNUMBER(AX130)),AX131/AX130-1,"")</f>
        <v/>
      </c>
      <c r="BA131" s="12">
        <f>IF(AND(ISNUMBER(AX131),ISNUMBER(AX119)),AX131/AX119-1,"")</f>
        <v/>
      </c>
      <c r="BB131" s="11" t="n">
        <v>100.1257</v>
      </c>
      <c r="BC131" s="12">
        <f>IF(COUNT(BB126:BB131)=6,(AVERAGE(BB129:BB131)/AVERAGE(BB126:BB128))^4-1,"")</f>
        <v/>
      </c>
    </row>
    <row r="132">
      <c r="A132" s="9" t="n">
        <v>45870</v>
      </c>
      <c r="B132" s="10" t="n">
        <v>100.18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100.0587</v>
      </c>
      <c r="G132" s="12">
        <f>IF(COUNT(F127:F132)=6,(AVERAGE(F130:F132)/AVERAGE(F127:F129))^4-1,"")</f>
        <v/>
      </c>
      <c r="H132" s="10" t="n">
        <v>100.47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100.2859</v>
      </c>
      <c r="M132" s="12">
        <f>IF(COUNT(L127:L132)=6,(AVERAGE(L130:L132)/AVERAGE(L127:L129))^4-1,"")</f>
        <v/>
      </c>
      <c r="N132" s="10" t="n">
        <v>100.25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100.3387</v>
      </c>
      <c r="S132" s="12">
        <f>IF(COUNT(R127:R132)=6,(AVERAGE(R130:R132)/AVERAGE(R127:R129))^4-1,"")</f>
        <v/>
      </c>
      <c r="T132" s="10" t="n">
        <v>98.65000000000001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99.628</v>
      </c>
      <c r="Y132" s="12">
        <f>IF(COUNT(X127:X132)=6,(AVERAGE(X130:X132)/AVERAGE(X127:X129))^4-1,"")</f>
        <v/>
      </c>
      <c r="Z132" s="10" t="n">
        <v>101.77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100.4721</v>
      </c>
      <c r="AE132" s="12">
        <f>IF(COUNT(AD127:AD132)=6,(AVERAGE(AD130:AD132)/AVERAGE(AD127:AD129))^4-1,"")</f>
        <v/>
      </c>
      <c r="AF132" s="10" t="n">
        <v>99.58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100.3668</v>
      </c>
      <c r="AK132" s="12">
        <f>IF(COUNT(AJ127:AJ132)=6,(AVERAGE(AJ130:AJ132)/AVERAGE(AJ127:AJ129))^4-1,"")</f>
        <v/>
      </c>
      <c r="AL132" s="10" t="n">
        <v>99.5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99.04259999999999</v>
      </c>
      <c r="AQ132" s="12">
        <f>IF(COUNT(AP127:AP132)=6,(AVERAGE(AP130:AP132)/AVERAGE(AP127:AP129))^4-1,"")</f>
        <v/>
      </c>
      <c r="AR132" s="10" t="n">
        <v>101.01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99.4054</v>
      </c>
      <c r="AW132" s="12">
        <f>IF(COUNT(AV127:AV132)=6,(AVERAGE(AV130:AV132)/AVERAGE(AV127:AV129))^4-1,"")</f>
        <v/>
      </c>
      <c r="AX132" s="10" t="n">
        <v>100.345</v>
      </c>
      <c r="AY132" s="11">
        <f>IF(ISNUMBER(AX132),AX132/AX$65*100,"")</f>
        <v/>
      </c>
      <c r="AZ132" s="12">
        <f>IF(AND(ISNUMBER(AX132),ISNUMBER(AX131)),AX132/AX131-1,"")</f>
        <v/>
      </c>
      <c r="BA132" s="12">
        <f>IF(AND(ISNUMBER(AX132),ISNUMBER(AX120)),AX132/AX120-1,"")</f>
        <v/>
      </c>
      <c r="BB132" s="11" t="n">
        <v>100.1022</v>
      </c>
      <c r="BC132" s="12">
        <f>IF(COUNT(BB127:BB132)=6,(AVERAGE(BB130:BB132)/AVERAGE(BB127:BB129))^4-1,"")</f>
        <v/>
      </c>
    </row>
    <row r="133">
      <c r="A133" s="9" t="n">
        <v>45901</v>
      </c>
      <c r="B133" s="10" t="n">
        <v>100.42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100.3183</v>
      </c>
      <c r="G133" s="12">
        <f>IF(COUNT(F128:F133)=6,(AVERAGE(F131:F133)/AVERAGE(F128:F130))^4-1,"")</f>
        <v/>
      </c>
      <c r="H133" s="10" t="n">
        <v>100.86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100.5819</v>
      </c>
      <c r="M133" s="12">
        <f>IF(COUNT(L128:L133)=6,(AVERAGE(L131:L133)/AVERAGE(L128:L130))^4-1,"")</f>
        <v/>
      </c>
      <c r="N133" s="10" t="n">
        <v>100.53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100.5889</v>
      </c>
      <c r="S133" s="12">
        <f>IF(COUNT(R128:R133)=6,(AVERAGE(R131:R133)/AVERAGE(R128:R130))^4-1,"")</f>
        <v/>
      </c>
      <c r="T133" s="10" t="n">
        <v>99.87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100.5678</v>
      </c>
      <c r="Y133" s="12">
        <f>IF(COUNT(X128:X133)=6,(AVERAGE(X131:X133)/AVERAGE(X128:X130))^4-1,"")</f>
        <v/>
      </c>
      <c r="Z133" s="10" t="n">
        <v>100.98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100.749</v>
      </c>
      <c r="AE133" s="12">
        <f>IF(COUNT(AD128:AD133)=6,(AVERAGE(AD131:AD133)/AVERAGE(AD128:AD130))^4-1,"")</f>
        <v/>
      </c>
      <c r="AF133" s="10" t="n">
        <v>99.48999999999999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100.5131</v>
      </c>
      <c r="AK133" s="12">
        <f>IF(COUNT(AJ128:AJ133)=6,(AVERAGE(AJ131:AJ133)/AVERAGE(AJ128:AJ130))^4-1,"")</f>
        <v/>
      </c>
      <c r="AL133" s="10" t="n">
        <v>99.31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92.3796</v>
      </c>
      <c r="AQ133" s="12">
        <f>IF(COUNT(AP128:AP133)=6,(AVERAGE(AP131:AP133)/AVERAGE(AP128:AP130))^4-1,"")</f>
        <v/>
      </c>
      <c r="AR133" s="10" t="n">
        <v>100.07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99.9871</v>
      </c>
      <c r="AW133" s="12">
        <f>IF(COUNT(AV128:AV133)=6,(AVERAGE(AV131:AV133)/AVERAGE(AV128:AV130))^4-1,"")</f>
        <v/>
      </c>
      <c r="AX133" s="10" t="n">
        <v>100.059</v>
      </c>
      <c r="AY133" s="11">
        <f>IF(ISNUMBER(AX133),AX133/AX$65*100,"")</f>
        <v/>
      </c>
      <c r="AZ133" s="12">
        <f>IF(AND(ISNUMBER(AX133),ISNUMBER(AX132)),AX133/AX132-1,"")</f>
        <v/>
      </c>
      <c r="BA133" s="12">
        <f>IF(AND(ISNUMBER(AX133),ISNUMBER(AX121)),AX133/AX121-1,"")</f>
        <v/>
      </c>
      <c r="BB133" s="11" t="n">
        <v>99.3737</v>
      </c>
      <c r="BC133" s="12">
        <f>IF(COUNT(BB128:BB133)=6,(AVERAGE(BB131:BB133)/AVERAGE(BB128:BB130))^4-1,"")</f>
        <v/>
      </c>
    </row>
    <row r="134">
      <c r="A134" s="9" t="n">
        <v>45931</v>
      </c>
      <c r="B134" s="10" t="n">
        <v>100.95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100.8049</v>
      </c>
      <c r="G134" s="12">
        <f>IF(COUNT(F129:F134)=6,(AVERAGE(F132:F134)/AVERAGE(F129:F131))^4-1,"")</f>
        <v/>
      </c>
      <c r="H134" s="10" t="n">
        <v>101.16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100.8959</v>
      </c>
      <c r="M134" s="12">
        <f>IF(COUNT(L129:L134)=6,(AVERAGE(L132:L134)/AVERAGE(L129:L131))^4-1,"")</f>
        <v/>
      </c>
      <c r="N134" s="10" t="n">
        <v>101.04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100.8349</v>
      </c>
      <c r="S134" s="12">
        <f>IF(COUNT(R129:R134)=6,(AVERAGE(R132:R134)/AVERAGE(R129:R131))^4-1,"")</f>
        <v/>
      </c>
      <c r="T134" s="10" t="n">
        <v>100.94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100.4789</v>
      </c>
      <c r="Y134" s="12">
        <f>IF(COUNT(X129:X134)=6,(AVERAGE(X132:X134)/AVERAGE(X129:X131))^4-1,"")</f>
        <v/>
      </c>
      <c r="Z134" s="10" t="n">
        <v>100.96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101.1806</v>
      </c>
      <c r="AE134" s="12">
        <f>IF(COUNT(AD129:AD134)=6,(AVERAGE(AD132:AD134)/AVERAGE(AD129:AD131))^4-1,"")</f>
        <v/>
      </c>
      <c r="AF134" s="10" t="n">
        <v>100.68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100.698</v>
      </c>
      <c r="AK134" s="12">
        <f>IF(COUNT(AJ129:AJ134)=6,(AVERAGE(AJ132:AJ134)/AVERAGE(AJ129:AJ131))^4-1,"")</f>
        <v/>
      </c>
      <c r="AL134" s="10" t="n">
        <v>100.04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98.7593</v>
      </c>
      <c r="AQ134" s="12">
        <f>IF(COUNT(AP129:AP134)=6,(AVERAGE(AP132:AP134)/AVERAGE(AP129:AP131))^4-1,"")</f>
        <v/>
      </c>
      <c r="AR134" s="10" t="n">
        <v>100.49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100.6454</v>
      </c>
      <c r="AW134" s="12">
        <f>IF(COUNT(AV129:AV134)=6,(AVERAGE(AV132:AV134)/AVERAGE(AV129:AV131))^4-1,"")</f>
        <v/>
      </c>
      <c r="AX134" s="10" t="n">
        <v>100.748</v>
      </c>
      <c r="AY134" s="11">
        <f>IF(ISNUMBER(AX134),AX134/AX$65*100,"")</f>
        <v/>
      </c>
      <c r="AZ134" s="12">
        <f>IF(AND(ISNUMBER(AX134),ISNUMBER(AX133)),AX134/AX133-1,"")</f>
        <v/>
      </c>
      <c r="BA134" s="12">
        <f>IF(AND(ISNUMBER(AX134),ISNUMBER(AX122)),AX134/AX122-1,"")</f>
        <v/>
      </c>
      <c r="BB134" s="11" t="n">
        <v>100.8709</v>
      </c>
      <c r="BC134" s="12">
        <f>IF(COUNT(BB129:BB134)=6,(AVERAGE(BB132:BB134)/AVERAGE(BB129:BB131))^4-1,"")</f>
        <v/>
      </c>
    </row>
    <row r="135">
      <c r="A135" s="9" t="n">
        <v>45962</v>
      </c>
      <c r="B135" s="10" t="n">
        <v>100.96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101.3768</v>
      </c>
      <c r="G135" s="12">
        <f>IF(COUNT(F130:F135)=6,(AVERAGE(F133:F135)/AVERAGE(F130:F132))^4-1,"")</f>
        <v/>
      </c>
      <c r="H135" s="10" t="n">
        <v>101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101.2362</v>
      </c>
      <c r="M135" s="12">
        <f>IF(COUNT(L130:L135)=6,(AVERAGE(L133:L135)/AVERAGE(L130:L132))^4-1,"")</f>
        <v/>
      </c>
      <c r="N135" s="10" t="n">
        <v>101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101.1827</v>
      </c>
      <c r="S135" s="12">
        <f>IF(COUNT(R130:R135)=6,(AVERAGE(R133:R135)/AVERAGE(R130:R132))^4-1,"")</f>
        <v/>
      </c>
      <c r="T135" s="10" t="n">
        <v>101.33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101.2238</v>
      </c>
      <c r="Y135" s="12">
        <f>IF(COUNT(X130:X135)=6,(AVERAGE(X133:X135)/AVERAGE(X130:X132))^4-1,"")</f>
        <v/>
      </c>
      <c r="Z135" s="10" t="n">
        <v>100.58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101.5328</v>
      </c>
      <c r="AE135" s="12">
        <f>IF(COUNT(AD130:AD135)=6,(AVERAGE(AD133:AD135)/AVERAGE(AD130:AD132))^4-1,"")</f>
        <v/>
      </c>
      <c r="AF135" s="10" t="n">
        <v>100.99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101.1461</v>
      </c>
      <c r="AK135" s="12">
        <f>IF(COUNT(AJ130:AJ135)=6,(AVERAGE(AJ133:AJ135)/AVERAGE(AJ130:AJ132))^4-1,"")</f>
        <v/>
      </c>
      <c r="AL135" s="10" t="n">
        <v>100.66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102.5337</v>
      </c>
      <c r="AQ135" s="12">
        <f>IF(COUNT(AP130:AP135)=6,(AVERAGE(AP133:AP135)/AVERAGE(AP130:AP132))^4-1,"")</f>
        <v/>
      </c>
      <c r="AR135" s="10" t="n">
        <v>100.91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101.1622</v>
      </c>
      <c r="AW135" s="12">
        <f>IF(COUNT(AV130:AV135)=6,(AVERAGE(AV133:AV135)/AVERAGE(AV130:AV132))^4-1,"")</f>
        <v/>
      </c>
      <c r="AX135" s="10" t="n">
        <v>100.943</v>
      </c>
      <c r="AY135" s="11">
        <f>IF(ISNUMBER(AX135),AX135/AX$65*100,"")</f>
        <v/>
      </c>
      <c r="AZ135" s="12">
        <f>IF(AND(ISNUMBER(AX135),ISNUMBER(AX134)),AX135/AX134-1,"")</f>
        <v/>
      </c>
      <c r="BA135" s="12">
        <f>IF(AND(ISNUMBER(AX135),ISNUMBER(AX123)),AX135/AX123-1,"")</f>
        <v/>
      </c>
      <c r="BB135" s="11" t="n">
        <v>101.439</v>
      </c>
      <c r="BC135" s="12">
        <f>IF(COUNT(BB130:BB135)=6,(AVERAGE(BB133:BB135)/AVERAGE(BB130:BB132))^4-1,"")</f>
        <v/>
      </c>
    </row>
    <row r="136">
      <c r="A136" s="9" t="n">
        <v>45992</v>
      </c>
      <c r="B136" s="10" t="n">
        <v>101.29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101.6461</v>
      </c>
      <c r="G136" s="12">
        <f>IF(COUNT(F131:F136)=6,(AVERAGE(F134:F136)/AVERAGE(F131:F133))^4-1,"")</f>
        <v/>
      </c>
      <c r="H136" s="10" t="n">
        <v>101.42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101.5301</v>
      </c>
      <c r="M136" s="12">
        <f>IF(COUNT(L131:L136)=6,(AVERAGE(L134:L136)/AVERAGE(L131:L133))^4-1,"")</f>
        <v/>
      </c>
      <c r="N136" s="10" t="n">
        <v>101.38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101.4721</v>
      </c>
      <c r="S136" s="12">
        <f>IF(COUNT(R131:R136)=6,(AVERAGE(R134:R136)/AVERAGE(R131:R133))^4-1,"")</f>
        <v/>
      </c>
      <c r="T136" s="10" t="n">
        <v>101.29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101.4062</v>
      </c>
      <c r="Y136" s="12">
        <f>IF(COUNT(X131:X136)=6,(AVERAGE(X134:X136)/AVERAGE(X131:X133))^4-1,"")</f>
        <v/>
      </c>
      <c r="Z136" s="10" t="n">
        <v>101.29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101.8971</v>
      </c>
      <c r="AE136" s="12">
        <f>IF(COUNT(AD131:AD136)=6,(AVERAGE(AD134:AD136)/AVERAGE(AD131:AD133))^4-1,"")</f>
        <v/>
      </c>
      <c r="AF136" s="10" t="n">
        <v>101.27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101.4988</v>
      </c>
      <c r="AK136" s="12">
        <f>IF(COUNT(AJ131:AJ136)=6,(AVERAGE(AJ134:AJ136)/AVERAGE(AJ131:AJ133))^4-1,"")</f>
        <v/>
      </c>
      <c r="AL136" s="10" t="n">
        <v>100.43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102.9298</v>
      </c>
      <c r="AQ136" s="12">
        <f>IF(COUNT(AP131:AP136)=6,(AVERAGE(AP134:AP136)/AVERAGE(AP131:AP133))^4-1,"")</f>
        <v/>
      </c>
      <c r="AR136" s="10" t="n">
        <v>100.86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102.1821</v>
      </c>
      <c r="AW136" s="12">
        <f>IF(COUNT(AV131:AV136)=6,(AVERAGE(AV134:AV136)/AVERAGE(AV131:AV133))^4-1,"")</f>
        <v/>
      </c>
      <c r="AX136" s="10" t="n">
        <v>101.289</v>
      </c>
      <c r="AY136" s="11">
        <f>IF(ISNUMBER(AX136),AX136/AX$65*100,"")</f>
        <v/>
      </c>
      <c r="AZ136" s="12">
        <f>IF(AND(ISNUMBER(AX136),ISNUMBER(AX135)),AX136/AX135-1,"")</f>
        <v/>
      </c>
      <c r="BA136" s="12">
        <f>IF(AND(ISNUMBER(AX136),ISNUMBER(AX124)),AX136/AX124-1,"")</f>
        <v/>
      </c>
      <c r="BB136" s="11" t="n">
        <v>101.6706</v>
      </c>
      <c r="BC136" s="12">
        <f>IF(COUNT(BB131:BB136)=6,(AVERAGE(BB134:BB136)/AVERAGE(BB131:BB133))^4-1,"")</f>
        <v/>
      </c>
    </row>
    <row r="137">
      <c r="A137" s="9" t="n">
        <v>46023</v>
      </c>
      <c r="B137" s="10" t="n">
        <v>100.53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101.3786</v>
      </c>
      <c r="G137" s="12">
        <f>IF(COUNT(F132:F137)=6,(AVERAGE(F135:F137)/AVERAGE(F132:F134))^4-1,"")</f>
        <v/>
      </c>
      <c r="H137" s="10" t="n">
        <v>100.11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101.6491</v>
      </c>
      <c r="M137" s="12">
        <f>IF(COUNT(L132:L137)=6,(AVERAGE(L135:L137)/AVERAGE(L132:L134))^4-1,"")</f>
        <v/>
      </c>
      <c r="N137" s="10" t="n">
        <v>100.53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101.6078</v>
      </c>
      <c r="S137" s="12">
        <f>IF(COUNT(R132:R137)=6,(AVERAGE(R135:R137)/AVERAGE(R132:R134))^4-1,"")</f>
        <v/>
      </c>
      <c r="T137" s="10" t="n">
        <v>100.16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100.5995</v>
      </c>
      <c r="Y137" s="12">
        <f>IF(COUNT(X132:X137)=6,(AVERAGE(X135:X137)/AVERAGE(X132:X134))^4-1,"")</f>
        <v/>
      </c>
      <c r="Z137" s="10" t="n">
        <v>100.88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102.1241</v>
      </c>
      <c r="AE137" s="12">
        <f>IF(COUNT(AD132:AD137)=6,(AVERAGE(AD135:AD137)/AVERAGE(AD132:AD134))^4-1,"")</f>
        <v/>
      </c>
      <c r="AF137" s="10" t="n">
        <v>102.03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101.6272</v>
      </c>
      <c r="AK137" s="12">
        <f>IF(COUNT(AJ132:AJ137)=6,(AVERAGE(AJ135:AJ137)/AVERAGE(AJ132:AJ134))^4-1,"")</f>
        <v/>
      </c>
      <c r="AL137" s="10" t="n">
        <v>100.54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102.499</v>
      </c>
      <c r="AQ137" s="12">
        <f>IF(COUNT(AP132:AP137)=6,(AVERAGE(AP135:AP137)/AVERAGE(AP132:AP134))^4-1,"")</f>
        <v/>
      </c>
      <c r="AR137" s="10" t="n">
        <v>99.78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101.3551</v>
      </c>
      <c r="AW137" s="12">
        <f>IF(COUNT(AV132:AV137)=6,(AVERAGE(AV135:AV137)/AVERAGE(AV132:AV134))^4-1,"")</f>
        <v/>
      </c>
      <c r="AX137" s="10" t="n">
        <v>100.836</v>
      </c>
      <c r="AY137" s="11">
        <f>IF(ISNUMBER(AX137),AX137/AX$65*100,"")</f>
        <v/>
      </c>
      <c r="AZ137" s="12">
        <f>IF(AND(ISNUMBER(AX137),ISNUMBER(AX136)),AX137/AX136-1,"")</f>
        <v/>
      </c>
      <c r="BA137" s="12">
        <f>IF(AND(ISNUMBER(AX137),ISNUMBER(AX125)),AX137/AX125-1,"")</f>
        <v/>
      </c>
      <c r="BB137" s="11" t="n">
        <v>101.4585</v>
      </c>
      <c r="BC137" s="12">
        <f>IF(COUNT(BB132:BB137)=6,(AVERAGE(BB135:BB137)/AVERAGE(BB132:BB134))^4-1,"")</f>
        <v/>
      </c>
    </row>
    <row r="138">
      <c r="A138" s="9" t="n">
        <v>46054</v>
      </c>
      <c r="B138" s="10" t="n">
        <v>100.96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101.4908</v>
      </c>
      <c r="G138" s="12">
        <f>IF(COUNT(F133:F138)=6,(AVERAGE(F136:F138)/AVERAGE(F133:F135))^4-1,"")</f>
        <v/>
      </c>
      <c r="H138" s="10" t="n">
        <v>100.53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102.0065</v>
      </c>
      <c r="M138" s="12">
        <f>IF(COUNT(L133:L138)=6,(AVERAGE(L136:L138)/AVERAGE(L133:L135))^4-1,"")</f>
        <v/>
      </c>
      <c r="N138" s="10" t="n">
        <v>100.98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101.9131</v>
      </c>
      <c r="S138" s="12">
        <f>IF(COUNT(R133:R138)=6,(AVERAGE(R136:R138)/AVERAGE(R133:R135))^4-1,"")</f>
        <v/>
      </c>
      <c r="T138" s="10" t="n">
        <v>100.39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100.1386</v>
      </c>
      <c r="Y138" s="12">
        <f>IF(COUNT(X133:X138)=6,(AVERAGE(X136:X138)/AVERAGE(X133:X135))^4-1,"")</f>
        <v/>
      </c>
      <c r="Z138" s="10" t="n">
        <v>101.49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102.3834</v>
      </c>
      <c r="AE138" s="12">
        <f>IF(COUNT(AD133:AD138)=6,(AVERAGE(AD136:AD138)/AVERAGE(AD133:AD135))^4-1,"")</f>
        <v/>
      </c>
      <c r="AF138" s="10" t="n">
        <v>102.59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102.0837</v>
      </c>
      <c r="AK138" s="12">
        <f>IF(COUNT(AJ133:AJ138)=6,(AVERAGE(AJ136:AJ138)/AVERAGE(AJ133:AJ135))^4-1,"")</f>
        <v/>
      </c>
      <c r="AL138" s="10" t="n">
        <v>100.73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101.797</v>
      </c>
      <c r="AQ138" s="12">
        <f>IF(COUNT(AP133:AP138)=6,(AVERAGE(AP136:AP138)/AVERAGE(AP133:AP135))^4-1,"")</f>
        <v/>
      </c>
      <c r="AR138" s="10" t="n">
        <v>100.61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99.9983</v>
      </c>
      <c r="AW138" s="12">
        <f>IF(COUNT(AV133:AV138)=6,(AVERAGE(AV136:AV138)/AVERAGE(AV133:AV135))^4-1,"")</f>
        <v/>
      </c>
      <c r="AX138" s="10" t="n">
        <v>101.261</v>
      </c>
      <c r="AY138" s="11">
        <f>IF(ISNUMBER(AX138),AX138/AX$65*100,"")</f>
        <v/>
      </c>
      <c r="AZ138" s="12">
        <f>IF(AND(ISNUMBER(AX138),ISNUMBER(AX137)),AX138/AX137-1,"")</f>
        <v/>
      </c>
      <c r="BA138" s="12">
        <f>IF(AND(ISNUMBER(AX138),ISNUMBER(AX126)),AX138/AX126-1,"")</f>
        <v/>
      </c>
      <c r="BB138" s="11" t="n">
        <v>101.6164</v>
      </c>
      <c r="BC138" s="12">
        <f>IF(COUNT(BB133:BB138)=6,(AVERAGE(BB136:BB138)/AVERAGE(BB133:BB135))^4-1,"")</f>
        <v/>
      </c>
    </row>
    <row r="139">
      <c r="A139" s="9" t="n">
        <v>46082</v>
      </c>
      <c r="B139" s="10" t="n">
        <v>102.64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102.3808</v>
      </c>
      <c r="G139" s="12">
        <f>IF(COUNT(F134:F139)=6,(AVERAGE(F137:F139)/AVERAGE(F134:F136))^4-1,"")</f>
        <v/>
      </c>
      <c r="H139" s="10" t="n">
        <v>102.08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102.2643</v>
      </c>
      <c r="M139" s="12">
        <f>IF(COUNT(L134:L139)=6,(AVERAGE(L137:L139)/AVERAGE(L134:L136))^4-1,"")</f>
        <v/>
      </c>
      <c r="N139" s="10" t="n">
        <v>102.15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102.186</v>
      </c>
      <c r="S139" s="12">
        <f>IF(COUNT(R134:R139)=6,(AVERAGE(R137:R139)/AVERAGE(R134:R136))^4-1,"")</f>
        <v/>
      </c>
      <c r="T139" s="10" t="n">
        <v>102.97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102.0424</v>
      </c>
      <c r="Y139" s="12">
        <f>IF(COUNT(X134:X139)=6,(AVERAGE(X137:X139)/AVERAGE(X134:X136))^4-1,"")</f>
        <v/>
      </c>
      <c r="Z139" s="10" t="n">
        <v>102.33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102.8068</v>
      </c>
      <c r="AE139" s="12">
        <f>IF(COUNT(AD134:AD139)=6,(AVERAGE(AD137:AD139)/AVERAGE(AD134:AD136))^4-1,"")</f>
        <v/>
      </c>
      <c r="AF139" s="10" t="n">
        <v>102.41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102.0515</v>
      </c>
      <c r="AK139" s="12">
        <f>IF(COUNT(AJ134:AJ139)=6,(AVERAGE(AJ137:AJ139)/AVERAGE(AJ134:AJ136))^4-1,"")</f>
        <v/>
      </c>
      <c r="AL139" s="10" t="n">
        <v>107.72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105.4777</v>
      </c>
      <c r="AQ139" s="12">
        <f>IF(COUNT(AP134:AP139)=6,(AVERAGE(AP137:AP139)/AVERAGE(AP134:AP136))^4-1,"")</f>
        <v/>
      </c>
      <c r="AR139" s="10" t="n">
        <v>105.41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104.6722</v>
      </c>
      <c r="AW139" s="12">
        <f>IF(COUNT(AV134:AV139)=6,(AVERAGE(AV137:AV139)/AVERAGE(AV134:AV136))^4-1,"")</f>
        <v/>
      </c>
      <c r="AX139" s="10" t="n">
        <v>102.44</v>
      </c>
      <c r="AY139" s="11">
        <f>IF(ISNUMBER(AX139),AX139/AX$65*100,"")</f>
        <v/>
      </c>
      <c r="AZ139" s="12">
        <f>IF(AND(ISNUMBER(AX139),ISNUMBER(AX138)),AX139/AX138-1,"")</f>
        <v/>
      </c>
      <c r="BA139" s="12">
        <f>IF(AND(ISNUMBER(AX139),ISNUMBER(AX127)),AX139/AX127-1,"")</f>
        <v/>
      </c>
      <c r="BB139" s="11" t="n">
        <v>102.3854</v>
      </c>
      <c r="BC139" s="12">
        <f>IF(COUNT(BB134:BB139)=6,(AVERAGE(BB137:BB139)/AVERAGE(BB134:BB136))^4-1,"")</f>
        <v/>
      </c>
    </row>
    <row r="140">
      <c r="A140" s="9" t="n">
        <v>46113</v>
      </c>
      <c r="B140" s="10" t="n">
        <v>103.36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102.8062</v>
      </c>
      <c r="G140" s="12">
        <f>IF(COUNT(F135:F140)=6,(AVERAGE(F138:F140)/AVERAGE(F135:F137))^4-1,"")</f>
        <v/>
      </c>
      <c r="H140" s="10" t="n">
        <v>103.48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102.6641</v>
      </c>
      <c r="M140" s="12">
        <f>IF(COUNT(L135:L140)=6,(AVERAGE(L138:L140)/AVERAGE(L135:L137))^4-1,"")</f>
        <v/>
      </c>
      <c r="N140" s="10" t="n">
        <v>103.28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102.6181</v>
      </c>
      <c r="S140" s="12">
        <f>IF(COUNT(R135:R140)=6,(AVERAGE(R138:R140)/AVERAGE(R135:R137))^4-1,"")</f>
        <v/>
      </c>
      <c r="T140" s="10" t="n">
        <v>103.31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102.5212</v>
      </c>
      <c r="Y140" s="12">
        <f>IF(COUNT(X135:X140)=6,(AVERAGE(X138:X140)/AVERAGE(X135:X137))^4-1,"")</f>
        <v/>
      </c>
      <c r="Z140" s="10" t="n">
        <v>103.41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103.0557</v>
      </c>
      <c r="AE140" s="12">
        <f>IF(COUNT(AD135:AD140)=6,(AVERAGE(AD138:AD140)/AVERAGE(AD135:AD137))^4-1,"")</f>
        <v/>
      </c>
      <c r="AF140" s="10" t="n">
        <v>102.59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102.1344</v>
      </c>
      <c r="AK140" s="12">
        <f>IF(COUNT(AJ135:AJ140)=6,(AVERAGE(AJ138:AJ140)/AVERAGE(AJ135:AJ137))^4-1,"")</f>
        <v/>
      </c>
      <c r="AL140" s="10" t="n">
        <v>104.22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105.1803</v>
      </c>
      <c r="AQ140" s="12">
        <f>IF(COUNT(AP135:AP140)=6,(AVERAGE(AP138:AP140)/AVERAGE(AP135:AP137))^4-1,"")</f>
        <v/>
      </c>
      <c r="AR140" s="10" t="n">
        <v>106.38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105.3368</v>
      </c>
      <c r="AW140" s="12">
        <f>IF(COUNT(AV135:AV140)=6,(AVERAGE(AV138:AV140)/AVERAGE(AV135:AV137))^4-1,"")</f>
        <v/>
      </c>
      <c r="AX140" s="10" t="n">
        <v>102.883</v>
      </c>
      <c r="AY140" s="11">
        <f>IF(ISNUMBER(AX140),AX140/AX$65*100,"")</f>
        <v/>
      </c>
      <c r="AZ140" s="12">
        <f>IF(AND(ISNUMBER(AX140),ISNUMBER(AX139)),AX140/AX139-1,"")</f>
        <v/>
      </c>
      <c r="BA140" s="12">
        <f>IF(AND(ISNUMBER(AX140),ISNUMBER(AX128)),AX140/AX128-1,"")</f>
        <v/>
      </c>
      <c r="BB140" s="11" t="n">
        <v>102.5944</v>
      </c>
      <c r="BC140" s="12">
        <f>IF(COUNT(BB135:BB140)=6,(AVERAGE(BB138:BB140)/AVERAGE(BB135:BB137))^4-1,"")</f>
        <v/>
      </c>
    </row>
    <row r="141">
      <c r="A141" s="9" t="n">
        <v>46143</v>
      </c>
      <c r="B141" s="10" t="n">
        <v>103.45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103.2302</v>
      </c>
      <c r="G141" s="12">
        <f>IF(COUNT(F136:F141)=6,(AVERAGE(F139:F141)/AVERAGE(F136:F138))^4-1,"")</f>
        <v/>
      </c>
      <c r="H141" s="10" t="n">
        <v>103.8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103.2046</v>
      </c>
      <c r="M141" s="12">
        <f>IF(COUNT(L136:L141)=6,(AVERAGE(L139:L141)/AVERAGE(L136:L138))^4-1,"")</f>
        <v/>
      </c>
      <c r="N141" s="10" t="n">
        <v>103.54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102.93</v>
      </c>
      <c r="S141" s="12">
        <f>IF(COUNT(R136:R141)=6,(AVERAGE(R139:R141)/AVERAGE(R136:R138))^4-1,"")</f>
        <v/>
      </c>
      <c r="T141" s="10" t="n">
        <v>103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102.7493</v>
      </c>
      <c r="Y141" s="12">
        <f>IF(COUNT(X136:X141)=6,(AVERAGE(X139:X141)/AVERAGE(X136:X138))^4-1,"")</f>
        <v/>
      </c>
      <c r="Z141" s="10" t="n">
        <v>103.88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103.5964</v>
      </c>
      <c r="AE141" s="12">
        <f>IF(COUNT(AD136:AD141)=6,(AVERAGE(AD139:AD141)/AVERAGE(AD136:AD138))^4-1,"")</f>
        <v/>
      </c>
      <c r="AF141" s="10" t="n">
        <v>102.62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102.1373</v>
      </c>
      <c r="AK141" s="12">
        <f>IF(COUNT(AJ136:AJ141)=6,(AVERAGE(AJ139:AJ141)/AVERAGE(AJ136:AJ138))^4-1,"")</f>
        <v/>
      </c>
      <c r="AL141" s="10" t="n">
        <v>102.65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105.7569</v>
      </c>
      <c r="AQ141" s="12">
        <f>IF(COUNT(AP136:AP141)=6,(AVERAGE(AP139:AP141)/AVERAGE(AP136:AP138))^4-1,"")</f>
        <v/>
      </c>
      <c r="AR141" s="10" t="n">
        <v>106.14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106.5066</v>
      </c>
      <c r="AW141" s="12">
        <f>IF(COUNT(AV136:AV141)=6,(AVERAGE(AV139:AV141)/AVERAGE(AV136:AV138))^4-1,"")</f>
        <v/>
      </c>
      <c r="AX141" s="10" t="n">
        <v>102.951</v>
      </c>
      <c r="AY141" s="11">
        <f>IF(ISNUMBER(AX141),AX141/AX$65*100,"")</f>
        <v/>
      </c>
      <c r="AZ141" s="12">
        <f>IF(AND(ISNUMBER(AX141),ISNUMBER(AX140)),AX141/AX140-1,"")</f>
        <v/>
      </c>
      <c r="BA141" s="12">
        <f>IF(AND(ISNUMBER(AX141),ISNUMBER(AX129)),AX141/AX129-1,"")</f>
        <v/>
      </c>
      <c r="BB141" s="11" t="n">
        <v>102.9473</v>
      </c>
      <c r="BC141" s="12">
        <f>IF(COUNT(BB136:BB141)=6,(AVERAGE(BB139:BB141)/AVERAGE(BB136:BB138))^4-1,"")</f>
        <v/>
      </c>
    </row>
    <row r="142">
      <c r="A142" s="9" t="n">
        <v>46174</v>
      </c>
      <c r="B142" s="10" t="n">
        <v>104.08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103.4991</v>
      </c>
      <c r="G142" s="12">
        <f>IF(COUNT(F137:F142)=6,(AVERAGE(F140:F142)/AVERAGE(F137:F139))^4-1,"")</f>
        <v/>
      </c>
      <c r="H142" s="10" t="n">
        <v>104.35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103.3304</v>
      </c>
      <c r="M142" s="12">
        <f>IF(COUNT(L137:L142)=6,(AVERAGE(L140:L142)/AVERAGE(L137:L139))^4-1,"")</f>
        <v/>
      </c>
      <c r="N142" s="10" t="n">
        <v>103.97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103.0999</v>
      </c>
      <c r="S142" s="12">
        <f>IF(COUNT(R137:R142)=6,(AVERAGE(R140:R142)/AVERAGE(R137:R139))^4-1,"")</f>
        <v/>
      </c>
      <c r="T142" s="10" t="n">
        <v>103.4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103.015</v>
      </c>
      <c r="Y142" s="12">
        <f>IF(COUNT(X137:X142)=6,(AVERAGE(X140:X142)/AVERAGE(X137:X139))^4-1,"")</f>
        <v/>
      </c>
      <c r="Z142" s="10" t="n">
        <v>104.72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103.7949</v>
      </c>
      <c r="AE142" s="12">
        <f>IF(COUNT(AD137:AD142)=6,(AVERAGE(AD140:AD142)/AVERAGE(AD137:AD139))^4-1,"")</f>
        <v/>
      </c>
      <c r="AF142" s="10" t="n">
        <v>102.68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102.2406</v>
      </c>
      <c r="AK142" s="12">
        <f>IF(COUNT(AJ137:AJ142)=6,(AVERAGE(AJ140:AJ142)/AVERAGE(AJ137:AJ139))^4-1,"")</f>
        <v/>
      </c>
      <c r="AL142" s="10" t="n">
        <v>105.2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106.3897</v>
      </c>
      <c r="AQ142" s="12">
        <f>IF(COUNT(AP137:AP142)=6,(AVERAGE(AP140:AP142)/AVERAGE(AP137:AP139))^4-1,"")</f>
        <v/>
      </c>
      <c r="AR142" s="10" t="n">
        <v>104.6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105.5696</v>
      </c>
      <c r="AW142" s="12">
        <f>IF(COUNT(AV137:AV142)=6,(AVERAGE(AV140:AV142)/AVERAGE(AV137:AV139))^4-1,"")</f>
        <v/>
      </c>
      <c r="AX142" s="10" t="n">
        <v>103.598</v>
      </c>
      <c r="AY142" s="11">
        <f>IF(ISNUMBER(AX142),AX142/AX$65*100,"")</f>
        <v/>
      </c>
      <c r="AZ142" s="12">
        <f>IF(AND(ISNUMBER(AX142),ISNUMBER(AX141)),AX142/AX141-1,"")</f>
        <v/>
      </c>
      <c r="BA142" s="12">
        <f>IF(AND(ISNUMBER(AX142),ISNUMBER(AX130)),AX142/AX130-1,"")</f>
        <v/>
      </c>
      <c r="BB142" s="11" t="n">
        <v>103.1882</v>
      </c>
      <c r="BC142" s="12">
        <f>IF(COUNT(BB137:BB142)=6,(AVERAGE(BB140:BB142)/AVERAGE(BB137:BB139))^4-1,"")</f>
        <v/>
      </c>
    </row>
    <row r="143">
      <c r="A143" s="9" t="n">
        <v>46204</v>
      </c>
      <c r="B143" s="10" t="n">
        <v>104.06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103.9037</v>
      </c>
      <c r="G143" s="12">
        <f>IF(COUNT(F138:F143)=6,(AVERAGE(F141:F143)/AVERAGE(F138:F140))^4-1,"")</f>
        <v/>
      </c>
      <c r="H143" s="10" t="n">
        <v>103.85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103.5443</v>
      </c>
      <c r="M143" s="12">
        <f>IF(COUNT(L138:L143)=6,(AVERAGE(L141:L143)/AVERAGE(L138:L140))^4-1,"")</f>
        <v/>
      </c>
      <c r="N143" s="10" t="n">
        <v>103.45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103.3348</v>
      </c>
      <c r="S143" s="12">
        <f>IF(COUNT(R138:R143)=6,(AVERAGE(R141:R143)/AVERAGE(R138:R140))^4-1,"")</f>
        <v/>
      </c>
      <c r="T143" s="10" t="n">
        <v>102.59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103.4712</v>
      </c>
      <c r="Y143" s="12">
        <f>IF(COUNT(X138:X143)=6,(AVERAGE(X141:X143)/AVERAGE(X138:X140))^4-1,"")</f>
        <v/>
      </c>
      <c r="Z143" s="10" t="n">
        <v>105.45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104.1994</v>
      </c>
      <c r="AE143" s="12">
        <f>IF(COUNT(AD138:AD143)=6,(AVERAGE(AD141:AD143)/AVERAGE(AD138:AD140))^4-1,"")</f>
        <v/>
      </c>
      <c r="AF143" s="10" t="n">
        <v>102.06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102.2625</v>
      </c>
      <c r="AK143" s="12">
        <f>IF(COUNT(AJ138:AJ143)=6,(AVERAGE(AJ141:AJ143)/AVERAGE(AJ138:AJ140))^4-1,"")</f>
        <v/>
      </c>
      <c r="AL143" s="10" t="n">
        <v>110.29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109.7806</v>
      </c>
      <c r="AQ143" s="12">
        <f>IF(COUNT(AP138:AP143)=6,(AVERAGE(AP141:AP143)/AVERAGE(AP138:AP140))^4-1,"")</f>
        <v/>
      </c>
      <c r="AR143" s="10" t="n">
        <v>107.15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106.7984</v>
      </c>
      <c r="AW143" s="12">
        <f>IF(COUNT(AV138:AV143)=6,(AVERAGE(AV141:AV143)/AVERAGE(AV138:AV140))^4-1,"")</f>
        <v/>
      </c>
      <c r="AX143" s="10" t="n">
        <v>103.899</v>
      </c>
      <c r="AY143" s="11">
        <f>IF(ISNUMBER(AX143),AX143/AX$65*100,"")</f>
        <v/>
      </c>
      <c r="AZ143" s="12">
        <f>IF(AND(ISNUMBER(AX143),ISNUMBER(AX142)),AX143/AX142-1,"")</f>
        <v/>
      </c>
      <c r="BA143" s="12">
        <f>IF(AND(ISNUMBER(AX143),ISNUMBER(AX131)),AX143/AX131-1,"")</f>
        <v/>
      </c>
      <c r="BB143" s="11" t="n">
        <v>103.6365</v>
      </c>
      <c r="BC143" s="12">
        <f>IF(COUNT(BB138:BB143)=6,(AVERAGE(BB141:BB143)/AVERAGE(BB138:BB140))^4-1,"")</f>
        <v/>
      </c>
    </row>
    <row r="144">
      <c r="A144" s="9" t="n">
        <v>46235</v>
      </c>
      <c r="B144" s="10" t="n">
        <v>104.74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104.518</v>
      </c>
      <c r="G144" s="12">
        <f>IF(COUNT(F139:F144)=6,(AVERAGE(F142:F144)/AVERAGE(F139:F141))^4-1,"")</f>
        <v/>
      </c>
      <c r="H144" s="10" t="n">
        <v>104.07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103.7656</v>
      </c>
      <c r="M144" s="12">
        <f>IF(COUNT(L139:L144)=6,(AVERAGE(L142:L144)/AVERAGE(L139:L141))^4-1,"")</f>
        <v/>
      </c>
      <c r="N144" s="10" t="n">
        <v>103.59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103.6131</v>
      </c>
      <c r="S144" s="12">
        <f>IF(COUNT(R139:R144)=6,(AVERAGE(R142:R144)/AVERAGE(R139:R141))^4-1,"")</f>
        <v/>
      </c>
      <c r="T144" s="10" t="n">
        <v>103.59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104.4755</v>
      </c>
      <c r="Y144" s="12">
        <f>IF(COUNT(X139:X144)=6,(AVERAGE(X142:X144)/AVERAGE(X139:X141))^4-1,"")</f>
        <v/>
      </c>
      <c r="Z144" s="10" t="n">
        <v>105.84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104.4701</v>
      </c>
      <c r="AE144" s="12">
        <f>IF(COUNT(AD139:AD144)=6,(AVERAGE(AD142:AD144)/AVERAGE(AD139:AD141))^4-1,"")</f>
        <v/>
      </c>
      <c r="AF144" s="10" t="n">
        <v>101.94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102.8249</v>
      </c>
      <c r="AK144" s="12">
        <f>IF(COUNT(AJ139:AJ144)=6,(AVERAGE(AJ142:AJ144)/AVERAGE(AJ139:AJ141))^4-1,"")</f>
        <v/>
      </c>
      <c r="AL144" s="10" t="n">
        <v>116.56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115.6401</v>
      </c>
      <c r="AQ144" s="12">
        <f>IF(COUNT(AP139:AP144)=6,(AVERAGE(AP142:AP144)/AVERAGE(AP139:AP141))^4-1,"")</f>
        <v/>
      </c>
      <c r="AR144" s="10" t="n">
        <v>110.95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108.8868</v>
      </c>
      <c r="AW144" s="12">
        <f>IF(COUNT(AV139:AV144)=6,(AVERAGE(AV142:AV144)/AVERAGE(AV139:AV141))^4-1,"")</f>
        <v/>
      </c>
      <c r="AX144" s="10" t="n">
        <v>104.638</v>
      </c>
      <c r="AY144" s="11">
        <f>IF(ISNUMBER(AX144),AX144/AX$65*100,"")</f>
        <v/>
      </c>
      <c r="AZ144" s="12">
        <f>IF(AND(ISNUMBER(AX144),ISNUMBER(AX143)),AX144/AX143-1,"")</f>
        <v/>
      </c>
      <c r="BA144" s="12">
        <f>IF(AND(ISNUMBER(AX144),ISNUMBER(AX132)),AX144/AX132-1,"")</f>
        <v/>
      </c>
      <c r="BB144" s="11" t="n">
        <v>104.2928</v>
      </c>
      <c r="BC144" s="12">
        <f>IF(COUNT(BB139:BB144)=6,(AVERAGE(BB142:BB144)/AVERAGE(BB139:BB141))^4-1,"")</f>
        <v/>
      </c>
    </row>
    <row r="145">
      <c r="A145" s="9" t="n">
        <v>46266</v>
      </c>
      <c r="B145" s="10" t="n">
        <v>105.4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105.2414</v>
      </c>
      <c r="G145" s="12">
        <f>IF(COUNT(F140:F145)=6,(AVERAGE(F143:F145)/AVERAGE(F140:F142))^4-1,"")</f>
        <v/>
      </c>
      <c r="H145" s="10" t="n">
        <v>104.34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104.0241</v>
      </c>
      <c r="M145" s="12">
        <f>IF(COUNT(L140:L145)=6,(AVERAGE(L143:L145)/AVERAGE(L140:L142))^4-1,"")</f>
        <v/>
      </c>
      <c r="N145" s="10" t="n">
        <v>103.85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103.9072</v>
      </c>
      <c r="S145" s="12">
        <f>IF(COUNT(R140:R145)=6,(AVERAGE(R143:R145)/AVERAGE(R140:R142))^4-1,"")</f>
        <v/>
      </c>
      <c r="T145" s="10" t="n">
        <v>105.64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106.417</v>
      </c>
      <c r="Y145" s="12">
        <f>IF(COUNT(X140:X145)=6,(AVERAGE(X143:X145)/AVERAGE(X140:X142))^4-1,"")</f>
        <v/>
      </c>
      <c r="Z145" s="10" t="n">
        <v>105.17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104.9245</v>
      </c>
      <c r="AE145" s="12">
        <f>IF(COUNT(AD140:AD145)=6,(AVERAGE(AD143:AD145)/AVERAGE(AD140:AD142))^4-1,"")</f>
        <v/>
      </c>
      <c r="AF145" s="10" t="n">
        <v>102.16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103.3031</v>
      </c>
      <c r="AK145" s="12">
        <f>IF(COUNT(AJ140:AJ145)=6,(AVERAGE(AJ143:AJ145)/AVERAGE(AJ140:AJ142))^4-1,"")</f>
        <v/>
      </c>
      <c r="AL145" s="10" t="n">
        <v>121.27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111.2703</v>
      </c>
      <c r="AQ145" s="12">
        <f>IF(COUNT(AP140:AP145)=6,(AVERAGE(AP143:AP145)/AVERAGE(AP140:AP142))^4-1,"")</f>
        <v/>
      </c>
      <c r="AR145" s="10" t="n">
        <v>111.37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111.1559</v>
      </c>
      <c r="AW145" s="12">
        <f>IF(COUNT(AV140:AV145)=6,(AVERAGE(AV143:AV145)/AVERAGE(AV140:AV142))^4-1,"")</f>
        <v/>
      </c>
      <c r="AX145" s="10" t="n">
        <v>104.978</v>
      </c>
      <c r="AY145" s="11">
        <f>IF(ISNUMBER(AX145),AX145/AX$65*100,"")</f>
        <v/>
      </c>
      <c r="AZ145" s="12">
        <f>IF(AND(ISNUMBER(AX145),ISNUMBER(AX144)),AX145/AX144-1,"")</f>
        <v/>
      </c>
      <c r="BA145" s="12">
        <f>IF(AND(ISNUMBER(AX145),ISNUMBER(AX133)),AX145/AX133-1,"")</f>
        <v/>
      </c>
      <c r="BB145" s="11" t="n">
        <v>104.129</v>
      </c>
      <c r="BC145" s="12">
        <f>IF(COUNT(BB140:BB145)=6,(AVERAGE(BB143:BB145)/AVERAGE(BB140:BB142))^4-1,"")</f>
        <v/>
      </c>
    </row>
  </sheetData>
  <mergeCells count="9">
    <mergeCell ref="B3:G3"/>
    <mergeCell ref="AX3:BC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Potere d'acquisto contro gennaio 2020 e gennaio 2024</t>
        </is>
      </c>
    </row>
    <row r="2">
      <c r="A2" s="4" t="inlineStr">
        <is>
          <t>Prezzi = aumento dell'indice; Potere = variazione del potere d'acquisto; 100 euro = valore oggi di 100 euro della data base. Formule sui fogli area.</t>
        </is>
      </c>
    </row>
    <row r="4">
      <c r="A4" s="5" t="inlineStr">
        <is>
          <t>Area</t>
        </is>
      </c>
      <c r="B4" s="5" t="inlineStr">
        <is>
          <t>Misura</t>
        </is>
      </c>
      <c r="C4" s="5" t="inlineStr">
        <is>
          <t>Prezzi da gen20</t>
        </is>
      </c>
      <c r="D4" s="5" t="inlineStr">
        <is>
          <t>Potere da gen20</t>
        </is>
      </c>
      <c r="E4" s="5" t="inlineStr">
        <is>
          <t>100 euro gen20</t>
        </is>
      </c>
      <c r="F4" s="5" t="inlineStr">
        <is>
          <t>Prezzi da gen24</t>
        </is>
      </c>
      <c r="G4" s="5" t="inlineStr">
        <is>
          <t>Potere da gen24</t>
        </is>
      </c>
      <c r="H4" s="5" t="inlineStr">
        <is>
          <t>100 euro gen24</t>
        </is>
      </c>
    </row>
    <row r="5">
      <c r="A5" s="3" t="inlineStr">
        <is>
          <t>Area euro</t>
        </is>
      </c>
      <c r="B5" s="3" t="inlineStr">
        <is>
          <t>HICP generale</t>
        </is>
      </c>
      <c r="C5" s="8">
        <f>'EA'!B145/'EA'!B65-1</f>
        <v/>
      </c>
      <c r="D5" s="8">
        <f>'EA'!B65/'EA'!B145-1</f>
        <v/>
      </c>
      <c r="E5" s="7">
        <f>100*'EA'!B65/'EA'!B145</f>
        <v/>
      </c>
      <c r="F5" s="8">
        <f>'EA'!B145/'EA'!B113-1</f>
        <v/>
      </c>
      <c r="G5" s="8">
        <f>'EA'!B113/'EA'!B145-1</f>
        <v/>
      </c>
      <c r="H5" s="7">
        <f>100*'EA'!B113/'EA'!B145</f>
        <v/>
      </c>
    </row>
    <row r="6">
      <c r="A6" s="3" t="inlineStr">
        <is>
          <t>Area euro</t>
        </is>
      </c>
      <c r="B6" s="3" t="inlineStr">
        <is>
          <t>Core (escl. energia, alimentari, alcol e tabacchi)</t>
        </is>
      </c>
      <c r="C6" s="8">
        <f>'EA'!H145/'EA'!H65-1</f>
        <v/>
      </c>
      <c r="D6" s="8">
        <f>'EA'!H65/'EA'!H145-1</f>
        <v/>
      </c>
      <c r="E6" s="7">
        <f>100*'EA'!H65/'EA'!H145</f>
        <v/>
      </c>
      <c r="F6" s="8">
        <f>'EA'!H145/'EA'!H113-1</f>
        <v/>
      </c>
      <c r="G6" s="8">
        <f>'EA'!H113/'EA'!H145-1</f>
        <v/>
      </c>
      <c r="H6" s="7">
        <f>100*'EA'!H113/'EA'!H145</f>
        <v/>
      </c>
    </row>
    <row r="7">
      <c r="A7" s="3" t="inlineStr">
        <is>
          <t>Area euro</t>
        </is>
      </c>
      <c r="B7" s="3" t="inlineStr">
        <is>
          <t>Al netto degli energetici</t>
        </is>
      </c>
      <c r="C7" s="8">
        <f>'EA'!N145/'EA'!N65-1</f>
        <v/>
      </c>
      <c r="D7" s="8">
        <f>'EA'!N65/'EA'!N145-1</f>
        <v/>
      </c>
      <c r="E7" s="7">
        <f>100*'EA'!N65/'EA'!N145</f>
        <v/>
      </c>
      <c r="F7" s="8">
        <f>'EA'!N145/'EA'!N113-1</f>
        <v/>
      </c>
      <c r="G7" s="8">
        <f>'EA'!N113/'EA'!N145-1</f>
        <v/>
      </c>
      <c r="H7" s="7">
        <f>100*'EA'!N113/'EA'!N145</f>
        <v/>
      </c>
    </row>
    <row r="8">
      <c r="A8" s="3" t="inlineStr">
        <is>
          <t>Area euro</t>
        </is>
      </c>
      <c r="B8" s="3" t="inlineStr">
        <is>
          <t>Beni</t>
        </is>
      </c>
      <c r="C8" s="8">
        <f>'EA'!T145/'EA'!T65-1</f>
        <v/>
      </c>
      <c r="D8" s="8">
        <f>'EA'!T65/'EA'!T145-1</f>
        <v/>
      </c>
      <c r="E8" s="7">
        <f>100*'EA'!T65/'EA'!T145</f>
        <v/>
      </c>
      <c r="F8" s="8">
        <f>'EA'!T145/'EA'!T113-1</f>
        <v/>
      </c>
      <c r="G8" s="8">
        <f>'EA'!T113/'EA'!T145-1</f>
        <v/>
      </c>
      <c r="H8" s="7">
        <f>100*'EA'!T113/'EA'!T145</f>
        <v/>
      </c>
    </row>
    <row r="9">
      <c r="A9" s="3" t="inlineStr">
        <is>
          <t>Area euro</t>
        </is>
      </c>
      <c r="B9" s="3" t="inlineStr">
        <is>
          <t>Servizi</t>
        </is>
      </c>
      <c r="C9" s="8">
        <f>'EA'!Z145/'EA'!Z65-1</f>
        <v/>
      </c>
      <c r="D9" s="8">
        <f>'EA'!Z65/'EA'!Z145-1</f>
        <v/>
      </c>
      <c r="E9" s="7">
        <f>100*'EA'!Z65/'EA'!Z145</f>
        <v/>
      </c>
      <c r="F9" s="8">
        <f>'EA'!Z145/'EA'!Z113-1</f>
        <v/>
      </c>
      <c r="G9" s="8">
        <f>'EA'!Z113/'EA'!Z145-1</f>
        <v/>
      </c>
      <c r="H9" s="7">
        <f>100*'EA'!Z113/'EA'!Z145</f>
        <v/>
      </c>
    </row>
    <row r="10">
      <c r="A10" s="3" t="inlineStr">
        <is>
          <t>Area euro</t>
        </is>
      </c>
      <c r="B10" s="3" t="inlineStr">
        <is>
          <t>Alimentari (incl. alcol e tabacchi)</t>
        </is>
      </c>
      <c r="C10" s="8">
        <f>'EA'!AF145/'EA'!AF65-1</f>
        <v/>
      </c>
      <c r="D10" s="8">
        <f>'EA'!AF65/'EA'!AF145-1</f>
        <v/>
      </c>
      <c r="E10" s="7">
        <f>100*'EA'!AF65/'EA'!AF145</f>
        <v/>
      </c>
      <c r="F10" s="8">
        <f>'EA'!AF145/'EA'!AF113-1</f>
        <v/>
      </c>
      <c r="G10" s="8">
        <f>'EA'!AF113/'EA'!AF145-1</f>
        <v/>
      </c>
      <c r="H10" s="7">
        <f>100*'EA'!AF113/'EA'!AF145</f>
        <v/>
      </c>
    </row>
    <row r="11">
      <c r="A11" s="3" t="inlineStr">
        <is>
          <t>Area euro</t>
        </is>
      </c>
      <c r="B11" s="3" t="inlineStr">
        <is>
          <t>Energia</t>
        </is>
      </c>
      <c r="C11" s="8">
        <f>'EA'!AL145/'EA'!AL65-1</f>
        <v/>
      </c>
      <c r="D11" s="8">
        <f>'EA'!AL65/'EA'!AL145-1</f>
        <v/>
      </c>
      <c r="E11" s="7">
        <f>100*'EA'!AL65/'EA'!AL145</f>
        <v/>
      </c>
      <c r="F11" s="8">
        <f>'EA'!AL145/'EA'!AL113-1</f>
        <v/>
      </c>
      <c r="G11" s="8">
        <f>'EA'!AL113/'EA'!AL145-1</f>
        <v/>
      </c>
      <c r="H11" s="7">
        <f>100*'EA'!AL113/'EA'!AL145</f>
        <v/>
      </c>
    </row>
    <row r="12">
      <c r="A12" s="3" t="inlineStr">
        <is>
          <t>Area euro</t>
        </is>
      </c>
      <c r="B12" s="3" t="inlineStr">
        <is>
          <t>Trasporti</t>
        </is>
      </c>
      <c r="C12" s="8">
        <f>'EA'!AR145/'EA'!AR65-1</f>
        <v/>
      </c>
      <c r="D12" s="8">
        <f>'EA'!AR65/'EA'!AR145-1</f>
        <v/>
      </c>
      <c r="E12" s="7">
        <f>100*'EA'!AR65/'EA'!AR145</f>
        <v/>
      </c>
      <c r="F12" s="8">
        <f>'EA'!AR145/'EA'!AR113-1</f>
        <v/>
      </c>
      <c r="G12" s="8">
        <f>'EA'!AR113/'EA'!AR145-1</f>
        <v/>
      </c>
      <c r="H12" s="7">
        <f>100*'EA'!AR113/'EA'!AR145</f>
        <v/>
      </c>
    </row>
    <row r="13">
      <c r="A13" s="3" t="inlineStr">
        <is>
          <t>Italia</t>
        </is>
      </c>
      <c r="B13" s="3" t="inlineStr">
        <is>
          <t>HICP generale</t>
        </is>
      </c>
      <c r="C13" s="8">
        <f>'IT'!B145/'IT'!B65-1</f>
        <v/>
      </c>
      <c r="D13" s="8">
        <f>'IT'!B65/'IT'!B145-1</f>
        <v/>
      </c>
      <c r="E13" s="7">
        <f>100*'IT'!B65/'IT'!B145</f>
        <v/>
      </c>
      <c r="F13" s="8">
        <f>'IT'!B145/'IT'!B113-1</f>
        <v/>
      </c>
      <c r="G13" s="8">
        <f>'IT'!B113/'IT'!B145-1</f>
        <v/>
      </c>
      <c r="H13" s="7">
        <f>100*'IT'!B113/'IT'!B145</f>
        <v/>
      </c>
    </row>
    <row r="14">
      <c r="A14" s="3" t="inlineStr">
        <is>
          <t>Italia</t>
        </is>
      </c>
      <c r="B14" s="3" t="inlineStr">
        <is>
          <t>Core (escl. energia, alimentari, alcol e tabacchi)</t>
        </is>
      </c>
      <c r="C14" s="8">
        <f>'IT'!H145/'IT'!H65-1</f>
        <v/>
      </c>
      <c r="D14" s="8">
        <f>'IT'!H65/'IT'!H145-1</f>
        <v/>
      </c>
      <c r="E14" s="7">
        <f>100*'IT'!H65/'IT'!H145</f>
        <v/>
      </c>
      <c r="F14" s="8">
        <f>'IT'!H145/'IT'!H113-1</f>
        <v/>
      </c>
      <c r="G14" s="8">
        <f>'IT'!H113/'IT'!H145-1</f>
        <v/>
      </c>
      <c r="H14" s="7">
        <f>100*'IT'!H113/'IT'!H145</f>
        <v/>
      </c>
    </row>
    <row r="15">
      <c r="A15" s="3" t="inlineStr">
        <is>
          <t>Italia</t>
        </is>
      </c>
      <c r="B15" s="3" t="inlineStr">
        <is>
          <t>Al netto degli energetici</t>
        </is>
      </c>
      <c r="C15" s="8">
        <f>'IT'!N145/'IT'!N65-1</f>
        <v/>
      </c>
      <c r="D15" s="8">
        <f>'IT'!N65/'IT'!N145-1</f>
        <v/>
      </c>
      <c r="E15" s="7">
        <f>100*'IT'!N65/'IT'!N145</f>
        <v/>
      </c>
      <c r="F15" s="8">
        <f>'IT'!N145/'IT'!N113-1</f>
        <v/>
      </c>
      <c r="G15" s="8">
        <f>'IT'!N113/'IT'!N145-1</f>
        <v/>
      </c>
      <c r="H15" s="7">
        <f>100*'IT'!N113/'IT'!N145</f>
        <v/>
      </c>
    </row>
    <row r="16">
      <c r="A16" s="3" t="inlineStr">
        <is>
          <t>Italia</t>
        </is>
      </c>
      <c r="B16" s="3" t="inlineStr">
        <is>
          <t>Beni</t>
        </is>
      </c>
      <c r="C16" s="8">
        <f>'IT'!T145/'IT'!T65-1</f>
        <v/>
      </c>
      <c r="D16" s="8">
        <f>'IT'!T65/'IT'!T145-1</f>
        <v/>
      </c>
      <c r="E16" s="7">
        <f>100*'IT'!T65/'IT'!T145</f>
        <v/>
      </c>
      <c r="F16" s="8">
        <f>'IT'!T145/'IT'!T113-1</f>
        <v/>
      </c>
      <c r="G16" s="8">
        <f>'IT'!T113/'IT'!T145-1</f>
        <v/>
      </c>
      <c r="H16" s="7">
        <f>100*'IT'!T113/'IT'!T145</f>
        <v/>
      </c>
    </row>
    <row r="17">
      <c r="A17" s="3" t="inlineStr">
        <is>
          <t>Italia</t>
        </is>
      </c>
      <c r="B17" s="3" t="inlineStr">
        <is>
          <t>Servizi</t>
        </is>
      </c>
      <c r="C17" s="8">
        <f>'IT'!Z145/'IT'!Z65-1</f>
        <v/>
      </c>
      <c r="D17" s="8">
        <f>'IT'!Z65/'IT'!Z145-1</f>
        <v/>
      </c>
      <c r="E17" s="7">
        <f>100*'IT'!Z65/'IT'!Z145</f>
        <v/>
      </c>
      <c r="F17" s="8">
        <f>'IT'!Z145/'IT'!Z113-1</f>
        <v/>
      </c>
      <c r="G17" s="8">
        <f>'IT'!Z113/'IT'!Z145-1</f>
        <v/>
      </c>
      <c r="H17" s="7">
        <f>100*'IT'!Z113/'IT'!Z145</f>
        <v/>
      </c>
    </row>
    <row r="18">
      <c r="A18" s="3" t="inlineStr">
        <is>
          <t>Italia</t>
        </is>
      </c>
      <c r="B18" s="3" t="inlineStr">
        <is>
          <t>Alimentari (incl. alcol e tabacchi)</t>
        </is>
      </c>
      <c r="C18" s="8">
        <f>'IT'!AF145/'IT'!AF65-1</f>
        <v/>
      </c>
      <c r="D18" s="8">
        <f>'IT'!AF65/'IT'!AF145-1</f>
        <v/>
      </c>
      <c r="E18" s="7">
        <f>100*'IT'!AF65/'IT'!AF145</f>
        <v/>
      </c>
      <c r="F18" s="8">
        <f>'IT'!AF145/'IT'!AF113-1</f>
        <v/>
      </c>
      <c r="G18" s="8">
        <f>'IT'!AF113/'IT'!AF145-1</f>
        <v/>
      </c>
      <c r="H18" s="7">
        <f>100*'IT'!AF113/'IT'!AF145</f>
        <v/>
      </c>
    </row>
    <row r="19">
      <c r="A19" s="3" t="inlineStr">
        <is>
          <t>Italia</t>
        </is>
      </c>
      <c r="B19" s="3" t="inlineStr">
        <is>
          <t>Energia</t>
        </is>
      </c>
      <c r="C19" s="8">
        <f>'IT'!AL145/'IT'!AL65-1</f>
        <v/>
      </c>
      <c r="D19" s="8">
        <f>'IT'!AL65/'IT'!AL145-1</f>
        <v/>
      </c>
      <c r="E19" s="7">
        <f>100*'IT'!AL65/'IT'!AL145</f>
        <v/>
      </c>
      <c r="F19" s="8">
        <f>'IT'!AL145/'IT'!AL113-1</f>
        <v/>
      </c>
      <c r="G19" s="8">
        <f>'IT'!AL113/'IT'!AL145-1</f>
        <v/>
      </c>
      <c r="H19" s="7">
        <f>100*'IT'!AL113/'IT'!AL145</f>
        <v/>
      </c>
    </row>
    <row r="20">
      <c r="A20" s="3" t="inlineStr">
        <is>
          <t>Italia</t>
        </is>
      </c>
      <c r="B20" s="3" t="inlineStr">
        <is>
          <t>Trasporti</t>
        </is>
      </c>
      <c r="C20" s="8">
        <f>'IT'!AR145/'IT'!AR65-1</f>
        <v/>
      </c>
      <c r="D20" s="8">
        <f>'IT'!AR65/'IT'!AR145-1</f>
        <v/>
      </c>
      <c r="E20" s="7">
        <f>100*'IT'!AR65/'IT'!AR145</f>
        <v/>
      </c>
      <c r="F20" s="8">
        <f>'IT'!AR145/'IT'!AR113-1</f>
        <v/>
      </c>
      <c r="G20" s="8">
        <f>'IT'!AR113/'IT'!AR145-1</f>
        <v/>
      </c>
      <c r="H20" s="7">
        <f>100*'IT'!AR113/'IT'!AR145</f>
        <v/>
      </c>
    </row>
    <row r="21">
      <c r="A21" s="3" t="inlineStr">
        <is>
          <t>Germania</t>
        </is>
      </c>
      <c r="B21" s="3" t="inlineStr">
        <is>
          <t>HICP generale</t>
        </is>
      </c>
      <c r="C21" s="8">
        <f>'DE'!B145/'DE'!B65-1</f>
        <v/>
      </c>
      <c r="D21" s="8">
        <f>'DE'!B65/'DE'!B145-1</f>
        <v/>
      </c>
      <c r="E21" s="7">
        <f>100*'DE'!B65/'DE'!B145</f>
        <v/>
      </c>
      <c r="F21" s="8">
        <f>'DE'!B145/'DE'!B113-1</f>
        <v/>
      </c>
      <c r="G21" s="8">
        <f>'DE'!B113/'DE'!B145-1</f>
        <v/>
      </c>
      <c r="H21" s="7">
        <f>100*'DE'!B113/'DE'!B145</f>
        <v/>
      </c>
    </row>
    <row r="22">
      <c r="A22" s="3" t="inlineStr">
        <is>
          <t>Germania</t>
        </is>
      </c>
      <c r="B22" s="3" t="inlineStr">
        <is>
          <t>Core (escl. energia, alimentari, alcol e tabacchi)</t>
        </is>
      </c>
      <c r="C22" s="8">
        <f>'DE'!H145/'DE'!H65-1</f>
        <v/>
      </c>
      <c r="D22" s="8">
        <f>'DE'!H65/'DE'!H145-1</f>
        <v/>
      </c>
      <c r="E22" s="7">
        <f>100*'DE'!H65/'DE'!H145</f>
        <v/>
      </c>
      <c r="F22" s="8">
        <f>'DE'!H145/'DE'!H113-1</f>
        <v/>
      </c>
      <c r="G22" s="8">
        <f>'DE'!H113/'DE'!H145-1</f>
        <v/>
      </c>
      <c r="H22" s="7">
        <f>100*'DE'!H113/'DE'!H145</f>
        <v/>
      </c>
    </row>
    <row r="23">
      <c r="A23" s="3" t="inlineStr">
        <is>
          <t>Germania</t>
        </is>
      </c>
      <c r="B23" s="3" t="inlineStr">
        <is>
          <t>Al netto degli energetici</t>
        </is>
      </c>
      <c r="C23" s="8">
        <f>'DE'!N145/'DE'!N65-1</f>
        <v/>
      </c>
      <c r="D23" s="8">
        <f>'DE'!N65/'DE'!N145-1</f>
        <v/>
      </c>
      <c r="E23" s="7">
        <f>100*'DE'!N65/'DE'!N145</f>
        <v/>
      </c>
      <c r="F23" s="8">
        <f>'DE'!N145/'DE'!N113-1</f>
        <v/>
      </c>
      <c r="G23" s="8">
        <f>'DE'!N113/'DE'!N145-1</f>
        <v/>
      </c>
      <c r="H23" s="7">
        <f>100*'DE'!N113/'DE'!N145</f>
        <v/>
      </c>
    </row>
    <row r="24">
      <c r="A24" s="3" t="inlineStr">
        <is>
          <t>Germania</t>
        </is>
      </c>
      <c r="B24" s="3" t="inlineStr">
        <is>
          <t>Beni</t>
        </is>
      </c>
      <c r="C24" s="8">
        <f>'DE'!T145/'DE'!T65-1</f>
        <v/>
      </c>
      <c r="D24" s="8">
        <f>'DE'!T65/'DE'!T145-1</f>
        <v/>
      </c>
      <c r="E24" s="7">
        <f>100*'DE'!T65/'DE'!T145</f>
        <v/>
      </c>
      <c r="F24" s="8">
        <f>'DE'!T145/'DE'!T113-1</f>
        <v/>
      </c>
      <c r="G24" s="8">
        <f>'DE'!T113/'DE'!T145-1</f>
        <v/>
      </c>
      <c r="H24" s="7">
        <f>100*'DE'!T113/'DE'!T145</f>
        <v/>
      </c>
    </row>
    <row r="25">
      <c r="A25" s="3" t="inlineStr">
        <is>
          <t>Germania</t>
        </is>
      </c>
      <c r="B25" s="3" t="inlineStr">
        <is>
          <t>Servizi</t>
        </is>
      </c>
      <c r="C25" s="8">
        <f>'DE'!Z145/'DE'!Z65-1</f>
        <v/>
      </c>
      <c r="D25" s="8">
        <f>'DE'!Z65/'DE'!Z145-1</f>
        <v/>
      </c>
      <c r="E25" s="7">
        <f>100*'DE'!Z65/'DE'!Z145</f>
        <v/>
      </c>
      <c r="F25" s="8">
        <f>'DE'!Z145/'DE'!Z113-1</f>
        <v/>
      </c>
      <c r="G25" s="8">
        <f>'DE'!Z113/'DE'!Z145-1</f>
        <v/>
      </c>
      <c r="H25" s="7">
        <f>100*'DE'!Z113/'DE'!Z145</f>
        <v/>
      </c>
    </row>
    <row r="26">
      <c r="A26" s="3" t="inlineStr">
        <is>
          <t>Germania</t>
        </is>
      </c>
      <c r="B26" s="3" t="inlineStr">
        <is>
          <t>Alimentari (incl. alcol e tabacchi)</t>
        </is>
      </c>
      <c r="C26" s="8">
        <f>'DE'!AF145/'DE'!AF65-1</f>
        <v/>
      </c>
      <c r="D26" s="8">
        <f>'DE'!AF65/'DE'!AF145-1</f>
        <v/>
      </c>
      <c r="E26" s="7">
        <f>100*'DE'!AF65/'DE'!AF145</f>
        <v/>
      </c>
      <c r="F26" s="8">
        <f>'DE'!AF145/'DE'!AF113-1</f>
        <v/>
      </c>
      <c r="G26" s="8">
        <f>'DE'!AF113/'DE'!AF145-1</f>
        <v/>
      </c>
      <c r="H26" s="7">
        <f>100*'DE'!AF113/'DE'!AF145</f>
        <v/>
      </c>
    </row>
    <row r="27">
      <c r="A27" s="3" t="inlineStr">
        <is>
          <t>Germania</t>
        </is>
      </c>
      <c r="B27" s="3" t="inlineStr">
        <is>
          <t>Energia</t>
        </is>
      </c>
      <c r="C27" s="8">
        <f>'DE'!AL145/'DE'!AL65-1</f>
        <v/>
      </c>
      <c r="D27" s="8">
        <f>'DE'!AL65/'DE'!AL145-1</f>
        <v/>
      </c>
      <c r="E27" s="7">
        <f>100*'DE'!AL65/'DE'!AL145</f>
        <v/>
      </c>
      <c r="F27" s="8">
        <f>'DE'!AL145/'DE'!AL113-1</f>
        <v/>
      </c>
      <c r="G27" s="8">
        <f>'DE'!AL113/'DE'!AL145-1</f>
        <v/>
      </c>
      <c r="H27" s="7">
        <f>100*'DE'!AL113/'DE'!AL145</f>
        <v/>
      </c>
    </row>
    <row r="28">
      <c r="A28" s="3" t="inlineStr">
        <is>
          <t>Germania</t>
        </is>
      </c>
      <c r="B28" s="3" t="inlineStr">
        <is>
          <t>Trasporti</t>
        </is>
      </c>
      <c r="C28" s="8">
        <f>'DE'!AR145/'DE'!AR65-1</f>
        <v/>
      </c>
      <c r="D28" s="8">
        <f>'DE'!AR65/'DE'!AR145-1</f>
        <v/>
      </c>
      <c r="E28" s="7">
        <f>100*'DE'!AR65/'DE'!AR145</f>
        <v/>
      </c>
      <c r="F28" s="8">
        <f>'DE'!AR145/'DE'!AR113-1</f>
        <v/>
      </c>
      <c r="G28" s="8">
        <f>'DE'!AR113/'DE'!AR145-1</f>
        <v/>
      </c>
      <c r="H28" s="7">
        <f>100*'DE'!AR113/'DE'!AR145</f>
        <v/>
      </c>
    </row>
    <row r="29">
      <c r="A29" s="3" t="inlineStr">
        <is>
          <t>Francia</t>
        </is>
      </c>
      <c r="B29" s="3" t="inlineStr">
        <is>
          <t>HICP generale</t>
        </is>
      </c>
      <c r="C29" s="8">
        <f>'FR'!B145/'FR'!B65-1</f>
        <v/>
      </c>
      <c r="D29" s="8">
        <f>'FR'!B65/'FR'!B145-1</f>
        <v/>
      </c>
      <c r="E29" s="7">
        <f>100*'FR'!B65/'FR'!B145</f>
        <v/>
      </c>
      <c r="F29" s="8">
        <f>'FR'!B145/'FR'!B113-1</f>
        <v/>
      </c>
      <c r="G29" s="8">
        <f>'FR'!B113/'FR'!B145-1</f>
        <v/>
      </c>
      <c r="H29" s="7">
        <f>100*'FR'!B113/'FR'!B145</f>
        <v/>
      </c>
    </row>
    <row r="30">
      <c r="A30" s="3" t="inlineStr">
        <is>
          <t>Francia</t>
        </is>
      </c>
      <c r="B30" s="3" t="inlineStr">
        <is>
          <t>Core (escl. energia, alimentari, alcol e tabacchi)</t>
        </is>
      </c>
      <c r="C30" s="8">
        <f>'FR'!H145/'FR'!H65-1</f>
        <v/>
      </c>
      <c r="D30" s="8">
        <f>'FR'!H65/'FR'!H145-1</f>
        <v/>
      </c>
      <c r="E30" s="7">
        <f>100*'FR'!H65/'FR'!H145</f>
        <v/>
      </c>
      <c r="F30" s="8">
        <f>'FR'!H145/'FR'!H113-1</f>
        <v/>
      </c>
      <c r="G30" s="8">
        <f>'FR'!H113/'FR'!H145-1</f>
        <v/>
      </c>
      <c r="H30" s="7">
        <f>100*'FR'!H113/'FR'!H145</f>
        <v/>
      </c>
    </row>
    <row r="31">
      <c r="A31" s="3" t="inlineStr">
        <is>
          <t>Francia</t>
        </is>
      </c>
      <c r="B31" s="3" t="inlineStr">
        <is>
          <t>Al netto degli energetici</t>
        </is>
      </c>
      <c r="C31" s="8">
        <f>'FR'!N145/'FR'!N65-1</f>
        <v/>
      </c>
      <c r="D31" s="8">
        <f>'FR'!N65/'FR'!N145-1</f>
        <v/>
      </c>
      <c r="E31" s="7">
        <f>100*'FR'!N65/'FR'!N145</f>
        <v/>
      </c>
      <c r="F31" s="8">
        <f>'FR'!N145/'FR'!N113-1</f>
        <v/>
      </c>
      <c r="G31" s="8">
        <f>'FR'!N113/'FR'!N145-1</f>
        <v/>
      </c>
      <c r="H31" s="7">
        <f>100*'FR'!N113/'FR'!N145</f>
        <v/>
      </c>
    </row>
    <row r="32">
      <c r="A32" s="3" t="inlineStr">
        <is>
          <t>Francia</t>
        </is>
      </c>
      <c r="B32" s="3" t="inlineStr">
        <is>
          <t>Beni</t>
        </is>
      </c>
      <c r="C32" s="8">
        <f>'FR'!T145/'FR'!T65-1</f>
        <v/>
      </c>
      <c r="D32" s="8">
        <f>'FR'!T65/'FR'!T145-1</f>
        <v/>
      </c>
      <c r="E32" s="7">
        <f>100*'FR'!T65/'FR'!T145</f>
        <v/>
      </c>
      <c r="F32" s="8">
        <f>'FR'!T145/'FR'!T113-1</f>
        <v/>
      </c>
      <c r="G32" s="8">
        <f>'FR'!T113/'FR'!T145-1</f>
        <v/>
      </c>
      <c r="H32" s="7">
        <f>100*'FR'!T113/'FR'!T145</f>
        <v/>
      </c>
    </row>
    <row r="33">
      <c r="A33" s="3" t="inlineStr">
        <is>
          <t>Francia</t>
        </is>
      </c>
      <c r="B33" s="3" t="inlineStr">
        <is>
          <t>Servizi</t>
        </is>
      </c>
      <c r="C33" s="8">
        <f>'FR'!Z145/'FR'!Z65-1</f>
        <v/>
      </c>
      <c r="D33" s="8">
        <f>'FR'!Z65/'FR'!Z145-1</f>
        <v/>
      </c>
      <c r="E33" s="7">
        <f>100*'FR'!Z65/'FR'!Z145</f>
        <v/>
      </c>
      <c r="F33" s="8">
        <f>'FR'!Z145/'FR'!Z113-1</f>
        <v/>
      </c>
      <c r="G33" s="8">
        <f>'FR'!Z113/'FR'!Z145-1</f>
        <v/>
      </c>
      <c r="H33" s="7">
        <f>100*'FR'!Z113/'FR'!Z145</f>
        <v/>
      </c>
    </row>
    <row r="34">
      <c r="A34" s="3" t="inlineStr">
        <is>
          <t>Francia</t>
        </is>
      </c>
      <c r="B34" s="3" t="inlineStr">
        <is>
          <t>Alimentari (incl. alcol e tabacchi)</t>
        </is>
      </c>
      <c r="C34" s="8">
        <f>'FR'!AF145/'FR'!AF65-1</f>
        <v/>
      </c>
      <c r="D34" s="8">
        <f>'FR'!AF65/'FR'!AF145-1</f>
        <v/>
      </c>
      <c r="E34" s="7">
        <f>100*'FR'!AF65/'FR'!AF145</f>
        <v/>
      </c>
      <c r="F34" s="8">
        <f>'FR'!AF145/'FR'!AF113-1</f>
        <v/>
      </c>
      <c r="G34" s="8">
        <f>'FR'!AF113/'FR'!AF145-1</f>
        <v/>
      </c>
      <c r="H34" s="7">
        <f>100*'FR'!AF113/'FR'!AF145</f>
        <v/>
      </c>
    </row>
    <row r="35">
      <c r="A35" s="3" t="inlineStr">
        <is>
          <t>Francia</t>
        </is>
      </c>
      <c r="B35" s="3" t="inlineStr">
        <is>
          <t>Energia</t>
        </is>
      </c>
      <c r="C35" s="8">
        <f>'FR'!AL145/'FR'!AL65-1</f>
        <v/>
      </c>
      <c r="D35" s="8">
        <f>'FR'!AL65/'FR'!AL145-1</f>
        <v/>
      </c>
      <c r="E35" s="7">
        <f>100*'FR'!AL65/'FR'!AL145</f>
        <v/>
      </c>
      <c r="F35" s="8">
        <f>'FR'!AL145/'FR'!AL113-1</f>
        <v/>
      </c>
      <c r="G35" s="8">
        <f>'FR'!AL113/'FR'!AL145-1</f>
        <v/>
      </c>
      <c r="H35" s="7">
        <f>100*'FR'!AL113/'FR'!AL145</f>
        <v/>
      </c>
    </row>
    <row r="36">
      <c r="A36" s="3" t="inlineStr">
        <is>
          <t>Francia</t>
        </is>
      </c>
      <c r="B36" s="3" t="inlineStr">
        <is>
          <t>Trasporti</t>
        </is>
      </c>
      <c r="C36" s="8">
        <f>'FR'!AR145/'FR'!AR65-1</f>
        <v/>
      </c>
      <c r="D36" s="8">
        <f>'FR'!AR65/'FR'!AR145-1</f>
        <v/>
      </c>
      <c r="E36" s="7">
        <f>100*'FR'!AR65/'FR'!AR145</f>
        <v/>
      </c>
      <c r="F36" s="8">
        <f>'FR'!AR145/'FR'!AR113-1</f>
        <v/>
      </c>
      <c r="G36" s="8">
        <f>'FR'!AR113/'FR'!AR145-1</f>
        <v/>
      </c>
      <c r="H36" s="7">
        <f>100*'FR'!AR113/'FR'!AR145</f>
        <v/>
      </c>
    </row>
    <row r="37">
      <c r="A37" s="3" t="inlineStr">
        <is>
          <t>Francia</t>
        </is>
      </c>
      <c r="B37" s="3" t="inlineStr">
        <is>
          <t>CPI nazionale generale</t>
        </is>
      </c>
      <c r="C37" s="8">
        <f>'FR'!AX145/'FR'!AX65-1</f>
        <v/>
      </c>
      <c r="D37" s="8">
        <f>'FR'!AX65/'FR'!AX145-1</f>
        <v/>
      </c>
      <c r="E37" s="7">
        <f>100*'FR'!AX65/'FR'!AX145</f>
        <v/>
      </c>
      <c r="F37" s="8">
        <f>'FR'!AX145/'FR'!AX113-1</f>
        <v/>
      </c>
      <c r="G37" s="8">
        <f>'FR'!AX113/'FR'!AX145-1</f>
        <v/>
      </c>
      <c r="H37" s="7">
        <f>100*'FR'!AX113/'FR'!AX145</f>
        <v/>
      </c>
    </row>
    <row r="38">
      <c r="A38" s="3" t="inlineStr">
        <is>
          <t>Spagna</t>
        </is>
      </c>
      <c r="B38" s="3" t="inlineStr">
        <is>
          <t>HICP generale</t>
        </is>
      </c>
      <c r="C38" s="8">
        <f>'ES'!B145/'ES'!B65-1</f>
        <v/>
      </c>
      <c r="D38" s="8">
        <f>'ES'!B65/'ES'!B145-1</f>
        <v/>
      </c>
      <c r="E38" s="7">
        <f>100*'ES'!B65/'ES'!B145</f>
        <v/>
      </c>
      <c r="F38" s="8">
        <f>'ES'!B145/'ES'!B113-1</f>
        <v/>
      </c>
      <c r="G38" s="8">
        <f>'ES'!B113/'ES'!B145-1</f>
        <v/>
      </c>
      <c r="H38" s="7">
        <f>100*'ES'!B113/'ES'!B145</f>
        <v/>
      </c>
    </row>
    <row r="39">
      <c r="A39" s="3" t="inlineStr">
        <is>
          <t>Spagna</t>
        </is>
      </c>
      <c r="B39" s="3" t="inlineStr">
        <is>
          <t>Core (escl. energia, alimentari, alcol e tabacchi)</t>
        </is>
      </c>
      <c r="C39" s="8">
        <f>'ES'!H145/'ES'!H65-1</f>
        <v/>
      </c>
      <c r="D39" s="8">
        <f>'ES'!H65/'ES'!H145-1</f>
        <v/>
      </c>
      <c r="E39" s="7">
        <f>100*'ES'!H65/'ES'!H145</f>
        <v/>
      </c>
      <c r="F39" s="8">
        <f>'ES'!H145/'ES'!H113-1</f>
        <v/>
      </c>
      <c r="G39" s="8">
        <f>'ES'!H113/'ES'!H145-1</f>
        <v/>
      </c>
      <c r="H39" s="7">
        <f>100*'ES'!H113/'ES'!H145</f>
        <v/>
      </c>
    </row>
    <row r="40">
      <c r="A40" s="3" t="inlineStr">
        <is>
          <t>Spagna</t>
        </is>
      </c>
      <c r="B40" s="3" t="inlineStr">
        <is>
          <t>Al netto degli energetici</t>
        </is>
      </c>
      <c r="C40" s="8">
        <f>'ES'!N145/'ES'!N65-1</f>
        <v/>
      </c>
      <c r="D40" s="8">
        <f>'ES'!N65/'ES'!N145-1</f>
        <v/>
      </c>
      <c r="E40" s="7">
        <f>100*'ES'!N65/'ES'!N145</f>
        <v/>
      </c>
      <c r="F40" s="8">
        <f>'ES'!N145/'ES'!N113-1</f>
        <v/>
      </c>
      <c r="G40" s="8">
        <f>'ES'!N113/'ES'!N145-1</f>
        <v/>
      </c>
      <c r="H40" s="7">
        <f>100*'ES'!N113/'ES'!N145</f>
        <v/>
      </c>
    </row>
    <row r="41">
      <c r="A41" s="3" t="inlineStr">
        <is>
          <t>Spagna</t>
        </is>
      </c>
      <c r="B41" s="3" t="inlineStr">
        <is>
          <t>Beni</t>
        </is>
      </c>
      <c r="C41" s="8">
        <f>'ES'!T145/'ES'!T65-1</f>
        <v/>
      </c>
      <c r="D41" s="8">
        <f>'ES'!T65/'ES'!T145-1</f>
        <v/>
      </c>
      <c r="E41" s="7">
        <f>100*'ES'!T65/'ES'!T145</f>
        <v/>
      </c>
      <c r="F41" s="8">
        <f>'ES'!T145/'ES'!T113-1</f>
        <v/>
      </c>
      <c r="G41" s="8">
        <f>'ES'!T113/'ES'!T145-1</f>
        <v/>
      </c>
      <c r="H41" s="7">
        <f>100*'ES'!T113/'ES'!T145</f>
        <v/>
      </c>
    </row>
    <row r="42">
      <c r="A42" s="3" t="inlineStr">
        <is>
          <t>Spagna</t>
        </is>
      </c>
      <c r="B42" s="3" t="inlineStr">
        <is>
          <t>Servizi</t>
        </is>
      </c>
      <c r="C42" s="8">
        <f>'ES'!Z145/'ES'!Z65-1</f>
        <v/>
      </c>
      <c r="D42" s="8">
        <f>'ES'!Z65/'ES'!Z145-1</f>
        <v/>
      </c>
      <c r="E42" s="7">
        <f>100*'ES'!Z65/'ES'!Z145</f>
        <v/>
      </c>
      <c r="F42" s="8">
        <f>'ES'!Z145/'ES'!Z113-1</f>
        <v/>
      </c>
      <c r="G42" s="8">
        <f>'ES'!Z113/'ES'!Z145-1</f>
        <v/>
      </c>
      <c r="H42" s="7">
        <f>100*'ES'!Z113/'ES'!Z145</f>
        <v/>
      </c>
    </row>
    <row r="43">
      <c r="A43" s="3" t="inlineStr">
        <is>
          <t>Spagna</t>
        </is>
      </c>
      <c r="B43" s="3" t="inlineStr">
        <is>
          <t>Alimentari (incl. alcol e tabacchi)</t>
        </is>
      </c>
      <c r="C43" s="8">
        <f>'ES'!AF145/'ES'!AF65-1</f>
        <v/>
      </c>
      <c r="D43" s="8">
        <f>'ES'!AF65/'ES'!AF145-1</f>
        <v/>
      </c>
      <c r="E43" s="7">
        <f>100*'ES'!AF65/'ES'!AF145</f>
        <v/>
      </c>
      <c r="F43" s="8">
        <f>'ES'!AF145/'ES'!AF113-1</f>
        <v/>
      </c>
      <c r="G43" s="8">
        <f>'ES'!AF113/'ES'!AF145-1</f>
        <v/>
      </c>
      <c r="H43" s="7">
        <f>100*'ES'!AF113/'ES'!AF145</f>
        <v/>
      </c>
    </row>
    <row r="44">
      <c r="A44" s="3" t="inlineStr">
        <is>
          <t>Spagna</t>
        </is>
      </c>
      <c r="B44" s="3" t="inlineStr">
        <is>
          <t>Energia</t>
        </is>
      </c>
      <c r="C44" s="8">
        <f>'ES'!AL145/'ES'!AL65-1</f>
        <v/>
      </c>
      <c r="D44" s="8">
        <f>'ES'!AL65/'ES'!AL145-1</f>
        <v/>
      </c>
      <c r="E44" s="7">
        <f>100*'ES'!AL65/'ES'!AL145</f>
        <v/>
      </c>
      <c r="F44" s="8">
        <f>'ES'!AL145/'ES'!AL113-1</f>
        <v/>
      </c>
      <c r="G44" s="8">
        <f>'ES'!AL113/'ES'!AL145-1</f>
        <v/>
      </c>
      <c r="H44" s="7">
        <f>100*'ES'!AL113/'ES'!AL145</f>
        <v/>
      </c>
    </row>
    <row r="45">
      <c r="A45" s="3" t="inlineStr">
        <is>
          <t>Spagna</t>
        </is>
      </c>
      <c r="B45" s="3" t="inlineStr">
        <is>
          <t>Trasporti</t>
        </is>
      </c>
      <c r="C45" s="8">
        <f>'ES'!AR145/'ES'!AR65-1</f>
        <v/>
      </c>
      <c r="D45" s="8">
        <f>'ES'!AR65/'ES'!AR145-1</f>
        <v/>
      </c>
      <c r="E45" s="7">
        <f>100*'ES'!AR65/'ES'!AR145</f>
        <v/>
      </c>
      <c r="F45" s="8">
        <f>'ES'!AR145/'ES'!AR113-1</f>
        <v/>
      </c>
      <c r="G45" s="8">
        <f>'ES'!AR113/'ES'!AR145-1</f>
        <v/>
      </c>
      <c r="H45" s="7">
        <f>100*'ES'!AR113/'ES'!AR145</f>
        <v/>
      </c>
    </row>
    <row r="46">
      <c r="A46" s="3" t="inlineStr">
        <is>
          <t>Spagna</t>
        </is>
      </c>
      <c r="B46" s="3" t="inlineStr">
        <is>
          <t>CPI nazionale generale</t>
        </is>
      </c>
      <c r="C46" s="8">
        <f>'ES'!AX145/'ES'!AX65-1</f>
        <v/>
      </c>
      <c r="D46" s="8">
        <f>'ES'!AX65/'ES'!AX145-1</f>
        <v/>
      </c>
      <c r="E46" s="7">
        <f>100*'ES'!AX65/'ES'!AX145</f>
        <v/>
      </c>
      <c r="F46" s="8">
        <f>'ES'!AX145/'ES'!AX113-1</f>
        <v/>
      </c>
      <c r="G46" s="8">
        <f>'ES'!AX113/'ES'!AX145-1</f>
        <v/>
      </c>
      <c r="H46" s="7">
        <f>100*'ES'!AX113/'ES'!AX145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Proiezioni</t>
        </is>
      </c>
    </row>
    <row r="2">
      <c r="A2" s="4" t="inlineStr">
        <is>
          <t>Scenari: Momentum = Momentum ultimi 3 mesi costante; Neutro 1 anno = Stesse var. mensili dell'anno prima (a/a invariato); Media 3 anni = Media var. mensili stesso mese, ultimi 3 anni; Media 5 anni = Media var. mensili stesso mese, ultimi 5 anni; Mediana 5 anni = Mediana var. mensili stesso mese, ultimi 5 anni; 2% = Dinamica coerente con il 2% annuo</t>
        </is>
      </c>
    </row>
    <row r="4">
      <c r="A4" s="13" t="inlineStr">
        <is>
          <t>Area euro - inflazione annua % a 2026-12 per scenario</t>
        </is>
      </c>
    </row>
    <row r="5">
      <c r="A5" s="5" t="inlineStr">
        <is>
          <t>Misura</t>
        </is>
      </c>
      <c r="B5" s="5" t="inlineStr">
        <is>
          <t>a/a oggi</t>
        </is>
      </c>
      <c r="C5" s="5" t="inlineStr">
        <is>
          <t>Momentum</t>
        </is>
      </c>
      <c r="D5" s="5" t="inlineStr">
        <is>
          <t>Neutro 1 anno</t>
        </is>
      </c>
      <c r="E5" s="5" t="inlineStr">
        <is>
          <t>Media 3 anni</t>
        </is>
      </c>
      <c r="F5" s="5" t="inlineStr">
        <is>
          <t>Media 5 anni</t>
        </is>
      </c>
      <c r="G5" s="5" t="inlineStr">
        <is>
          <t>Mediana 5 anni</t>
        </is>
      </c>
      <c r="H5" s="5" t="inlineStr">
        <is>
          <t>2%</t>
        </is>
      </c>
    </row>
    <row r="6">
      <c r="A6" s="3" t="inlineStr">
        <is>
          <t>HICP generale</t>
        </is>
      </c>
      <c r="B6" s="11" t="n">
        <v>3.7704</v>
      </c>
      <c r="C6" s="11" t="n">
        <v>4.898</v>
      </c>
      <c r="D6" s="11" t="n">
        <v>3.7704</v>
      </c>
      <c r="E6" s="11" t="n">
        <v>3.7172</v>
      </c>
      <c r="F6" s="11" t="n">
        <v>4.2692</v>
      </c>
      <c r="G6" s="11" t="n">
        <v>3.9018</v>
      </c>
      <c r="H6" s="11" t="n">
        <v>3.8194</v>
      </c>
    </row>
    <row r="7">
      <c r="A7" s="3" t="inlineStr">
        <is>
          <t>Core (escl. energia, alimentari, alcol e tabacchi)</t>
        </is>
      </c>
      <c r="B7" s="11" t="n">
        <v>2.5002</v>
      </c>
      <c r="C7" s="11" t="n">
        <v>2.6474</v>
      </c>
      <c r="D7" s="11" t="n">
        <v>2.5002</v>
      </c>
      <c r="E7" s="11" t="n">
        <v>2.5094</v>
      </c>
      <c r="F7" s="11" t="n">
        <v>2.8522</v>
      </c>
      <c r="G7" s="11" t="n">
        <v>2.5923</v>
      </c>
      <c r="H7" s="11" t="n">
        <v>2.4457</v>
      </c>
    </row>
    <row r="8">
      <c r="A8" s="3" t="inlineStr">
        <is>
          <t>Al netto degli energetici</t>
        </is>
      </c>
      <c r="B8" s="11" t="n">
        <v>2.2644</v>
      </c>
      <c r="C8" s="11" t="n">
        <v>2.4279</v>
      </c>
      <c r="D8" s="11" t="n">
        <v>2.2644</v>
      </c>
      <c r="E8" s="11" t="n">
        <v>2.3303</v>
      </c>
      <c r="F8" s="11" t="n">
        <v>2.7572</v>
      </c>
      <c r="G8" s="11" t="n">
        <v>2.3994</v>
      </c>
      <c r="H8" s="11" t="n">
        <v>2.2653</v>
      </c>
    </row>
    <row r="9">
      <c r="A9" s="3" t="inlineStr">
        <is>
          <t>Beni</t>
        </is>
      </c>
      <c r="B9" s="11" t="n">
        <v>4.2398</v>
      </c>
      <c r="C9" s="11" t="n">
        <v>6.4885</v>
      </c>
      <c r="D9" s="11" t="n">
        <v>4.2398</v>
      </c>
      <c r="E9" s="11" t="n">
        <v>4.2611</v>
      </c>
      <c r="F9" s="11" t="n">
        <v>5.0348</v>
      </c>
      <c r="G9" s="11" t="n">
        <v>4.6062</v>
      </c>
      <c r="H9" s="11" t="n">
        <v>4.6892</v>
      </c>
    </row>
    <row r="10">
      <c r="A10" s="3" t="inlineStr">
        <is>
          <t>Servizi</t>
        </is>
      </c>
      <c r="B10" s="11" t="n">
        <v>3.2424</v>
      </c>
      <c r="C10" s="11" t="n">
        <v>3.1003</v>
      </c>
      <c r="D10" s="11" t="n">
        <v>3.2424</v>
      </c>
      <c r="E10" s="11" t="n">
        <v>3.1111</v>
      </c>
      <c r="F10" s="11" t="n">
        <v>3.3371</v>
      </c>
      <c r="G10" s="11" t="n">
        <v>3.1352</v>
      </c>
      <c r="H10" s="11" t="n">
        <v>2.8242</v>
      </c>
    </row>
    <row r="11">
      <c r="A11" s="3" t="inlineStr">
        <is>
          <t>Alimentari (incl. alcol e tabacchi)</t>
        </is>
      </c>
      <c r="B11" s="11" t="n">
        <v>1.3353</v>
      </c>
      <c r="C11" s="11" t="n">
        <v>1.5263</v>
      </c>
      <c r="D11" s="11" t="n">
        <v>1.3353</v>
      </c>
      <c r="E11" s="11" t="n">
        <v>1.5926</v>
      </c>
      <c r="F11" s="11" t="n">
        <v>2.2714</v>
      </c>
      <c r="G11" s="11" t="n">
        <v>1.6764</v>
      </c>
      <c r="H11" s="11" t="n">
        <v>1.5201</v>
      </c>
    </row>
    <row r="12">
      <c r="A12" s="3" t="inlineStr">
        <is>
          <t>Energia</t>
        </is>
      </c>
      <c r="B12" s="11" t="n">
        <v>18.9378</v>
      </c>
      <c r="C12" s="11" t="n">
        <v>30.7919</v>
      </c>
      <c r="D12" s="11" t="n">
        <v>18.9378</v>
      </c>
      <c r="E12" s="11" t="n">
        <v>17.6426</v>
      </c>
      <c r="F12" s="11" t="n">
        <v>19.6269</v>
      </c>
      <c r="G12" s="11" t="n">
        <v>19.0531</v>
      </c>
      <c r="H12" s="11" t="n">
        <v>19.6128</v>
      </c>
    </row>
    <row r="13">
      <c r="A13" s="3" t="inlineStr">
        <is>
          <t>Trasporti</t>
        </is>
      </c>
      <c r="B13" s="11" t="n">
        <v>9.827299999999999</v>
      </c>
      <c r="C13" s="11" t="n">
        <v>8.5998</v>
      </c>
      <c r="D13" s="11" t="n">
        <v>9.827299999999999</v>
      </c>
      <c r="E13" s="11" t="n">
        <v>8.8024</v>
      </c>
      <c r="F13" s="11" t="n">
        <v>9.135</v>
      </c>
      <c r="G13" s="11" t="n">
        <v>8.9719</v>
      </c>
      <c r="H13" s="11" t="n">
        <v>6.8579</v>
      </c>
    </row>
    <row r="16">
      <c r="A16" s="13" t="inlineStr">
        <is>
          <t>Area euro - HICP generale: percorso a/a % ed effetto base</t>
        </is>
      </c>
    </row>
    <row r="17">
      <c r="A17" s="5" t="inlineStr">
        <is>
          <t>Mese</t>
        </is>
      </c>
      <c r="B17" s="5" t="inlineStr">
        <is>
          <t>Var. mensile che esce (anno prima)</t>
        </is>
      </c>
      <c r="C17" s="5" t="inlineStr">
        <is>
          <t>Momentum</t>
        </is>
      </c>
      <c r="D17" s="5" t="inlineStr">
        <is>
          <t>Neutro 1 anno</t>
        </is>
      </c>
      <c r="E17" s="5" t="inlineStr">
        <is>
          <t>Media 3 anni</t>
        </is>
      </c>
      <c r="F17" s="5" t="inlineStr">
        <is>
          <t>Media 5 anni</t>
        </is>
      </c>
      <c r="G17" s="5" t="inlineStr">
        <is>
          <t>Mediana 5 anni</t>
        </is>
      </c>
      <c r="H17" s="5" t="inlineStr">
        <is>
          <t>2%</t>
        </is>
      </c>
    </row>
    <row r="18">
      <c r="A18" s="9" t="n">
        <v>46296</v>
      </c>
      <c r="B18" s="11" t="n">
        <v>0.2189</v>
      </c>
      <c r="C18" s="11" t="n">
        <v>4.153</v>
      </c>
      <c r="D18" s="11" t="n">
        <v>3.7704</v>
      </c>
      <c r="E18" s="11" t="n">
        <v>3.7707</v>
      </c>
      <c r="F18" s="11" t="n">
        <v>4.1619</v>
      </c>
      <c r="G18" s="11" t="n">
        <v>3.9018</v>
      </c>
      <c r="H18" s="11" t="n">
        <v>3.7947</v>
      </c>
    </row>
    <row r="19">
      <c r="A19" s="9" t="n">
        <v>46327</v>
      </c>
      <c r="B19" s="11" t="n">
        <v>-0.2879</v>
      </c>
      <c r="C19" s="11" t="n">
        <v>4.4381</v>
      </c>
      <c r="D19" s="11" t="n">
        <v>3.7704</v>
      </c>
      <c r="E19" s="11" t="n">
        <v>3.6642</v>
      </c>
      <c r="F19" s="11" t="n">
        <v>4.2976</v>
      </c>
      <c r="G19" s="11" t="n">
        <v>3.9018</v>
      </c>
      <c r="H19" s="11" t="n">
        <v>3.721</v>
      </c>
    </row>
    <row r="20">
      <c r="A20" s="9" t="n">
        <v>46357</v>
      </c>
      <c r="B20" s="11" t="n">
        <v>0.1792</v>
      </c>
      <c r="C20" s="11" t="n">
        <v>4.898</v>
      </c>
      <c r="D20" s="11" t="n">
        <v>3.7704</v>
      </c>
      <c r="E20" s="11" t="n">
        <v>3.7172</v>
      </c>
      <c r="F20" s="11" t="n">
        <v>4.2692</v>
      </c>
      <c r="G20" s="11" t="n">
        <v>3.9018</v>
      </c>
      <c r="H20" s="11" t="n">
        <v>3.8194</v>
      </c>
    </row>
    <row r="23">
      <c r="A23" s="13" t="inlineStr">
        <is>
          <t>Italia - inflazione annua % a 2026-12 per scenario</t>
        </is>
      </c>
    </row>
    <row r="24">
      <c r="A24" s="5" t="inlineStr">
        <is>
          <t>Misura</t>
        </is>
      </c>
      <c r="B24" s="5" t="inlineStr">
        <is>
          <t>a/a oggi</t>
        </is>
      </c>
      <c r="C24" s="5" t="inlineStr">
        <is>
          <t>Momentum</t>
        </is>
      </c>
      <c r="D24" s="5" t="inlineStr">
        <is>
          <t>Neutro 1 anno</t>
        </is>
      </c>
      <c r="E24" s="5" t="inlineStr">
        <is>
          <t>Media 3 anni</t>
        </is>
      </c>
      <c r="F24" s="5" t="inlineStr">
        <is>
          <t>Media 5 anni</t>
        </is>
      </c>
      <c r="G24" s="5" t="inlineStr">
        <is>
          <t>Mediana 5 anni</t>
        </is>
      </c>
      <c r="H24" s="5" t="inlineStr">
        <is>
          <t>2%</t>
        </is>
      </c>
    </row>
    <row r="25">
      <c r="A25" s="3" t="inlineStr">
        <is>
          <t>HICP generale</t>
        </is>
      </c>
      <c r="B25" s="11" t="n">
        <v>4.1708</v>
      </c>
      <c r="C25" s="11" t="n">
        <v>6.2665</v>
      </c>
      <c r="D25" s="11" t="n">
        <v>4.1708</v>
      </c>
      <c r="E25" s="11" t="n">
        <v>4.3079</v>
      </c>
      <c r="F25" s="11" t="n">
        <v>5.7246</v>
      </c>
      <c r="G25" s="11" t="n">
        <v>4.8029</v>
      </c>
      <c r="H25" s="11" t="n">
        <v>4.9106</v>
      </c>
    </row>
    <row r="26">
      <c r="A26" s="3" t="inlineStr">
        <is>
          <t>Core (escl. energia, alimentari, alcol e tabacchi)</t>
        </is>
      </c>
      <c r="B26" s="11" t="n">
        <v>1.8756</v>
      </c>
      <c r="C26" s="11" t="n">
        <v>2.1067</v>
      </c>
      <c r="D26" s="11" t="n">
        <v>1.8756</v>
      </c>
      <c r="E26" s="11" t="n">
        <v>2.0448</v>
      </c>
      <c r="F26" s="11" t="n">
        <v>2.4549</v>
      </c>
      <c r="G26" s="11" t="n">
        <v>2.291</v>
      </c>
      <c r="H26" s="11" t="n">
        <v>1.99</v>
      </c>
    </row>
    <row r="27">
      <c r="A27" s="3" t="inlineStr">
        <is>
          <t>Al netto degli energetici</t>
        </is>
      </c>
      <c r="B27" s="11" t="n">
        <v>1.8793</v>
      </c>
      <c r="C27" s="11" t="n">
        <v>2.1781</v>
      </c>
      <c r="D27" s="11" t="n">
        <v>1.8793</v>
      </c>
      <c r="E27" s="11" t="n">
        <v>2.1873</v>
      </c>
      <c r="F27" s="11" t="n">
        <v>2.6621</v>
      </c>
      <c r="G27" s="11" t="n">
        <v>2.5308</v>
      </c>
      <c r="H27" s="11" t="n">
        <v>2.062</v>
      </c>
    </row>
    <row r="28">
      <c r="A28" s="3" t="inlineStr">
        <is>
          <t>Beni</t>
        </is>
      </c>
      <c r="B28" s="11" t="n">
        <v>5.2841</v>
      </c>
      <c r="C28" s="11" t="n">
        <v>8.935600000000001</v>
      </c>
      <c r="D28" s="11" t="n">
        <v>5.2841</v>
      </c>
      <c r="E28" s="11" t="n">
        <v>5.3558</v>
      </c>
      <c r="F28" s="11" t="n">
        <v>7.3691</v>
      </c>
      <c r="G28" s="11" t="n">
        <v>6.0262</v>
      </c>
      <c r="H28" s="11" t="n">
        <v>6.643</v>
      </c>
    </row>
    <row r="29">
      <c r="A29" s="3" t="inlineStr">
        <is>
          <t>Servizi</t>
        </is>
      </c>
      <c r="B29" s="11" t="n">
        <v>2.4679</v>
      </c>
      <c r="C29" s="11" t="n">
        <v>2.6334</v>
      </c>
      <c r="D29" s="11" t="n">
        <v>2.4679</v>
      </c>
      <c r="E29" s="11" t="n">
        <v>2.6546</v>
      </c>
      <c r="F29" s="11" t="n">
        <v>3.0837</v>
      </c>
      <c r="G29" s="11" t="n">
        <v>2.874</v>
      </c>
      <c r="H29" s="11" t="n">
        <v>2.4245</v>
      </c>
    </row>
    <row r="30">
      <c r="A30" s="3" t="inlineStr">
        <is>
          <t>Alimentari (incl. alcol e tabacchi)</t>
        </is>
      </c>
      <c r="B30" s="11" t="n">
        <v>1.8924</v>
      </c>
      <c r="C30" s="11" t="n">
        <v>2.3494</v>
      </c>
      <c r="D30" s="11" t="n">
        <v>1.8924</v>
      </c>
      <c r="E30" s="11" t="n">
        <v>2.3829</v>
      </c>
      <c r="F30" s="11" t="n">
        <v>3.0626</v>
      </c>
      <c r="G30" s="11" t="n">
        <v>2.8788</v>
      </c>
      <c r="H30" s="11" t="n">
        <v>2.276</v>
      </c>
    </row>
    <row r="31">
      <c r="A31" s="3" t="inlineStr">
        <is>
          <t>Energia</t>
        </is>
      </c>
      <c r="B31" s="11" t="n">
        <v>22.6434</v>
      </c>
      <c r="C31" s="11" t="n">
        <v>23.3826</v>
      </c>
      <c r="D31" s="11" t="n">
        <v>22.6434</v>
      </c>
      <c r="E31" s="11" t="n">
        <v>20.7611</v>
      </c>
      <c r="F31" s="11" t="n">
        <v>30.731</v>
      </c>
      <c r="G31" s="11" t="n">
        <v>23.914</v>
      </c>
      <c r="H31" s="11" t="n">
        <v>20.387</v>
      </c>
    </row>
    <row r="32">
      <c r="A32" s="3" t="inlineStr">
        <is>
          <t>Trasporti</t>
        </is>
      </c>
      <c r="B32" s="11" t="n">
        <v>8.525600000000001</v>
      </c>
      <c r="C32" s="11" t="n">
        <v>12.5423</v>
      </c>
      <c r="D32" s="11" t="n">
        <v>8.525600000000001</v>
      </c>
      <c r="E32" s="11" t="n">
        <v>7.3074</v>
      </c>
      <c r="F32" s="11" t="n">
        <v>7.9815</v>
      </c>
      <c r="G32" s="11" t="n">
        <v>8.0517</v>
      </c>
      <c r="H32" s="11" t="n">
        <v>8.208</v>
      </c>
    </row>
    <row r="35">
      <c r="A35" s="13" t="inlineStr">
        <is>
          <t>Italia - HICP generale: percorso a/a % ed effetto base</t>
        </is>
      </c>
    </row>
    <row r="36">
      <c r="A36" s="5" t="inlineStr">
        <is>
          <t>Mese</t>
        </is>
      </c>
      <c r="B36" s="5" t="inlineStr">
        <is>
          <t>Var. mensile che esce (anno prima)</t>
        </is>
      </c>
      <c r="C36" s="5" t="inlineStr">
        <is>
          <t>Momentum</t>
        </is>
      </c>
      <c r="D36" s="5" t="inlineStr">
        <is>
          <t>Neutro 1 anno</t>
        </is>
      </c>
      <c r="E36" s="5" t="inlineStr">
        <is>
          <t>Media 3 anni</t>
        </is>
      </c>
      <c r="F36" s="5" t="inlineStr">
        <is>
          <t>Media 5 anni</t>
        </is>
      </c>
      <c r="G36" s="5" t="inlineStr">
        <is>
          <t>Mediana 5 anni</t>
        </is>
      </c>
      <c r="H36" s="5" t="inlineStr">
        <is>
          <t>2%</t>
        </is>
      </c>
    </row>
    <row r="37">
      <c r="A37" s="9" t="n">
        <v>46296</v>
      </c>
      <c r="B37" s="11" t="n">
        <v>-0.0993</v>
      </c>
      <c r="C37" s="11" t="n">
        <v>5.3229</v>
      </c>
      <c r="D37" s="11" t="n">
        <v>4.1708</v>
      </c>
      <c r="E37" s="11" t="n">
        <v>4.345</v>
      </c>
      <c r="F37" s="11" t="n">
        <v>5.2866</v>
      </c>
      <c r="G37" s="11" t="n">
        <v>4.5903</v>
      </c>
      <c r="H37" s="11" t="n">
        <v>4.873</v>
      </c>
    </row>
    <row r="38">
      <c r="A38" s="9" t="n">
        <v>46327</v>
      </c>
      <c r="B38" s="11" t="n">
        <v>-0.2982</v>
      </c>
      <c r="C38" s="11" t="n">
        <v>5.8336</v>
      </c>
      <c r="D38" s="11" t="n">
        <v>4.1708</v>
      </c>
      <c r="E38" s="11" t="n">
        <v>4.3404</v>
      </c>
      <c r="F38" s="11" t="n">
        <v>5.6875</v>
      </c>
      <c r="G38" s="11" t="n">
        <v>4.7975</v>
      </c>
      <c r="H38" s="11" t="n">
        <v>4.9314</v>
      </c>
    </row>
    <row r="39">
      <c r="A39" s="9" t="n">
        <v>46357</v>
      </c>
      <c r="B39" s="11" t="n">
        <v>0.1994</v>
      </c>
      <c r="C39" s="11" t="n">
        <v>6.2665</v>
      </c>
      <c r="D39" s="11" t="n">
        <v>4.1708</v>
      </c>
      <c r="E39" s="11" t="n">
        <v>4.3079</v>
      </c>
      <c r="F39" s="11" t="n">
        <v>5.7246</v>
      </c>
      <c r="G39" s="11" t="n">
        <v>4.8029</v>
      </c>
      <c r="H39" s="11" t="n">
        <v>4.9106</v>
      </c>
    </row>
    <row r="42">
      <c r="A42" s="13" t="inlineStr">
        <is>
          <t>Germania - inflazione annua % a 2026-12 per scenario</t>
        </is>
      </c>
    </row>
    <row r="43">
      <c r="A43" s="5" t="inlineStr">
        <is>
          <t>Misura</t>
        </is>
      </c>
      <c r="B43" s="5" t="inlineStr">
        <is>
          <t>a/a oggi</t>
        </is>
      </c>
      <c r="C43" s="5" t="inlineStr">
        <is>
          <t>Momentum</t>
        </is>
      </c>
      <c r="D43" s="5" t="inlineStr">
        <is>
          <t>Neutro 1 anno</t>
        </is>
      </c>
      <c r="E43" s="5" t="inlineStr">
        <is>
          <t>Media 3 anni</t>
        </is>
      </c>
      <c r="F43" s="5" t="inlineStr">
        <is>
          <t>Media 5 anni</t>
        </is>
      </c>
      <c r="G43" s="5" t="inlineStr">
        <is>
          <t>Mediana 5 anni</t>
        </is>
      </c>
      <c r="H43" s="5" t="inlineStr">
        <is>
          <t>2%</t>
        </is>
      </c>
    </row>
    <row r="44">
      <c r="A44" s="3" t="inlineStr">
        <is>
          <t>HICP generale</t>
        </is>
      </c>
      <c r="B44" s="11" t="n">
        <v>3.2588</v>
      </c>
      <c r="C44" s="11" t="n">
        <v>3.8843</v>
      </c>
      <c r="D44" s="11" t="n">
        <v>3.2588</v>
      </c>
      <c r="E44" s="11" t="n">
        <v>3.1424</v>
      </c>
      <c r="F44" s="11" t="n">
        <v>3.3854</v>
      </c>
      <c r="G44" s="11" t="n">
        <v>3.3998</v>
      </c>
      <c r="H44" s="11" t="n">
        <v>3.0387</v>
      </c>
    </row>
    <row r="45">
      <c r="A45" s="3" t="inlineStr">
        <is>
          <t>Core (escl. energia, alimentari, alcol e tabacchi)</t>
        </is>
      </c>
      <c r="B45" s="11" t="n">
        <v>2.5285</v>
      </c>
      <c r="C45" s="11" t="n">
        <v>2.6438</v>
      </c>
      <c r="D45" s="11" t="n">
        <v>2.5285</v>
      </c>
      <c r="E45" s="11" t="n">
        <v>2.4897</v>
      </c>
      <c r="F45" s="11" t="n">
        <v>2.8453</v>
      </c>
      <c r="G45" s="11" t="n">
        <v>2.6491</v>
      </c>
      <c r="H45" s="11" t="n">
        <v>2.4081</v>
      </c>
    </row>
    <row r="46">
      <c r="A46" s="3" t="inlineStr">
        <is>
          <t>Al netto degli energetici</t>
        </is>
      </c>
      <c r="B46" s="11" t="n">
        <v>2.2822</v>
      </c>
      <c r="C46" s="11" t="n">
        <v>2.3335</v>
      </c>
      <c r="D46" s="11" t="n">
        <v>2.2822</v>
      </c>
      <c r="E46" s="11" t="n">
        <v>2.3418</v>
      </c>
      <c r="F46" s="11" t="n">
        <v>2.7484</v>
      </c>
      <c r="G46" s="11" t="n">
        <v>2.6013</v>
      </c>
      <c r="H46" s="11" t="n">
        <v>2.1573</v>
      </c>
    </row>
    <row r="47">
      <c r="A47" s="3" t="inlineStr">
        <is>
          <t>Beni</t>
        </is>
      </c>
      <c r="B47" s="11" t="n">
        <v>3.6723</v>
      </c>
      <c r="C47" s="11" t="n">
        <v>5.6098</v>
      </c>
      <c r="D47" s="11" t="n">
        <v>3.6723</v>
      </c>
      <c r="E47" s="11" t="n">
        <v>3.768</v>
      </c>
      <c r="F47" s="11" t="n">
        <v>3.9544</v>
      </c>
      <c r="G47" s="11" t="n">
        <v>3.9938</v>
      </c>
      <c r="H47" s="11" t="n">
        <v>3.7406</v>
      </c>
    </row>
    <row r="48">
      <c r="A48" s="3" t="inlineStr">
        <is>
          <t>Servizi</t>
        </is>
      </c>
      <c r="B48" s="11" t="n">
        <v>2.808</v>
      </c>
      <c r="C48" s="11" t="n">
        <v>2.3136</v>
      </c>
      <c r="D48" s="11" t="n">
        <v>2.808</v>
      </c>
      <c r="E48" s="11" t="n">
        <v>2.44</v>
      </c>
      <c r="F48" s="11" t="n">
        <v>2.7648</v>
      </c>
      <c r="G48" s="11" t="n">
        <v>2.7558</v>
      </c>
      <c r="H48" s="11" t="n">
        <v>2.2988</v>
      </c>
    </row>
    <row r="49">
      <c r="A49" s="3" t="inlineStr">
        <is>
          <t>Alimentari (incl. alcol e tabacchi)</t>
        </is>
      </c>
      <c r="B49" s="11" t="n">
        <v>1.0646</v>
      </c>
      <c r="C49" s="11" t="n">
        <v>1.2173</v>
      </c>
      <c r="D49" s="11" t="n">
        <v>1.0646</v>
      </c>
      <c r="E49" s="11" t="n">
        <v>1.5859</v>
      </c>
      <c r="F49" s="11" t="n">
        <v>2.1433</v>
      </c>
      <c r="G49" s="11" t="n">
        <v>1.5745</v>
      </c>
      <c r="H49" s="11" t="n">
        <v>1.5031</v>
      </c>
    </row>
    <row r="50">
      <c r="A50" s="3" t="inlineStr">
        <is>
          <t>Energia</t>
        </is>
      </c>
      <c r="B50" s="11" t="n">
        <v>13.3542</v>
      </c>
      <c r="C50" s="11" t="n">
        <v>25.5474</v>
      </c>
      <c r="D50" s="11" t="n">
        <v>13.3542</v>
      </c>
      <c r="E50" s="11" t="n">
        <v>11.4461</v>
      </c>
      <c r="F50" s="11" t="n">
        <v>11.109</v>
      </c>
      <c r="G50" s="11" t="n">
        <v>12.3415</v>
      </c>
      <c r="H50" s="11" t="n">
        <v>13.5698</v>
      </c>
    </row>
    <row r="51">
      <c r="A51" s="3" t="inlineStr">
        <is>
          <t>Trasporti</t>
        </is>
      </c>
      <c r="B51" s="11" t="n">
        <v>9.7845</v>
      </c>
      <c r="C51" s="11" t="n">
        <v>12.396</v>
      </c>
      <c r="D51" s="11" t="n">
        <v>9.7845</v>
      </c>
      <c r="E51" s="11" t="n">
        <v>8.654</v>
      </c>
      <c r="F51" s="11" t="n">
        <v>8.542400000000001</v>
      </c>
      <c r="G51" s="11" t="n">
        <v>8.807499999999999</v>
      </c>
      <c r="H51" s="11" t="n">
        <v>8.455299999999999</v>
      </c>
    </row>
    <row r="54">
      <c r="A54" s="13" t="inlineStr">
        <is>
          <t>Germania - HICP generale: percorso a/a % ed effetto base</t>
        </is>
      </c>
    </row>
    <row r="55">
      <c r="A55" s="5" t="inlineStr">
        <is>
          <t>Mese</t>
        </is>
      </c>
      <c r="B55" s="5" t="inlineStr">
        <is>
          <t>Var. mensile che esce (anno prima)</t>
        </is>
      </c>
      <c r="C55" s="5" t="inlineStr">
        <is>
          <t>Momentum</t>
        </is>
      </c>
      <c r="D55" s="5" t="inlineStr">
        <is>
          <t>Neutro 1 anno</t>
        </is>
      </c>
      <c r="E55" s="5" t="inlineStr">
        <is>
          <t>Media 3 anni</t>
        </is>
      </c>
      <c r="F55" s="5" t="inlineStr">
        <is>
          <t>Media 5 anni</t>
        </is>
      </c>
      <c r="G55" s="5" t="inlineStr">
        <is>
          <t>Mediana 5 anni</t>
        </is>
      </c>
      <c r="H55" s="5" t="inlineStr">
        <is>
          <t>2%</t>
        </is>
      </c>
    </row>
    <row r="56">
      <c r="A56" s="9" t="n">
        <v>46296</v>
      </c>
      <c r="B56" s="11" t="n">
        <v>0.2981</v>
      </c>
      <c r="C56" s="11" t="n">
        <v>3.2981</v>
      </c>
      <c r="D56" s="11" t="n">
        <v>3.2588</v>
      </c>
      <c r="E56" s="11" t="n">
        <v>3.1229</v>
      </c>
      <c r="F56" s="11" t="n">
        <v>3.4131</v>
      </c>
      <c r="G56" s="11" t="n">
        <v>3.3079</v>
      </c>
      <c r="H56" s="11" t="n">
        <v>3.0171</v>
      </c>
    </row>
    <row r="57">
      <c r="A57" s="9" t="n">
        <v>46327</v>
      </c>
      <c r="B57" s="11" t="n">
        <v>-0.3863</v>
      </c>
      <c r="C57" s="11" t="n">
        <v>3.3299</v>
      </c>
      <c r="D57" s="11" t="n">
        <v>3.2588</v>
      </c>
      <c r="E57" s="11" t="n">
        <v>2.9399</v>
      </c>
      <c r="F57" s="11" t="n">
        <v>3.5027</v>
      </c>
      <c r="G57" s="11" t="n">
        <v>3.3079</v>
      </c>
      <c r="H57" s="11" t="n">
        <v>2.7684</v>
      </c>
    </row>
    <row r="58">
      <c r="A58" s="9" t="n">
        <v>46357</v>
      </c>
      <c r="B58" s="11" t="n">
        <v>0.1094</v>
      </c>
      <c r="C58" s="11" t="n">
        <v>3.8843</v>
      </c>
      <c r="D58" s="11" t="n">
        <v>3.2588</v>
      </c>
      <c r="E58" s="11" t="n">
        <v>3.1424</v>
      </c>
      <c r="F58" s="11" t="n">
        <v>3.3854</v>
      </c>
      <c r="G58" s="11" t="n">
        <v>3.3998</v>
      </c>
      <c r="H58" s="11" t="n">
        <v>3.0387</v>
      </c>
    </row>
    <row r="61">
      <c r="A61" s="13" t="inlineStr">
        <is>
          <t>Francia - inflazione annua % a 2026-12 per scenario</t>
        </is>
      </c>
    </row>
    <row r="62">
      <c r="A62" s="5" t="inlineStr">
        <is>
          <t>Misura</t>
        </is>
      </c>
      <c r="B62" s="5" t="inlineStr">
        <is>
          <t>a/a oggi</t>
        </is>
      </c>
      <c r="C62" s="5" t="inlineStr">
        <is>
          <t>Momentum</t>
        </is>
      </c>
      <c r="D62" s="5" t="inlineStr">
        <is>
          <t>Neutro 1 anno</t>
        </is>
      </c>
      <c r="E62" s="5" t="inlineStr">
        <is>
          <t>Media 3 anni</t>
        </is>
      </c>
      <c r="F62" s="5" t="inlineStr">
        <is>
          <t>Media 5 anni</t>
        </is>
      </c>
      <c r="G62" s="5" t="inlineStr">
        <is>
          <t>Mediana 5 anni</t>
        </is>
      </c>
      <c r="H62" s="5" t="inlineStr">
        <is>
          <t>2%</t>
        </is>
      </c>
    </row>
    <row r="63">
      <c r="A63" s="3" t="inlineStr">
        <is>
          <t>HICP generale</t>
        </is>
      </c>
      <c r="B63" s="11" t="n">
        <v>3.419</v>
      </c>
      <c r="C63" s="11" t="n">
        <v>5.3162</v>
      </c>
      <c r="D63" s="11" t="n">
        <v>3.419</v>
      </c>
      <c r="E63" s="11" t="n">
        <v>3.5966</v>
      </c>
      <c r="F63" s="11" t="n">
        <v>4.0848</v>
      </c>
      <c r="G63" s="11" t="n">
        <v>3.7765</v>
      </c>
      <c r="H63" s="11" t="n">
        <v>3.8547</v>
      </c>
    </row>
    <row r="64">
      <c r="A64" s="3" t="inlineStr">
        <is>
          <t>Core (escl. energia, alimentari, alcol e tabacchi)</t>
        </is>
      </c>
      <c r="B64" s="11" t="n">
        <v>1.7688</v>
      </c>
      <c r="C64" s="11" t="n">
        <v>2.5083</v>
      </c>
      <c r="D64" s="11" t="n">
        <v>1.7688</v>
      </c>
      <c r="E64" s="11" t="n">
        <v>1.9609</v>
      </c>
      <c r="F64" s="11" t="n">
        <v>2.1834</v>
      </c>
      <c r="G64" s="11" t="n">
        <v>2.0653</v>
      </c>
      <c r="H64" s="11" t="n">
        <v>2.0077</v>
      </c>
    </row>
    <row r="65">
      <c r="A65" s="3" t="inlineStr">
        <is>
          <t>Al netto degli energetici</t>
        </is>
      </c>
      <c r="B65" s="11" t="n">
        <v>1.7377</v>
      </c>
      <c r="C65" s="11" t="n">
        <v>2.516</v>
      </c>
      <c r="D65" s="11" t="n">
        <v>1.7377</v>
      </c>
      <c r="E65" s="11" t="n">
        <v>1.9263</v>
      </c>
      <c r="F65" s="11" t="n">
        <v>2.2296</v>
      </c>
      <c r="G65" s="11" t="n">
        <v>2.0967</v>
      </c>
      <c r="H65" s="11" t="n">
        <v>2.0207</v>
      </c>
    </row>
    <row r="66">
      <c r="A66" s="3" t="inlineStr">
        <is>
          <t>Beni</t>
        </is>
      </c>
      <c r="B66" s="11" t="n">
        <v>4.2366</v>
      </c>
      <c r="C66" s="11" t="n">
        <v>7.6615</v>
      </c>
      <c r="D66" s="11" t="n">
        <v>4.2366</v>
      </c>
      <c r="E66" s="11" t="n">
        <v>4.3406</v>
      </c>
      <c r="F66" s="11" t="n">
        <v>5.1492</v>
      </c>
      <c r="G66" s="11" t="n">
        <v>4.6632</v>
      </c>
      <c r="H66" s="11" t="n">
        <v>5.4073</v>
      </c>
    </row>
    <row r="67">
      <c r="A67" s="3" t="inlineStr">
        <is>
          <t>Servizi</t>
        </is>
      </c>
      <c r="B67" s="11" t="n">
        <v>2.5605</v>
      </c>
      <c r="C67" s="11" t="n">
        <v>3.3361</v>
      </c>
      <c r="D67" s="11" t="n">
        <v>2.5605</v>
      </c>
      <c r="E67" s="11" t="n">
        <v>2.8339</v>
      </c>
      <c r="F67" s="11" t="n">
        <v>2.9284</v>
      </c>
      <c r="G67" s="11" t="n">
        <v>2.8316</v>
      </c>
      <c r="H67" s="11" t="n">
        <v>2.6882</v>
      </c>
    </row>
    <row r="68">
      <c r="A68" s="3" t="inlineStr">
        <is>
          <t>Alimentari (incl. alcol e tabacchi)</t>
        </is>
      </c>
      <c r="B68" s="11" t="n">
        <v>1.5838</v>
      </c>
      <c r="C68" s="11" t="n">
        <v>1.8027</v>
      </c>
      <c r="D68" s="11" t="n">
        <v>1.5838</v>
      </c>
      <c r="E68" s="11" t="n">
        <v>1.757</v>
      </c>
      <c r="F68" s="11" t="n">
        <v>2.3324</v>
      </c>
      <c r="G68" s="11" t="n">
        <v>2.1641</v>
      </c>
      <c r="H68" s="11" t="n">
        <v>1.6559</v>
      </c>
    </row>
    <row r="69">
      <c r="A69" s="3" t="inlineStr">
        <is>
          <t>Energia</t>
        </is>
      </c>
      <c r="B69" s="11" t="n">
        <v>21.0649</v>
      </c>
      <c r="C69" s="11" t="n">
        <v>26.1667</v>
      </c>
      <c r="D69" s="11" t="n">
        <v>21.0649</v>
      </c>
      <c r="E69" s="11" t="n">
        <v>21.271</v>
      </c>
      <c r="F69" s="11" t="n">
        <v>23.7173</v>
      </c>
      <c r="G69" s="11" t="n">
        <v>22.6984</v>
      </c>
      <c r="H69" s="11" t="n">
        <v>18.5458</v>
      </c>
    </row>
    <row r="70">
      <c r="A70" s="3" t="inlineStr">
        <is>
          <t>Trasporti</t>
        </is>
      </c>
      <c r="B70" s="11" t="n">
        <v>10.1449</v>
      </c>
      <c r="C70" s="11" t="n">
        <v>16.377</v>
      </c>
      <c r="D70" s="11" t="n">
        <v>10.1449</v>
      </c>
      <c r="E70" s="11" t="n">
        <v>9.661300000000001</v>
      </c>
      <c r="F70" s="11" t="n">
        <v>10.37</v>
      </c>
      <c r="G70" s="11" t="n">
        <v>10.1699</v>
      </c>
      <c r="H70" s="11" t="n">
        <v>10.4321</v>
      </c>
    </row>
    <row r="71">
      <c r="A71" s="3" t="inlineStr">
        <is>
          <t>CPI nazionale generale</t>
        </is>
      </c>
      <c r="B71" s="11" t="n">
        <v>3.0803</v>
      </c>
      <c r="C71" s="11" t="n">
        <v>4.8847</v>
      </c>
      <c r="D71" s="11" t="n">
        <v>3.0803</v>
      </c>
      <c r="E71" s="11" t="n">
        <v>3.2541</v>
      </c>
      <c r="F71" s="11" t="n">
        <v>3.6596</v>
      </c>
      <c r="G71" s="11" t="n">
        <v>3.3945</v>
      </c>
      <c r="H71" s="11" t="n">
        <v>3.5446</v>
      </c>
    </row>
    <row r="74">
      <c r="A74" s="13" t="inlineStr">
        <is>
          <t>Francia - HICP generale: percorso a/a % ed effetto base</t>
        </is>
      </c>
    </row>
    <row r="75">
      <c r="A75" s="5" t="inlineStr">
        <is>
          <t>Mese</t>
        </is>
      </c>
      <c r="B75" s="5" t="inlineStr">
        <is>
          <t>Var. mensile che esce (anno prima)</t>
        </is>
      </c>
      <c r="C75" s="5" t="inlineStr">
        <is>
          <t>Momentum</t>
        </is>
      </c>
      <c r="D75" s="5" t="inlineStr">
        <is>
          <t>Neutro 1 anno</t>
        </is>
      </c>
      <c r="E75" s="5" t="inlineStr">
        <is>
          <t>Media 3 anni</t>
        </is>
      </c>
      <c r="F75" s="5" t="inlineStr">
        <is>
          <t>Media 5 anni</t>
        </is>
      </c>
      <c r="G75" s="5" t="inlineStr">
        <is>
          <t>Mediana 5 anni</t>
        </is>
      </c>
      <c r="H75" s="5" t="inlineStr">
        <is>
          <t>2%</t>
        </is>
      </c>
    </row>
    <row r="76">
      <c r="A76" s="9" t="n">
        <v>46296</v>
      </c>
      <c r="B76" s="11" t="n">
        <v>0.09</v>
      </c>
      <c r="C76" s="11" t="n">
        <v>4.2767</v>
      </c>
      <c r="D76" s="11" t="n">
        <v>3.419</v>
      </c>
      <c r="E76" s="11" t="n">
        <v>3.5248</v>
      </c>
      <c r="F76" s="11" t="n">
        <v>3.7922</v>
      </c>
      <c r="G76" s="11" t="n">
        <v>3.6497</v>
      </c>
      <c r="H76" s="11" t="n">
        <v>3.7921</v>
      </c>
    </row>
    <row r="77">
      <c r="A77" s="9" t="n">
        <v>46327</v>
      </c>
      <c r="B77" s="11" t="n">
        <v>-0.1998</v>
      </c>
      <c r="C77" s="11" t="n">
        <v>4.7452</v>
      </c>
      <c r="D77" s="11" t="n">
        <v>3.419</v>
      </c>
      <c r="E77" s="11" t="n">
        <v>3.5293</v>
      </c>
      <c r="F77" s="11" t="n">
        <v>4.05</v>
      </c>
      <c r="G77" s="11" t="n">
        <v>3.7107</v>
      </c>
      <c r="H77" s="11" t="n">
        <v>3.7739</v>
      </c>
    </row>
    <row r="78">
      <c r="A78" s="9" t="n">
        <v>46357</v>
      </c>
      <c r="B78" s="11" t="n">
        <v>0.0801</v>
      </c>
      <c r="C78" s="11" t="n">
        <v>5.3162</v>
      </c>
      <c r="D78" s="11" t="n">
        <v>3.419</v>
      </c>
      <c r="E78" s="11" t="n">
        <v>3.5966</v>
      </c>
      <c r="F78" s="11" t="n">
        <v>4.0848</v>
      </c>
      <c r="G78" s="11" t="n">
        <v>3.7765</v>
      </c>
      <c r="H78" s="11" t="n">
        <v>3.8547</v>
      </c>
    </row>
    <row r="81">
      <c r="A81" s="13" t="inlineStr">
        <is>
          <t>Spagna - inflazione annua % a 2026-12 per scenario</t>
        </is>
      </c>
    </row>
    <row r="82">
      <c r="A82" s="5" t="inlineStr">
        <is>
          <t>Misura</t>
        </is>
      </c>
      <c r="B82" s="5" t="inlineStr">
        <is>
          <t>a/a oggi</t>
        </is>
      </c>
      <c r="C82" s="5" t="inlineStr">
        <is>
          <t>Momentum</t>
        </is>
      </c>
      <c r="D82" s="5" t="inlineStr">
        <is>
          <t>Neutro 1 anno</t>
        </is>
      </c>
      <c r="E82" s="5" t="inlineStr">
        <is>
          <t>Media 3 anni</t>
        </is>
      </c>
      <c r="F82" s="5" t="inlineStr">
        <is>
          <t>Media 5 anni</t>
        </is>
      </c>
      <c r="G82" s="5" t="inlineStr">
        <is>
          <t>Mediana 5 anni</t>
        </is>
      </c>
      <c r="H82" s="5" t="inlineStr">
        <is>
          <t>2%</t>
        </is>
      </c>
    </row>
    <row r="83">
      <c r="A83" s="3" t="inlineStr">
        <is>
          <t>HICP generale</t>
        </is>
      </c>
      <c r="B83" s="11" t="n">
        <v>4.9592</v>
      </c>
      <c r="C83" s="11" t="n">
        <v>5.4493</v>
      </c>
      <c r="D83" s="11" t="n">
        <v>4.9592</v>
      </c>
      <c r="E83" s="11" t="n">
        <v>4.5652</v>
      </c>
      <c r="F83" s="11" t="n">
        <v>4.9277</v>
      </c>
      <c r="G83" s="11" t="n">
        <v>4.8152</v>
      </c>
      <c r="H83" s="11" t="n">
        <v>4.2182</v>
      </c>
    </row>
    <row r="84">
      <c r="A84" s="3" t="inlineStr">
        <is>
          <t>Core (escl. energia, alimentari, alcol e tabacchi)</t>
        </is>
      </c>
      <c r="B84" s="11" t="n">
        <v>3.4503</v>
      </c>
      <c r="C84" s="11" t="n">
        <v>3.2592</v>
      </c>
      <c r="D84" s="11" t="n">
        <v>3.4503</v>
      </c>
      <c r="E84" s="11" t="n">
        <v>3.307</v>
      </c>
      <c r="F84" s="11" t="n">
        <v>3.5819</v>
      </c>
      <c r="G84" s="11" t="n">
        <v>3.351</v>
      </c>
      <c r="H84" s="11" t="n">
        <v>3.0797</v>
      </c>
    </row>
    <row r="85">
      <c r="A85" s="3" t="inlineStr">
        <is>
          <t>Al netto degli energetici</t>
        </is>
      </c>
      <c r="B85" s="11" t="n">
        <v>3.3025</v>
      </c>
      <c r="C85" s="11" t="n">
        <v>3.2612</v>
      </c>
      <c r="D85" s="11" t="n">
        <v>3.3025</v>
      </c>
      <c r="E85" s="11" t="n">
        <v>3.096</v>
      </c>
      <c r="F85" s="11" t="n">
        <v>3.5813</v>
      </c>
      <c r="G85" s="11" t="n">
        <v>3.3089</v>
      </c>
      <c r="H85" s="11" t="n">
        <v>2.9673</v>
      </c>
    </row>
    <row r="86">
      <c r="A86" s="3" t="inlineStr">
        <is>
          <t>Beni</t>
        </is>
      </c>
      <c r="B86" s="11" t="n">
        <v>5.7775</v>
      </c>
      <c r="C86" s="11" t="n">
        <v>8.499700000000001</v>
      </c>
      <c r="D86" s="11" t="n">
        <v>5.7775</v>
      </c>
      <c r="E86" s="11" t="n">
        <v>5.1764</v>
      </c>
      <c r="F86" s="11" t="n">
        <v>5.658</v>
      </c>
      <c r="G86" s="11" t="n">
        <v>5.6429</v>
      </c>
      <c r="H86" s="11" t="n">
        <v>5.5525</v>
      </c>
    </row>
    <row r="87">
      <c r="A87" s="3" t="inlineStr">
        <is>
          <t>Servizi</t>
        </is>
      </c>
      <c r="B87" s="11" t="n">
        <v>4.1493</v>
      </c>
      <c r="C87" s="11" t="n">
        <v>4.1014</v>
      </c>
      <c r="D87" s="11" t="n">
        <v>4.1493</v>
      </c>
      <c r="E87" s="11" t="n">
        <v>3.9535</v>
      </c>
      <c r="F87" s="11" t="n">
        <v>4.0465</v>
      </c>
      <c r="G87" s="11" t="n">
        <v>4.0451</v>
      </c>
      <c r="H87" s="11" t="n">
        <v>3.4917</v>
      </c>
    </row>
    <row r="88">
      <c r="A88" s="3" t="inlineStr">
        <is>
          <t>Alimentari (incl. alcol e tabacchi)</t>
        </is>
      </c>
      <c r="B88" s="11" t="n">
        <v>2.6837</v>
      </c>
      <c r="C88" s="11" t="n">
        <v>2.7027</v>
      </c>
      <c r="D88" s="11" t="n">
        <v>2.6837</v>
      </c>
      <c r="E88" s="11" t="n">
        <v>2.2399</v>
      </c>
      <c r="F88" s="11" t="n">
        <v>3.1447</v>
      </c>
      <c r="G88" s="11" t="n">
        <v>2.6837</v>
      </c>
      <c r="H88" s="11" t="n">
        <v>2.1508</v>
      </c>
    </row>
    <row r="89">
      <c r="A89" s="3" t="inlineStr">
        <is>
          <t>Energia</t>
        </is>
      </c>
      <c r="B89" s="11" t="n">
        <v>22.1126</v>
      </c>
      <c r="C89" s="11" t="n">
        <v>15.7145</v>
      </c>
      <c r="D89" s="11" t="n">
        <v>22.1126</v>
      </c>
      <c r="E89" s="11" t="n">
        <v>19.4937</v>
      </c>
      <c r="F89" s="11" t="n">
        <v>18.4947</v>
      </c>
      <c r="G89" s="11" t="n">
        <v>19.6674</v>
      </c>
      <c r="H89" s="11" t="n">
        <v>11.188</v>
      </c>
    </row>
    <row r="90">
      <c r="A90" s="3" t="inlineStr">
        <is>
          <t>Trasporti</t>
        </is>
      </c>
      <c r="B90" s="11" t="n">
        <v>11.2921</v>
      </c>
      <c r="C90" s="11" t="n">
        <v>14.7571</v>
      </c>
      <c r="D90" s="11" t="n">
        <v>11.2921</v>
      </c>
      <c r="E90" s="11" t="n">
        <v>9.8086</v>
      </c>
      <c r="F90" s="11" t="n">
        <v>9.6814</v>
      </c>
      <c r="G90" s="11" t="n">
        <v>10.3513</v>
      </c>
      <c r="H90" s="11" t="n">
        <v>9.530799999999999</v>
      </c>
    </row>
    <row r="91">
      <c r="A91" s="3" t="inlineStr">
        <is>
          <t>CPI nazionale generale</t>
        </is>
      </c>
      <c r="B91" s="11" t="n">
        <v>4.9161</v>
      </c>
      <c r="C91" s="11" t="n">
        <v>3.665</v>
      </c>
      <c r="D91" s="11" t="n">
        <v>4.9161</v>
      </c>
      <c r="E91" s="11" t="n">
        <v>4.5106</v>
      </c>
      <c r="F91" s="11" t="n">
        <v>4.9318</v>
      </c>
      <c r="G91" s="11" t="n">
        <v>4.8487</v>
      </c>
      <c r="H91" s="11" t="n">
        <v>3.2382</v>
      </c>
    </row>
    <row r="94">
      <c r="A94" s="13" t="inlineStr">
        <is>
          <t>Spagna - HICP generale: percorso a/a % ed effetto base</t>
        </is>
      </c>
    </row>
    <row r="95">
      <c r="A95" s="5" t="inlineStr">
        <is>
          <t>Mese</t>
        </is>
      </c>
      <c r="B95" s="5" t="inlineStr">
        <is>
          <t>Var. mensile che esce (anno prima)</t>
        </is>
      </c>
      <c r="C95" s="5" t="inlineStr">
        <is>
          <t>Momentum</t>
        </is>
      </c>
      <c r="D95" s="5" t="inlineStr">
        <is>
          <t>Neutro 1 anno</t>
        </is>
      </c>
      <c r="E95" s="5" t="inlineStr">
        <is>
          <t>Media 3 anni</t>
        </is>
      </c>
      <c r="F95" s="5" t="inlineStr">
        <is>
          <t>Media 5 anni</t>
        </is>
      </c>
      <c r="G95" s="5" t="inlineStr">
        <is>
          <t>Mediana 5 anni</t>
        </is>
      </c>
      <c r="H95" s="5" t="inlineStr">
        <is>
          <t>2%</t>
        </is>
      </c>
    </row>
    <row r="96">
      <c r="A96" s="9" t="n">
        <v>46296</v>
      </c>
      <c r="B96" s="11" t="n">
        <v>0.5278</v>
      </c>
      <c r="C96" s="11" t="n">
        <v>5.1235</v>
      </c>
      <c r="D96" s="11" t="n">
        <v>4.9592</v>
      </c>
      <c r="E96" s="11" t="n">
        <v>4.8182</v>
      </c>
      <c r="F96" s="11" t="n">
        <v>4.9976</v>
      </c>
      <c r="G96" s="11" t="n">
        <v>4.8152</v>
      </c>
      <c r="H96" s="11" t="n">
        <v>4.7128</v>
      </c>
    </row>
    <row r="97">
      <c r="A97" s="9" t="n">
        <v>46327</v>
      </c>
      <c r="B97" s="11" t="n">
        <v>0.009900000000000001</v>
      </c>
      <c r="C97" s="11" t="n">
        <v>5.1703</v>
      </c>
      <c r="D97" s="11" t="n">
        <v>4.9592</v>
      </c>
      <c r="E97" s="11" t="n">
        <v>4.6362</v>
      </c>
      <c r="F97" s="11" t="n">
        <v>4.8647</v>
      </c>
      <c r="G97" s="11" t="n">
        <v>4.8152</v>
      </c>
      <c r="H97" s="11" t="n">
        <v>4.3502</v>
      </c>
    </row>
    <row r="98">
      <c r="A98" s="9" t="n">
        <v>46357</v>
      </c>
      <c r="B98" s="11" t="n">
        <v>0.3269</v>
      </c>
      <c r="C98" s="11" t="n">
        <v>5.4493</v>
      </c>
      <c r="D98" s="11" t="n">
        <v>4.9592</v>
      </c>
      <c r="E98" s="11" t="n">
        <v>4.5652</v>
      </c>
      <c r="F98" s="11" t="n">
        <v>4.9277</v>
      </c>
      <c r="G98" s="11" t="n">
        <v>4.8152</v>
      </c>
      <c r="H98" s="11" t="n">
        <v>4.2182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Distribuzione</t>
        </is>
      </c>
    </row>
    <row r="2">
      <c r="A2" s="4" t="inlineStr">
        <is>
          <t>Fasce sulla variazione annua delle voci elementari ECOICOP v2.</t>
        </is>
      </c>
    </row>
    <row r="4">
      <c r="A4" s="13" t="inlineStr">
        <is>
          <t>Area euro - 2026-09 - quota % delle voci per fascia, per peso</t>
        </is>
      </c>
    </row>
    <row r="5">
      <c r="A5" s="5" t="inlineStr">
        <is>
          <t>Gruppo</t>
        </is>
      </c>
      <c r="B5" s="5" t="inlineStr">
        <is>
          <t>oltre 5%</t>
        </is>
      </c>
      <c r="C5" s="5" t="inlineStr">
        <is>
          <t>3-5%</t>
        </is>
      </c>
      <c r="D5" s="5" t="inlineStr">
        <is>
          <t>2-3%</t>
        </is>
      </c>
      <c r="E5" s="5" t="inlineStr">
        <is>
          <t>1,5-2%</t>
        </is>
      </c>
      <c r="F5" s="5" t="inlineStr">
        <is>
          <t>sotto 1,5%</t>
        </is>
      </c>
    </row>
    <row r="6">
      <c r="A6" s="3" t="inlineStr">
        <is>
          <t>Totale</t>
        </is>
      </c>
      <c r="B6" s="11" t="n">
        <v>15.0013</v>
      </c>
      <c r="C6" s="11" t="n">
        <v>28.6554</v>
      </c>
      <c r="D6" s="11" t="n">
        <v>14.6296</v>
      </c>
      <c r="E6" s="11" t="n">
        <v>6.8954</v>
      </c>
      <c r="F6" s="11" t="n">
        <v>34.8184</v>
      </c>
    </row>
    <row r="7">
      <c r="A7" s="3" t="inlineStr">
        <is>
          <t>Alimentari</t>
        </is>
      </c>
      <c r="B7" s="11" t="n">
        <v>9.004</v>
      </c>
      <c r="C7" s="11" t="n">
        <v>16.9624</v>
      </c>
      <c r="D7" s="11" t="n">
        <v>0.0158</v>
      </c>
      <c r="E7" s="11" t="n">
        <v>17.9024</v>
      </c>
      <c r="F7" s="11" t="n">
        <v>56.1153</v>
      </c>
    </row>
    <row r="8">
      <c r="A8" s="3" t="inlineStr">
        <is>
          <t>Beni industriali</t>
        </is>
      </c>
      <c r="B8" s="11" t="n">
        <v>8.7224</v>
      </c>
      <c r="C8" s="11" t="n">
        <v>3.0888</v>
      </c>
      <c r="D8" s="11" t="n">
        <v>2.1558</v>
      </c>
      <c r="E8" s="11" t="n">
        <v>6.0346</v>
      </c>
      <c r="F8" s="11" t="n">
        <v>79.9984</v>
      </c>
    </row>
    <row r="9">
      <c r="A9" s="3" t="inlineStr">
        <is>
          <t>Energia</t>
        </is>
      </c>
      <c r="B9" s="11" t="n">
        <v>68.1653</v>
      </c>
      <c r="C9" s="11" t="n">
        <v>31.8347</v>
      </c>
      <c r="D9" s="11" t="n">
        <v>0</v>
      </c>
      <c r="E9" s="11" t="n">
        <v>0</v>
      </c>
      <c r="F9" s="11" t="n">
        <v>0</v>
      </c>
    </row>
    <row r="10">
      <c r="A10" s="3" t="inlineStr">
        <is>
          <t>Servizi</t>
        </is>
      </c>
      <c r="B10" s="11" t="n">
        <v>10.3715</v>
      </c>
      <c r="C10" s="11" t="n">
        <v>47.0331</v>
      </c>
      <c r="D10" s="11" t="n">
        <v>30.5279</v>
      </c>
      <c r="E10" s="11" t="n">
        <v>4.1675</v>
      </c>
      <c r="F10" s="11" t="n">
        <v>7.9</v>
      </c>
    </row>
    <row r="13">
      <c r="A13" s="13" t="inlineStr">
        <is>
          <t>Area euro - 2026-09 - quota % delle voci per fascia, per numero di voci</t>
        </is>
      </c>
    </row>
    <row r="14">
      <c r="A14" s="5" t="inlineStr">
        <is>
          <t>Gruppo</t>
        </is>
      </c>
      <c r="B14" s="5" t="inlineStr">
        <is>
          <t>oltre 5%</t>
        </is>
      </c>
      <c r="C14" s="5" t="inlineStr">
        <is>
          <t>3-5%</t>
        </is>
      </c>
      <c r="D14" s="5" t="inlineStr">
        <is>
          <t>2-3%</t>
        </is>
      </c>
      <c r="E14" s="5" t="inlineStr">
        <is>
          <t>1,5-2%</t>
        </is>
      </c>
      <c r="F14" s="5" t="inlineStr">
        <is>
          <t>sotto 1,5%</t>
        </is>
      </c>
    </row>
    <row r="15">
      <c r="A15" s="3" t="inlineStr">
        <is>
          <t>Totale</t>
        </is>
      </c>
      <c r="B15" s="11" t="n">
        <v>14.8148</v>
      </c>
      <c r="C15" s="11" t="n">
        <v>22.2222</v>
      </c>
      <c r="D15" s="11" t="n">
        <v>14.0741</v>
      </c>
      <c r="E15" s="11" t="n">
        <v>8.148099999999999</v>
      </c>
      <c r="F15" s="11" t="n">
        <v>40.7407</v>
      </c>
    </row>
    <row r="16">
      <c r="A16" s="3" t="inlineStr">
        <is>
          <t>Alimentari</t>
        </is>
      </c>
      <c r="B16" s="11" t="n">
        <v>4.7619</v>
      </c>
      <c r="C16" s="11" t="n">
        <v>19.0476</v>
      </c>
      <c r="D16" s="11" t="n">
        <v>4.7619</v>
      </c>
      <c r="E16" s="11" t="n">
        <v>9.5238</v>
      </c>
      <c r="F16" s="11" t="n">
        <v>61.9048</v>
      </c>
    </row>
    <row r="17">
      <c r="A17" s="3" t="inlineStr">
        <is>
          <t>Beni industriali</t>
        </is>
      </c>
      <c r="B17" s="11" t="n">
        <v>13.6364</v>
      </c>
      <c r="C17" s="11" t="n">
        <v>4.5455</v>
      </c>
      <c r="D17" s="11" t="n">
        <v>2.2727</v>
      </c>
      <c r="E17" s="11" t="n">
        <v>9.0909</v>
      </c>
      <c r="F17" s="11" t="n">
        <v>70.4545</v>
      </c>
    </row>
    <row r="18">
      <c r="A18" s="3" t="inlineStr">
        <is>
          <t>Energia</t>
        </is>
      </c>
      <c r="B18" s="11" t="n">
        <v>83.33329999999999</v>
      </c>
      <c r="C18" s="11" t="n">
        <v>16.6667</v>
      </c>
      <c r="D18" s="11" t="n">
        <v>0</v>
      </c>
      <c r="E18" s="11" t="n">
        <v>0</v>
      </c>
      <c r="F18" s="11" t="n">
        <v>0</v>
      </c>
    </row>
    <row r="19">
      <c r="A19" s="3" t="inlineStr">
        <is>
          <t>Servizi</t>
        </is>
      </c>
      <c r="B19" s="11" t="n">
        <v>12.5</v>
      </c>
      <c r="C19" s="11" t="n">
        <v>35.9375</v>
      </c>
      <c r="D19" s="11" t="n">
        <v>26.5625</v>
      </c>
      <c r="E19" s="11" t="n">
        <v>7.8125</v>
      </c>
      <c r="F19" s="11" t="n">
        <v>17.1875</v>
      </c>
    </row>
    <row r="22">
      <c r="A22" s="13" t="inlineStr">
        <is>
          <t>Area euro - per divisione ECOICOP, quota % per peso</t>
        </is>
      </c>
    </row>
    <row r="23">
      <c r="A23" s="5" t="inlineStr">
        <is>
          <t>Divisione</t>
        </is>
      </c>
      <c r="B23" s="5" t="inlineStr">
        <is>
          <t>oltre 5%</t>
        </is>
      </c>
      <c r="C23" s="5" t="inlineStr">
        <is>
          <t>3-5%</t>
        </is>
      </c>
      <c r="D23" s="5" t="inlineStr">
        <is>
          <t>2-3%</t>
        </is>
      </c>
      <c r="E23" s="5" t="inlineStr">
        <is>
          <t>1,5-2%</t>
        </is>
      </c>
      <c r="F23" s="5" t="inlineStr">
        <is>
          <t>sotto 1,5%</t>
        </is>
      </c>
    </row>
    <row r="24">
      <c r="A24" s="3" t="inlineStr">
        <is>
          <t>Abbigliamento e calzature</t>
        </is>
      </c>
      <c r="B24" s="11" t="n">
        <v>0</v>
      </c>
      <c r="C24" s="11" t="n">
        <v>2.1934</v>
      </c>
      <c r="D24" s="11" t="n">
        <v>0</v>
      </c>
      <c r="E24" s="11" t="n">
        <v>0</v>
      </c>
      <c r="F24" s="11" t="n">
        <v>97.8066</v>
      </c>
    </row>
    <row r="25">
      <c r="A25" s="3" t="inlineStr">
        <is>
          <t>Abitazione e utenze</t>
        </is>
      </c>
      <c r="B25" s="11" t="n">
        <v>16.129</v>
      </c>
      <c r="C25" s="11" t="n">
        <v>40.883</v>
      </c>
      <c r="D25" s="11" t="n">
        <v>38.0262</v>
      </c>
      <c r="E25" s="11" t="n">
        <v>4.9617</v>
      </c>
      <c r="F25" s="11" t="n">
        <v>0</v>
      </c>
    </row>
    <row r="26">
      <c r="A26" s="3" t="inlineStr">
        <is>
          <t>Alcolici e tabacchi</t>
        </is>
      </c>
      <c r="B26" s="11" t="n">
        <v>0</v>
      </c>
      <c r="C26" s="11" t="n">
        <v>57.8445</v>
      </c>
      <c r="D26" s="11" t="n">
        <v>0</v>
      </c>
      <c r="E26" s="11" t="n">
        <v>0</v>
      </c>
      <c r="F26" s="11" t="n">
        <v>42.1555</v>
      </c>
    </row>
    <row r="27">
      <c r="A27" s="3" t="inlineStr">
        <is>
          <t>Alimentari e bevande analcoliche</t>
        </is>
      </c>
      <c r="B27" s="11" t="n">
        <v>11.0909</v>
      </c>
      <c r="C27" s="11" t="n">
        <v>7.4872</v>
      </c>
      <c r="D27" s="11" t="n">
        <v>0.0195</v>
      </c>
      <c r="E27" s="11" t="n">
        <v>22.0516</v>
      </c>
      <c r="F27" s="11" t="n">
        <v>59.3508</v>
      </c>
    </row>
    <row r="28">
      <c r="A28" s="3" t="inlineStr">
        <is>
          <t>Assicurazioni e servizi finanziari</t>
        </is>
      </c>
      <c r="B28" s="11" t="n">
        <v>0</v>
      </c>
      <c r="C28" s="11" t="n">
        <v>55.442</v>
      </c>
      <c r="D28" s="11" t="n">
        <v>14.281</v>
      </c>
      <c r="E28" s="11" t="n">
        <v>0</v>
      </c>
      <c r="F28" s="11" t="n">
        <v>30.277</v>
      </c>
    </row>
    <row r="29">
      <c r="A29" s="3" t="inlineStr">
        <is>
          <t>Cura della persona e altri</t>
        </is>
      </c>
      <c r="B29" s="11" t="n">
        <v>7.6911</v>
      </c>
      <c r="C29" s="11" t="n">
        <v>38.61</v>
      </c>
      <c r="D29" s="11" t="n">
        <v>23.0579</v>
      </c>
      <c r="E29" s="11" t="n">
        <v>0</v>
      </c>
      <c r="F29" s="11" t="n">
        <v>30.6409</v>
      </c>
    </row>
    <row r="30">
      <c r="A30" s="3" t="inlineStr">
        <is>
          <t>Informazione e comunicazione</t>
        </is>
      </c>
      <c r="B30" s="11" t="n">
        <v>16.1605</v>
      </c>
      <c r="C30" s="11" t="n">
        <v>0</v>
      </c>
      <c r="D30" s="11" t="n">
        <v>7.2089</v>
      </c>
      <c r="E30" s="11" t="n">
        <v>18.9596</v>
      </c>
      <c r="F30" s="11" t="n">
        <v>57.671</v>
      </c>
    </row>
    <row r="31">
      <c r="A31" s="3" t="inlineStr">
        <is>
          <t>Istruzione</t>
        </is>
      </c>
      <c r="B31" s="11" t="n">
        <v>0</v>
      </c>
      <c r="C31" s="11" t="n">
        <v>53.1725</v>
      </c>
      <c r="D31" s="11" t="n">
        <v>46.8275</v>
      </c>
      <c r="E31" s="11" t="n">
        <v>0</v>
      </c>
      <c r="F31" s="11" t="n">
        <v>0</v>
      </c>
    </row>
    <row r="32">
      <c r="A32" s="3" t="inlineStr">
        <is>
          <t>Mobili e articoli per la casa</t>
        </is>
      </c>
      <c r="B32" s="11" t="n">
        <v>0</v>
      </c>
      <c r="C32" s="11" t="n">
        <v>14.7345</v>
      </c>
      <c r="D32" s="11" t="n">
        <v>0.3818</v>
      </c>
      <c r="E32" s="11" t="n">
        <v>6.6644</v>
      </c>
      <c r="F32" s="11" t="n">
        <v>78.21939999999999</v>
      </c>
    </row>
    <row r="33">
      <c r="A33" s="3" t="inlineStr">
        <is>
          <t>Ricreazione, sport e cultura</t>
        </is>
      </c>
      <c r="B33" s="11" t="n">
        <v>2.8309</v>
      </c>
      <c r="C33" s="11" t="n">
        <v>21.89</v>
      </c>
      <c r="D33" s="11" t="n">
        <v>36.7624</v>
      </c>
      <c r="E33" s="11" t="n">
        <v>6.1536</v>
      </c>
      <c r="F33" s="11" t="n">
        <v>32.3631</v>
      </c>
    </row>
    <row r="34">
      <c r="A34" s="3" t="inlineStr">
        <is>
          <t>Ristorazione e alloggio</t>
        </is>
      </c>
      <c r="B34" s="11" t="n">
        <v>21.0258</v>
      </c>
      <c r="C34" s="11" t="n">
        <v>73.8454</v>
      </c>
      <c r="D34" s="11" t="n">
        <v>0</v>
      </c>
      <c r="E34" s="11" t="n">
        <v>0</v>
      </c>
      <c r="F34" s="11" t="n">
        <v>5.1289</v>
      </c>
    </row>
    <row r="35">
      <c r="A35" s="3" t="inlineStr">
        <is>
          <t>Salute</t>
        </is>
      </c>
      <c r="B35" s="11" t="n">
        <v>29.7316</v>
      </c>
      <c r="C35" s="11" t="n">
        <v>17.4652</v>
      </c>
      <c r="D35" s="11" t="n">
        <v>27.3361</v>
      </c>
      <c r="E35" s="11" t="n">
        <v>5.4876</v>
      </c>
      <c r="F35" s="11" t="n">
        <v>19.9796</v>
      </c>
    </row>
    <row r="36">
      <c r="A36" s="3" t="inlineStr">
        <is>
          <t>Trasporti</t>
        </is>
      </c>
      <c r="B36" s="11" t="n">
        <v>34.4374</v>
      </c>
      <c r="C36" s="11" t="n">
        <v>14.1364</v>
      </c>
      <c r="D36" s="11" t="n">
        <v>11.5339</v>
      </c>
      <c r="E36" s="11" t="n">
        <v>5.2773</v>
      </c>
      <c r="F36" s="11" t="n">
        <v>34.6149</v>
      </c>
    </row>
    <row r="39">
      <c r="A39" s="13" t="inlineStr">
        <is>
          <t>Area euro - storico quota % del paniere per fascia (per peso)</t>
        </is>
      </c>
    </row>
    <row r="40">
      <c r="A40" s="5" t="inlineStr">
        <is>
          <t>Mese</t>
        </is>
      </c>
      <c r="B40" s="5" t="inlineStr">
        <is>
          <t>oltre 5%</t>
        </is>
      </c>
      <c r="C40" s="5" t="inlineStr">
        <is>
          <t>3-5%</t>
        </is>
      </c>
      <c r="D40" s="5" t="inlineStr">
        <is>
          <t>2-3%</t>
        </is>
      </c>
      <c r="E40" s="5" t="inlineStr">
        <is>
          <t>1,5-2%</t>
        </is>
      </c>
      <c r="F40" s="5" t="inlineStr">
        <is>
          <t>sotto 1,5%</t>
        </is>
      </c>
    </row>
    <row r="41">
      <c r="A41" s="9" t="n">
        <v>43466</v>
      </c>
      <c r="B41" s="11" t="n">
        <v>6.9818</v>
      </c>
      <c r="C41" s="11" t="n">
        <v>4.5829</v>
      </c>
      <c r="D41" s="11" t="n">
        <v>16.9315</v>
      </c>
      <c r="E41" s="11" t="n">
        <v>13.0546</v>
      </c>
      <c r="F41" s="11" t="n">
        <v>58.4492</v>
      </c>
    </row>
    <row r="42">
      <c r="A42" s="9" t="n">
        <v>43497</v>
      </c>
      <c r="B42" s="11" t="n">
        <v>7.0198</v>
      </c>
      <c r="C42" s="11" t="n">
        <v>4.6929</v>
      </c>
      <c r="D42" s="11" t="n">
        <v>17.3795</v>
      </c>
      <c r="E42" s="11" t="n">
        <v>8.357699999999999</v>
      </c>
      <c r="F42" s="11" t="n">
        <v>62.5501</v>
      </c>
    </row>
    <row r="43">
      <c r="A43" s="9" t="n">
        <v>43525</v>
      </c>
      <c r="B43" s="11" t="n">
        <v>4.7549</v>
      </c>
      <c r="C43" s="11" t="n">
        <v>11.2237</v>
      </c>
      <c r="D43" s="11" t="n">
        <v>14.6776</v>
      </c>
      <c r="E43" s="11" t="n">
        <v>14.8836</v>
      </c>
      <c r="F43" s="11" t="n">
        <v>54.4604</v>
      </c>
    </row>
    <row r="44">
      <c r="A44" s="9" t="n">
        <v>43556</v>
      </c>
      <c r="B44" s="11" t="n">
        <v>11.3267</v>
      </c>
      <c r="C44" s="11" t="n">
        <v>8.9887</v>
      </c>
      <c r="D44" s="11" t="n">
        <v>16.7495</v>
      </c>
      <c r="E44" s="11" t="n">
        <v>6.8738</v>
      </c>
      <c r="F44" s="11" t="n">
        <v>56.0613</v>
      </c>
    </row>
    <row r="45">
      <c r="A45" s="9" t="n">
        <v>43586</v>
      </c>
      <c r="B45" s="11" t="n">
        <v>4.9079</v>
      </c>
      <c r="C45" s="11" t="n">
        <v>8.2178</v>
      </c>
      <c r="D45" s="11" t="n">
        <v>22.1773</v>
      </c>
      <c r="E45" s="11" t="n">
        <v>11.2167</v>
      </c>
      <c r="F45" s="11" t="n">
        <v>53.4804</v>
      </c>
    </row>
    <row r="46">
      <c r="A46" s="9" t="n">
        <v>43617</v>
      </c>
      <c r="B46" s="11" t="n">
        <v>4.0519</v>
      </c>
      <c r="C46" s="11" t="n">
        <v>8.5977</v>
      </c>
      <c r="D46" s="11" t="n">
        <v>21.5064</v>
      </c>
      <c r="E46" s="11" t="n">
        <v>12.0246</v>
      </c>
      <c r="F46" s="11" t="n">
        <v>53.8194</v>
      </c>
    </row>
    <row r="47">
      <c r="A47" s="9" t="n">
        <v>43647</v>
      </c>
      <c r="B47" s="11" t="n">
        <v>1.8859</v>
      </c>
      <c r="C47" s="11" t="n">
        <v>4.0789</v>
      </c>
      <c r="D47" s="11" t="n">
        <v>22.5313</v>
      </c>
      <c r="E47" s="11" t="n">
        <v>18.4654</v>
      </c>
      <c r="F47" s="11" t="n">
        <v>53.0384</v>
      </c>
    </row>
    <row r="48">
      <c r="A48" s="9" t="n">
        <v>43678</v>
      </c>
      <c r="B48" s="11" t="n">
        <v>1.8479</v>
      </c>
      <c r="C48" s="11" t="n">
        <v>5.0988</v>
      </c>
      <c r="D48" s="11" t="n">
        <v>23.7543</v>
      </c>
      <c r="E48" s="11" t="n">
        <v>17.0105</v>
      </c>
      <c r="F48" s="11" t="n">
        <v>52.2884</v>
      </c>
    </row>
    <row r="49">
      <c r="A49" s="9" t="n">
        <v>43709</v>
      </c>
      <c r="B49" s="11" t="n">
        <v>0.196</v>
      </c>
      <c r="C49" s="11" t="n">
        <v>4.2429</v>
      </c>
      <c r="D49" s="11" t="n">
        <v>21.5164</v>
      </c>
      <c r="E49" s="11" t="n">
        <v>19.0124</v>
      </c>
      <c r="F49" s="11" t="n">
        <v>55.0323</v>
      </c>
    </row>
    <row r="50">
      <c r="A50" s="9" t="n">
        <v>43739</v>
      </c>
      <c r="B50" s="11" t="n">
        <v>1.017</v>
      </c>
      <c r="C50" s="11" t="n">
        <v>6.4138</v>
      </c>
      <c r="D50" s="11" t="n">
        <v>16.5445</v>
      </c>
      <c r="E50" s="11" t="n">
        <v>16.5045</v>
      </c>
      <c r="F50" s="11" t="n">
        <v>59.5202</v>
      </c>
    </row>
    <row r="51">
      <c r="A51" s="9" t="n">
        <v>43770</v>
      </c>
      <c r="B51" s="11" t="n">
        <v>2.4799</v>
      </c>
      <c r="C51" s="11" t="n">
        <v>8.3757</v>
      </c>
      <c r="D51" s="11" t="n">
        <v>16.9155</v>
      </c>
      <c r="E51" s="11" t="n">
        <v>5.7078</v>
      </c>
      <c r="F51" s="11" t="n">
        <v>66.521</v>
      </c>
    </row>
    <row r="52">
      <c r="A52" s="9" t="n">
        <v>43800</v>
      </c>
      <c r="B52" s="11" t="n">
        <v>2.4799</v>
      </c>
      <c r="C52" s="11" t="n">
        <v>9.0807</v>
      </c>
      <c r="D52" s="11" t="n">
        <v>15.3855</v>
      </c>
      <c r="E52" s="11" t="n">
        <v>12.9726</v>
      </c>
      <c r="F52" s="11" t="n">
        <v>60.0812</v>
      </c>
    </row>
    <row r="53">
      <c r="A53" s="9" t="n">
        <v>43831</v>
      </c>
      <c r="B53" s="11" t="n">
        <v>7.7524</v>
      </c>
      <c r="C53" s="11" t="n">
        <v>7.1624</v>
      </c>
      <c r="D53" s="11" t="n">
        <v>8.9504</v>
      </c>
      <c r="E53" s="11" t="n">
        <v>24.5762</v>
      </c>
      <c r="F53" s="11" t="n">
        <v>51.5586</v>
      </c>
    </row>
    <row r="54">
      <c r="A54" s="9" t="n">
        <v>43862</v>
      </c>
      <c r="B54" s="11" t="n">
        <v>4.6262</v>
      </c>
      <c r="C54" s="11" t="n">
        <v>5.2013</v>
      </c>
      <c r="D54" s="11" t="n">
        <v>14.2767</v>
      </c>
      <c r="E54" s="11" t="n">
        <v>22.2581</v>
      </c>
      <c r="F54" s="11" t="n">
        <v>53.6377</v>
      </c>
    </row>
    <row r="55">
      <c r="A55" s="9" t="n">
        <v>43891</v>
      </c>
      <c r="B55" s="11" t="n">
        <v>4.6842</v>
      </c>
      <c r="C55" s="11" t="n">
        <v>4.6732</v>
      </c>
      <c r="D55" s="11" t="n">
        <v>6.1033</v>
      </c>
      <c r="E55" s="11" t="n">
        <v>17.9319</v>
      </c>
      <c r="F55" s="11" t="n">
        <v>66.6073</v>
      </c>
    </row>
    <row r="56">
      <c r="A56" s="9" t="n">
        <v>43922</v>
      </c>
      <c r="B56" s="11" t="n">
        <v>8.6614</v>
      </c>
      <c r="C56" s="11" t="n">
        <v>2.9381</v>
      </c>
      <c r="D56" s="11" t="n">
        <v>5.1803</v>
      </c>
      <c r="E56" s="11" t="n">
        <v>17.0819</v>
      </c>
      <c r="F56" s="11" t="n">
        <v>66.1383</v>
      </c>
    </row>
    <row r="57">
      <c r="A57" s="9" t="n">
        <v>43952</v>
      </c>
      <c r="B57" s="11" t="n">
        <v>7.3134</v>
      </c>
      <c r="C57" s="11" t="n">
        <v>4.0802</v>
      </c>
      <c r="D57" s="11" t="n">
        <v>7.1384</v>
      </c>
      <c r="E57" s="11" t="n">
        <v>15.0218</v>
      </c>
      <c r="F57" s="11" t="n">
        <v>66.44629999999999</v>
      </c>
    </row>
    <row r="58">
      <c r="A58" s="9" t="n">
        <v>43983</v>
      </c>
      <c r="B58" s="11" t="n">
        <v>4.0782</v>
      </c>
      <c r="C58" s="11" t="n">
        <v>6.0353</v>
      </c>
      <c r="D58" s="11" t="n">
        <v>7.0674</v>
      </c>
      <c r="E58" s="11" t="n">
        <v>12.1136</v>
      </c>
      <c r="F58" s="11" t="n">
        <v>70.7055</v>
      </c>
    </row>
    <row r="59">
      <c r="A59" s="9" t="n">
        <v>44013</v>
      </c>
      <c r="B59" s="11" t="n">
        <v>8.635400000000001</v>
      </c>
      <c r="C59" s="11" t="n">
        <v>6.9833</v>
      </c>
      <c r="D59" s="11" t="n">
        <v>6.6713</v>
      </c>
      <c r="E59" s="11" t="n">
        <v>12.2586</v>
      </c>
      <c r="F59" s="11" t="n">
        <v>65.4513</v>
      </c>
    </row>
    <row r="60">
      <c r="A60" s="9" t="n">
        <v>44044</v>
      </c>
      <c r="B60" s="11" t="n">
        <v>4.3932</v>
      </c>
      <c r="C60" s="11" t="n">
        <v>5.6263</v>
      </c>
      <c r="D60" s="11" t="n">
        <v>4.6182</v>
      </c>
      <c r="E60" s="11" t="n">
        <v>13.0857</v>
      </c>
      <c r="F60" s="11" t="n">
        <v>72.2766</v>
      </c>
    </row>
    <row r="61">
      <c r="A61" s="9" t="n">
        <v>44075</v>
      </c>
      <c r="B61" s="11" t="n">
        <v>4.3932</v>
      </c>
      <c r="C61" s="11" t="n">
        <v>2.3451</v>
      </c>
      <c r="D61" s="11" t="n">
        <v>7.2144</v>
      </c>
      <c r="E61" s="11" t="n">
        <v>13.5777</v>
      </c>
      <c r="F61" s="11" t="n">
        <v>72.4696</v>
      </c>
    </row>
    <row r="62">
      <c r="A62" s="9" t="n">
        <v>44105</v>
      </c>
      <c r="B62" s="11" t="n">
        <v>4.3892</v>
      </c>
      <c r="C62" s="11" t="n">
        <v>4.0802</v>
      </c>
      <c r="D62" s="11" t="n">
        <v>8.4724</v>
      </c>
      <c r="E62" s="11" t="n">
        <v>12.2296</v>
      </c>
      <c r="F62" s="11" t="n">
        <v>70.82850000000001</v>
      </c>
    </row>
    <row r="63">
      <c r="A63" s="9" t="n">
        <v>44136</v>
      </c>
      <c r="B63" s="11" t="n">
        <v>4.0022</v>
      </c>
      <c r="C63" s="11" t="n">
        <v>4.4672</v>
      </c>
      <c r="D63" s="11" t="n">
        <v>8.0694</v>
      </c>
      <c r="E63" s="11" t="n">
        <v>12.9436</v>
      </c>
      <c r="F63" s="11" t="n">
        <v>70.5175</v>
      </c>
    </row>
    <row r="64">
      <c r="A64" s="9" t="n">
        <v>44166</v>
      </c>
      <c r="B64" s="11" t="n">
        <v>2.7441</v>
      </c>
      <c r="C64" s="11" t="n">
        <v>4.2282</v>
      </c>
      <c r="D64" s="11" t="n">
        <v>4.8192</v>
      </c>
      <c r="E64" s="11" t="n">
        <v>16.1408</v>
      </c>
      <c r="F64" s="11" t="n">
        <v>72.0676</v>
      </c>
    </row>
    <row r="65">
      <c r="A65" s="9" t="n">
        <v>44197</v>
      </c>
      <c r="B65" s="11" t="n">
        <v>3.4552</v>
      </c>
      <c r="C65" s="11" t="n">
        <v>12.1316</v>
      </c>
      <c r="D65" s="11" t="n">
        <v>5.7663</v>
      </c>
      <c r="E65" s="11" t="n">
        <v>16.7458</v>
      </c>
      <c r="F65" s="11" t="n">
        <v>61.9011</v>
      </c>
    </row>
    <row r="66">
      <c r="A66" s="9" t="n">
        <v>44228</v>
      </c>
      <c r="B66" s="11" t="n">
        <v>3.6212</v>
      </c>
      <c r="C66" s="11" t="n">
        <v>6.3763</v>
      </c>
      <c r="D66" s="11" t="n">
        <v>5.4423</v>
      </c>
      <c r="E66" s="11" t="n">
        <v>10.0815</v>
      </c>
      <c r="F66" s="11" t="n">
        <v>74.4787</v>
      </c>
    </row>
    <row r="67">
      <c r="A67" s="9" t="n">
        <v>44256</v>
      </c>
      <c r="B67" s="11" t="n">
        <v>4.1132</v>
      </c>
      <c r="C67" s="11" t="n">
        <v>12.9226</v>
      </c>
      <c r="D67" s="11" t="n">
        <v>5.4773</v>
      </c>
      <c r="E67" s="11" t="n">
        <v>13.9337</v>
      </c>
      <c r="F67" s="11" t="n">
        <v>63.5532</v>
      </c>
    </row>
    <row r="68">
      <c r="A68" s="9" t="n">
        <v>44287</v>
      </c>
      <c r="B68" s="11" t="n">
        <v>8.2264</v>
      </c>
      <c r="C68" s="11" t="n">
        <v>10.4745</v>
      </c>
      <c r="D68" s="11" t="n">
        <v>4.9892</v>
      </c>
      <c r="E68" s="11" t="n">
        <v>14.5007</v>
      </c>
      <c r="F68" s="11" t="n">
        <v>61.8091</v>
      </c>
    </row>
    <row r="69">
      <c r="A69" s="9" t="n">
        <v>44317</v>
      </c>
      <c r="B69" s="11" t="n">
        <v>7.7134</v>
      </c>
      <c r="C69" s="11" t="n">
        <v>10.2895</v>
      </c>
      <c r="D69" s="11" t="n">
        <v>11.0996</v>
      </c>
      <c r="E69" s="11" t="n">
        <v>10.6595</v>
      </c>
      <c r="F69" s="11" t="n">
        <v>60.238</v>
      </c>
    </row>
    <row r="70">
      <c r="A70" s="9" t="n">
        <v>44348</v>
      </c>
      <c r="B70" s="11" t="n">
        <v>9.5885</v>
      </c>
      <c r="C70" s="11" t="n">
        <v>7.8304</v>
      </c>
      <c r="D70" s="11" t="n">
        <v>19.395</v>
      </c>
      <c r="E70" s="11" t="n">
        <v>7.9504</v>
      </c>
      <c r="F70" s="11" t="n">
        <v>55.2358</v>
      </c>
    </row>
    <row r="71">
      <c r="A71" s="9" t="n">
        <v>44378</v>
      </c>
      <c r="B71" s="11" t="n">
        <v>10.9065</v>
      </c>
      <c r="C71" s="11" t="n">
        <v>7.9104</v>
      </c>
      <c r="D71" s="11" t="n">
        <v>23.4182</v>
      </c>
      <c r="E71" s="11" t="n">
        <v>7.5694</v>
      </c>
      <c r="F71" s="11" t="n">
        <v>50.1955</v>
      </c>
    </row>
    <row r="72">
      <c r="A72" s="9" t="n">
        <v>44409</v>
      </c>
      <c r="B72" s="11" t="n">
        <v>11.5316</v>
      </c>
      <c r="C72" s="11" t="n">
        <v>19.674</v>
      </c>
      <c r="D72" s="11" t="n">
        <v>18.7629</v>
      </c>
      <c r="E72" s="11" t="n">
        <v>8.481400000000001</v>
      </c>
      <c r="F72" s="11" t="n">
        <v>41.5501</v>
      </c>
    </row>
    <row r="73">
      <c r="A73" s="9" t="n">
        <v>44440</v>
      </c>
      <c r="B73" s="11" t="n">
        <v>11.8006</v>
      </c>
      <c r="C73" s="11" t="n">
        <v>16.2698</v>
      </c>
      <c r="D73" s="11" t="n">
        <v>17.1429</v>
      </c>
      <c r="E73" s="11" t="n">
        <v>21.4591</v>
      </c>
      <c r="F73" s="11" t="n">
        <v>33.3277</v>
      </c>
    </row>
    <row r="74">
      <c r="A74" s="9" t="n">
        <v>44470</v>
      </c>
      <c r="B74" s="11" t="n">
        <v>12.3766</v>
      </c>
      <c r="C74" s="11" t="n">
        <v>16.8708</v>
      </c>
      <c r="D74" s="11" t="n">
        <v>22.3851</v>
      </c>
      <c r="E74" s="11" t="n">
        <v>11.7456</v>
      </c>
      <c r="F74" s="11" t="n">
        <v>36.6218</v>
      </c>
    </row>
    <row r="75">
      <c r="A75" s="9" t="n">
        <v>44501</v>
      </c>
      <c r="B75" s="11" t="n">
        <v>13.7067</v>
      </c>
      <c r="C75" s="11" t="n">
        <v>14.3167</v>
      </c>
      <c r="D75" s="11" t="n">
        <v>31.0936</v>
      </c>
      <c r="E75" s="11" t="n">
        <v>11.5896</v>
      </c>
      <c r="F75" s="11" t="n">
        <v>29.2935</v>
      </c>
    </row>
    <row r="76">
      <c r="A76" s="9" t="n">
        <v>44531</v>
      </c>
      <c r="B76" s="11" t="n">
        <v>20.828</v>
      </c>
      <c r="C76" s="11" t="n">
        <v>18.0889</v>
      </c>
      <c r="D76" s="11" t="n">
        <v>30.3515</v>
      </c>
      <c r="E76" s="11" t="n">
        <v>10.6035</v>
      </c>
      <c r="F76" s="11" t="n">
        <v>20.128</v>
      </c>
    </row>
    <row r="77">
      <c r="A77" s="9" t="n">
        <v>44562</v>
      </c>
      <c r="B77" s="11" t="n">
        <v>23.0747</v>
      </c>
      <c r="C77" s="11" t="n">
        <v>26.6898</v>
      </c>
      <c r="D77" s="11" t="n">
        <v>12.1574</v>
      </c>
      <c r="E77" s="11" t="n">
        <v>8.1372</v>
      </c>
      <c r="F77" s="11" t="n">
        <v>29.9409</v>
      </c>
    </row>
    <row r="78">
      <c r="A78" s="9" t="n">
        <v>44593</v>
      </c>
      <c r="B78" s="11" t="n">
        <v>28.9799</v>
      </c>
      <c r="C78" s="11" t="n">
        <v>27.1288</v>
      </c>
      <c r="D78" s="11" t="n">
        <v>12.6124</v>
      </c>
      <c r="E78" s="11" t="n">
        <v>11.4873</v>
      </c>
      <c r="F78" s="11" t="n">
        <v>19.7916</v>
      </c>
    </row>
    <row r="79">
      <c r="A79" s="9" t="n">
        <v>44621</v>
      </c>
      <c r="B79" s="11" t="n">
        <v>33.381</v>
      </c>
      <c r="C79" s="11" t="n">
        <v>23.6757</v>
      </c>
      <c r="D79" s="11" t="n">
        <v>17.3855</v>
      </c>
      <c r="E79" s="11" t="n">
        <v>7.4322</v>
      </c>
      <c r="F79" s="11" t="n">
        <v>18.1255</v>
      </c>
    </row>
    <row r="80">
      <c r="A80" s="9" t="n">
        <v>44652</v>
      </c>
      <c r="B80" s="11" t="n">
        <v>40.1252</v>
      </c>
      <c r="C80" s="11" t="n">
        <v>21.7347</v>
      </c>
      <c r="D80" s="11" t="n">
        <v>11.4983</v>
      </c>
      <c r="E80" s="11" t="n">
        <v>9.7723</v>
      </c>
      <c r="F80" s="11" t="n">
        <v>16.8695</v>
      </c>
    </row>
    <row r="81">
      <c r="A81" s="9" t="n">
        <v>44682</v>
      </c>
      <c r="B81" s="11" t="n">
        <v>50.1855</v>
      </c>
      <c r="C81" s="11" t="n">
        <v>15.0355</v>
      </c>
      <c r="D81" s="11" t="n">
        <v>7.9502</v>
      </c>
      <c r="E81" s="11" t="n">
        <v>5.6392</v>
      </c>
      <c r="F81" s="11" t="n">
        <v>21.1896</v>
      </c>
    </row>
    <row r="82">
      <c r="A82" s="9" t="n">
        <v>44713</v>
      </c>
      <c r="B82" s="11" t="n">
        <v>53.5356</v>
      </c>
      <c r="C82" s="11" t="n">
        <v>11.1473</v>
      </c>
      <c r="D82" s="11" t="n">
        <v>10.5903</v>
      </c>
      <c r="E82" s="11" t="n">
        <v>8.1332</v>
      </c>
      <c r="F82" s="11" t="n">
        <v>16.5935</v>
      </c>
    </row>
    <row r="83">
      <c r="A83" s="9" t="n">
        <v>44743</v>
      </c>
      <c r="B83" s="11" t="n">
        <v>56.6007</v>
      </c>
      <c r="C83" s="11" t="n">
        <v>8.7643</v>
      </c>
      <c r="D83" s="11" t="n">
        <v>9.0723</v>
      </c>
      <c r="E83" s="11" t="n">
        <v>11.8844</v>
      </c>
      <c r="F83" s="11" t="n">
        <v>13.6784</v>
      </c>
    </row>
    <row r="84">
      <c r="A84" s="9" t="n">
        <v>44774</v>
      </c>
      <c r="B84" s="11" t="n">
        <v>57.8087</v>
      </c>
      <c r="C84" s="11" t="n">
        <v>7.9882</v>
      </c>
      <c r="D84" s="11" t="n">
        <v>9.9213</v>
      </c>
      <c r="E84" s="11" t="n">
        <v>13.5954</v>
      </c>
      <c r="F84" s="11" t="n">
        <v>10.6863</v>
      </c>
    </row>
    <row r="85">
      <c r="A85" s="9" t="n">
        <v>44805</v>
      </c>
      <c r="B85" s="11" t="n">
        <v>58.6418</v>
      </c>
      <c r="C85" s="11" t="n">
        <v>12.0044</v>
      </c>
      <c r="D85" s="11" t="n">
        <v>8.9003</v>
      </c>
      <c r="E85" s="11" t="n">
        <v>11.6403</v>
      </c>
      <c r="F85" s="11" t="n">
        <v>8.8133</v>
      </c>
    </row>
    <row r="86">
      <c r="A86" s="9" t="n">
        <v>44835</v>
      </c>
      <c r="B86" s="11" t="n">
        <v>58.9738</v>
      </c>
      <c r="C86" s="11" t="n">
        <v>11.6563</v>
      </c>
      <c r="D86" s="11" t="n">
        <v>20.7406</v>
      </c>
      <c r="E86" s="11" t="n">
        <v>1.7251</v>
      </c>
      <c r="F86" s="11" t="n">
        <v>6.9042</v>
      </c>
    </row>
    <row r="87">
      <c r="A87" s="9" t="n">
        <v>44866</v>
      </c>
      <c r="B87" s="11" t="n">
        <v>58.4048</v>
      </c>
      <c r="C87" s="11" t="n">
        <v>13.2924</v>
      </c>
      <c r="D87" s="11" t="n">
        <v>18.8956</v>
      </c>
      <c r="E87" s="11" t="n">
        <v>2.6071</v>
      </c>
      <c r="F87" s="11" t="n">
        <v>6.8002</v>
      </c>
    </row>
    <row r="88">
      <c r="A88" s="9" t="n">
        <v>44896</v>
      </c>
      <c r="B88" s="11" t="n">
        <v>58.5388</v>
      </c>
      <c r="C88" s="11" t="n">
        <v>16.2055</v>
      </c>
      <c r="D88" s="11" t="n">
        <v>15.6665</v>
      </c>
      <c r="E88" s="11" t="n">
        <v>2.1301</v>
      </c>
      <c r="F88" s="11" t="n">
        <v>7.4592</v>
      </c>
    </row>
    <row r="89">
      <c r="A89" s="9" t="n">
        <v>44927</v>
      </c>
      <c r="B89" s="11" t="n">
        <v>66.56</v>
      </c>
      <c r="C89" s="11" t="n">
        <v>16.0155</v>
      </c>
      <c r="D89" s="11" t="n">
        <v>11.8256</v>
      </c>
      <c r="E89" s="11" t="n">
        <v>0.527</v>
      </c>
      <c r="F89" s="11" t="n">
        <v>5.0718</v>
      </c>
    </row>
    <row r="90">
      <c r="A90" s="9" t="n">
        <v>44958</v>
      </c>
      <c r="B90" s="11" t="n">
        <v>64.6631</v>
      </c>
      <c r="C90" s="11" t="n">
        <v>19.6734</v>
      </c>
      <c r="D90" s="11" t="n">
        <v>9.889699999999999</v>
      </c>
      <c r="E90" s="11" t="n">
        <v>2.4389</v>
      </c>
      <c r="F90" s="11" t="n">
        <v>3.3349</v>
      </c>
    </row>
    <row r="91">
      <c r="A91" s="9" t="n">
        <v>44986</v>
      </c>
      <c r="B91" s="11" t="n">
        <v>57.6473</v>
      </c>
      <c r="C91" s="11" t="n">
        <v>23.0553</v>
      </c>
      <c r="D91" s="11" t="n">
        <v>8.624700000000001</v>
      </c>
      <c r="E91" s="11" t="n">
        <v>2.7739</v>
      </c>
      <c r="F91" s="11" t="n">
        <v>7.8988</v>
      </c>
    </row>
    <row r="92">
      <c r="A92" s="9" t="n">
        <v>45017</v>
      </c>
      <c r="B92" s="11" t="n">
        <v>59.9122</v>
      </c>
      <c r="C92" s="11" t="n">
        <v>21.5894</v>
      </c>
      <c r="D92" s="11" t="n">
        <v>7.2358</v>
      </c>
      <c r="E92" s="11" t="n">
        <v>2.7239</v>
      </c>
      <c r="F92" s="11" t="n">
        <v>8.5387</v>
      </c>
    </row>
    <row r="93">
      <c r="A93" s="9" t="n">
        <v>45047</v>
      </c>
      <c r="B93" s="11" t="n">
        <v>60.0732</v>
      </c>
      <c r="C93" s="11" t="n">
        <v>21.2864</v>
      </c>
      <c r="D93" s="11" t="n">
        <v>8.8927</v>
      </c>
      <c r="E93" s="11" t="n">
        <v>1.407</v>
      </c>
      <c r="F93" s="11" t="n">
        <v>8.3407</v>
      </c>
    </row>
    <row r="94">
      <c r="A94" s="9" t="n">
        <v>45078</v>
      </c>
      <c r="B94" s="11" t="n">
        <v>55.8103</v>
      </c>
      <c r="C94" s="11" t="n">
        <v>22.6093</v>
      </c>
      <c r="D94" s="11" t="n">
        <v>8.6837</v>
      </c>
      <c r="E94" s="11" t="n">
        <v>0.42</v>
      </c>
      <c r="F94" s="11" t="n">
        <v>12.4766</v>
      </c>
    </row>
    <row r="95">
      <c r="A95" s="9" t="n">
        <v>45108</v>
      </c>
      <c r="B95" s="11" t="n">
        <v>51.6844</v>
      </c>
      <c r="C95" s="11" t="n">
        <v>24.4283</v>
      </c>
      <c r="D95" s="11" t="n">
        <v>7.7508</v>
      </c>
      <c r="E95" s="11" t="n">
        <v>2.2109</v>
      </c>
      <c r="F95" s="11" t="n">
        <v>13.9256</v>
      </c>
    </row>
    <row r="96">
      <c r="A96" s="9" t="n">
        <v>45139</v>
      </c>
      <c r="B96" s="11" t="n">
        <v>51.1815</v>
      </c>
      <c r="C96" s="11" t="n">
        <v>23.5093</v>
      </c>
      <c r="D96" s="11" t="n">
        <v>9.7187</v>
      </c>
      <c r="E96" s="11" t="n">
        <v>0.42</v>
      </c>
      <c r="F96" s="11" t="n">
        <v>15.1705</v>
      </c>
    </row>
    <row r="97">
      <c r="A97" s="9" t="n">
        <v>45170</v>
      </c>
      <c r="B97" s="11" t="n">
        <v>44.4887</v>
      </c>
      <c r="C97" s="11" t="n">
        <v>28.5071</v>
      </c>
      <c r="D97" s="11" t="n">
        <v>14.9116</v>
      </c>
      <c r="E97" s="11" t="n">
        <v>1.1</v>
      </c>
      <c r="F97" s="11" t="n">
        <v>10.9927</v>
      </c>
    </row>
    <row r="98">
      <c r="A98" s="9" t="n">
        <v>45200</v>
      </c>
      <c r="B98" s="11" t="n">
        <v>44.5777</v>
      </c>
      <c r="C98" s="11" t="n">
        <v>24.3213</v>
      </c>
      <c r="D98" s="11" t="n">
        <v>15.1185</v>
      </c>
      <c r="E98" s="11" t="n">
        <v>0.584</v>
      </c>
      <c r="F98" s="11" t="n">
        <v>15.3985</v>
      </c>
    </row>
    <row r="99">
      <c r="A99" s="9" t="n">
        <v>45231</v>
      </c>
      <c r="B99" s="11" t="n">
        <v>33.255</v>
      </c>
      <c r="C99" s="11" t="n">
        <v>29.8241</v>
      </c>
      <c r="D99" s="11" t="n">
        <v>15.1585</v>
      </c>
      <c r="E99" s="11" t="n">
        <v>4.5739</v>
      </c>
      <c r="F99" s="11" t="n">
        <v>17.1885</v>
      </c>
    </row>
    <row r="100">
      <c r="A100" s="9" t="n">
        <v>45261</v>
      </c>
      <c r="B100" s="11" t="n">
        <v>31.5241</v>
      </c>
      <c r="C100" s="11" t="n">
        <v>27.0312</v>
      </c>
      <c r="D100" s="11" t="n">
        <v>21.7943</v>
      </c>
      <c r="E100" s="11" t="n">
        <v>1.319</v>
      </c>
      <c r="F100" s="11" t="n">
        <v>18.3315</v>
      </c>
    </row>
    <row r="101">
      <c r="A101" s="9" t="n">
        <v>45292</v>
      </c>
      <c r="B101" s="11" t="n">
        <v>28.5481</v>
      </c>
      <c r="C101" s="11" t="n">
        <v>26.5871</v>
      </c>
      <c r="D101" s="11" t="n">
        <v>16.5077</v>
      </c>
      <c r="E101" s="11" t="n">
        <v>9.7234</v>
      </c>
      <c r="F101" s="11" t="n">
        <v>18.6337</v>
      </c>
    </row>
    <row r="102">
      <c r="A102" s="9" t="n">
        <v>45323</v>
      </c>
      <c r="B102" s="11" t="n">
        <v>24.289</v>
      </c>
      <c r="C102" s="11" t="n">
        <v>22.9469</v>
      </c>
      <c r="D102" s="11" t="n">
        <v>25.089</v>
      </c>
      <c r="E102" s="11" t="n">
        <v>2.6901</v>
      </c>
      <c r="F102" s="11" t="n">
        <v>24.985</v>
      </c>
    </row>
    <row r="103">
      <c r="A103" s="9" t="n">
        <v>45352</v>
      </c>
      <c r="B103" s="11" t="n">
        <v>23.827</v>
      </c>
      <c r="C103" s="11" t="n">
        <v>17.6507</v>
      </c>
      <c r="D103" s="11" t="n">
        <v>22.5689</v>
      </c>
      <c r="E103" s="11" t="n">
        <v>6.3513</v>
      </c>
      <c r="F103" s="11" t="n">
        <v>29.6022</v>
      </c>
    </row>
    <row r="104">
      <c r="A104" s="9" t="n">
        <v>45383</v>
      </c>
      <c r="B104" s="11" t="n">
        <v>21.4329</v>
      </c>
      <c r="C104" s="11" t="n">
        <v>17.1447</v>
      </c>
      <c r="D104" s="11" t="n">
        <v>22.3279</v>
      </c>
      <c r="E104" s="11" t="n">
        <v>7.6513</v>
      </c>
      <c r="F104" s="11" t="n">
        <v>31.4433</v>
      </c>
    </row>
    <row r="105">
      <c r="A105" s="9" t="n">
        <v>45413</v>
      </c>
      <c r="B105" s="11" t="n">
        <v>11.6125</v>
      </c>
      <c r="C105" s="11" t="n">
        <v>32.8523</v>
      </c>
      <c r="D105" s="11" t="n">
        <v>14.0636</v>
      </c>
      <c r="E105" s="11" t="n">
        <v>3.1771</v>
      </c>
      <c r="F105" s="11" t="n">
        <v>38.2945</v>
      </c>
    </row>
    <row r="106">
      <c r="A106" s="9" t="n">
        <v>45444</v>
      </c>
      <c r="B106" s="11" t="n">
        <v>10.9614</v>
      </c>
      <c r="C106" s="11" t="n">
        <v>27.2081</v>
      </c>
      <c r="D106" s="11" t="n">
        <v>13.6985</v>
      </c>
      <c r="E106" s="11" t="n">
        <v>10.9224</v>
      </c>
      <c r="F106" s="11" t="n">
        <v>37.2095</v>
      </c>
    </row>
    <row r="107">
      <c r="A107" s="9" t="n">
        <v>45474</v>
      </c>
      <c r="B107" s="11" t="n">
        <v>8.9384</v>
      </c>
      <c r="C107" s="11" t="n">
        <v>34.6084</v>
      </c>
      <c r="D107" s="11" t="n">
        <v>12.9675</v>
      </c>
      <c r="E107" s="11" t="n">
        <v>2.9261</v>
      </c>
      <c r="F107" s="11" t="n">
        <v>40.5596</v>
      </c>
    </row>
    <row r="108">
      <c r="A108" s="9" t="n">
        <v>45505</v>
      </c>
      <c r="B108" s="11" t="n">
        <v>8.0533</v>
      </c>
      <c r="C108" s="11" t="n">
        <v>33.0023</v>
      </c>
      <c r="D108" s="11" t="n">
        <v>11.6735</v>
      </c>
      <c r="E108" s="11" t="n">
        <v>1.4351</v>
      </c>
      <c r="F108" s="11" t="n">
        <v>45.8358</v>
      </c>
    </row>
    <row r="109">
      <c r="A109" s="9" t="n">
        <v>45536</v>
      </c>
      <c r="B109" s="11" t="n">
        <v>10.5984</v>
      </c>
      <c r="C109" s="11" t="n">
        <v>33.5683</v>
      </c>
      <c r="D109" s="11" t="n">
        <v>7.1443</v>
      </c>
      <c r="E109" s="11" t="n">
        <v>3.4851</v>
      </c>
      <c r="F109" s="11" t="n">
        <v>45.2038</v>
      </c>
    </row>
    <row r="110">
      <c r="A110" s="9" t="n">
        <v>45566</v>
      </c>
      <c r="B110" s="11" t="n">
        <v>8.330299999999999</v>
      </c>
      <c r="C110" s="11" t="n">
        <v>39.6646</v>
      </c>
      <c r="D110" s="11" t="n">
        <v>6.3483</v>
      </c>
      <c r="E110" s="11" t="n">
        <v>3.9242</v>
      </c>
      <c r="F110" s="11" t="n">
        <v>41.7327</v>
      </c>
    </row>
    <row r="111">
      <c r="A111" s="9" t="n">
        <v>45597</v>
      </c>
      <c r="B111" s="11" t="n">
        <v>9.696400000000001</v>
      </c>
      <c r="C111" s="11" t="n">
        <v>34.1304</v>
      </c>
      <c r="D111" s="11" t="n">
        <v>12.8475</v>
      </c>
      <c r="E111" s="11" t="n">
        <v>7.1453</v>
      </c>
      <c r="F111" s="11" t="n">
        <v>36.1804</v>
      </c>
    </row>
    <row r="112">
      <c r="A112" s="9" t="n">
        <v>45627</v>
      </c>
      <c r="B112" s="11" t="n">
        <v>12.4995</v>
      </c>
      <c r="C112" s="11" t="n">
        <v>31.8193</v>
      </c>
      <c r="D112" s="11" t="n">
        <v>11.4345</v>
      </c>
      <c r="E112" s="11" t="n">
        <v>7.0203</v>
      </c>
      <c r="F112" s="11" t="n">
        <v>37.2265</v>
      </c>
    </row>
    <row r="113">
      <c r="A113" s="9" t="n">
        <v>45658</v>
      </c>
      <c r="B113" s="11" t="n">
        <v>15.0031</v>
      </c>
      <c r="C113" s="11" t="n">
        <v>24.2844</v>
      </c>
      <c r="D113" s="11" t="n">
        <v>15.5382</v>
      </c>
      <c r="E113" s="11" t="n">
        <v>9.660399999999999</v>
      </c>
      <c r="F113" s="11" t="n">
        <v>35.514</v>
      </c>
    </row>
    <row r="114">
      <c r="A114" s="9" t="n">
        <v>45689</v>
      </c>
      <c r="B114" s="11" t="n">
        <v>11.4786</v>
      </c>
      <c r="C114" s="11" t="n">
        <v>26.1997</v>
      </c>
      <c r="D114" s="11" t="n">
        <v>19.6387</v>
      </c>
      <c r="E114" s="11" t="n">
        <v>9.125299999999999</v>
      </c>
      <c r="F114" s="11" t="n">
        <v>33.5577</v>
      </c>
    </row>
    <row r="115">
      <c r="A115" s="9" t="n">
        <v>45717</v>
      </c>
      <c r="B115" s="11" t="n">
        <v>10.4915</v>
      </c>
      <c r="C115" s="11" t="n">
        <v>30.4753</v>
      </c>
      <c r="D115" s="11" t="n">
        <v>18.8496</v>
      </c>
      <c r="E115" s="11" t="n">
        <v>5.6418</v>
      </c>
      <c r="F115" s="11" t="n">
        <v>34.5418</v>
      </c>
    </row>
    <row r="116">
      <c r="A116" s="9" t="n">
        <v>45748</v>
      </c>
      <c r="B116" s="11" t="n">
        <v>13.8669</v>
      </c>
      <c r="C116" s="11" t="n">
        <v>34.1638</v>
      </c>
      <c r="D116" s="11" t="n">
        <v>12.7878</v>
      </c>
      <c r="E116" s="11" t="n">
        <v>5.3277</v>
      </c>
      <c r="F116" s="11" t="n">
        <v>33.8537</v>
      </c>
    </row>
    <row r="117">
      <c r="A117" s="9" t="n">
        <v>45778</v>
      </c>
      <c r="B117" s="11" t="n">
        <v>9.805400000000001</v>
      </c>
      <c r="C117" s="11" t="n">
        <v>34.7489</v>
      </c>
      <c r="D117" s="11" t="n">
        <v>9.9984</v>
      </c>
      <c r="E117" s="11" t="n">
        <v>9.561299999999999</v>
      </c>
      <c r="F117" s="11" t="n">
        <v>35.886</v>
      </c>
    </row>
    <row r="118">
      <c r="A118" s="9" t="n">
        <v>45809</v>
      </c>
      <c r="B118" s="11" t="n">
        <v>9.805400000000001</v>
      </c>
      <c r="C118" s="11" t="n">
        <v>35.51</v>
      </c>
      <c r="D118" s="11" t="n">
        <v>8.0221</v>
      </c>
      <c r="E118" s="11" t="n">
        <v>8.8552</v>
      </c>
      <c r="F118" s="11" t="n">
        <v>37.8073</v>
      </c>
    </row>
    <row r="119">
      <c r="A119" s="9" t="n">
        <v>45839</v>
      </c>
      <c r="B119" s="11" t="n">
        <v>9.823399999999999</v>
      </c>
      <c r="C119" s="11" t="n">
        <v>29.6792</v>
      </c>
      <c r="D119" s="11" t="n">
        <v>14.7771</v>
      </c>
      <c r="E119" s="11" t="n">
        <v>7.7071</v>
      </c>
      <c r="F119" s="11" t="n">
        <v>38.0133</v>
      </c>
    </row>
    <row r="120">
      <c r="A120" s="9" t="n">
        <v>45870</v>
      </c>
      <c r="B120" s="11" t="n">
        <v>7.9921</v>
      </c>
      <c r="C120" s="11" t="n">
        <v>31.3784</v>
      </c>
      <c r="D120" s="11" t="n">
        <v>13.8469</v>
      </c>
      <c r="E120" s="11" t="n">
        <v>6.4759</v>
      </c>
      <c r="F120" s="11" t="n">
        <v>40.3066</v>
      </c>
    </row>
    <row r="121">
      <c r="A121" s="9" t="n">
        <v>45901</v>
      </c>
      <c r="B121" s="11" t="n">
        <v>6.3319</v>
      </c>
      <c r="C121" s="11" t="n">
        <v>36.5871</v>
      </c>
      <c r="D121" s="11" t="n">
        <v>11.2656</v>
      </c>
      <c r="E121" s="11" t="n">
        <v>1.9073</v>
      </c>
      <c r="F121" s="11" t="n">
        <v>43.9081</v>
      </c>
    </row>
    <row r="122">
      <c r="A122" s="9" t="n">
        <v>45931</v>
      </c>
      <c r="B122" s="11" t="n">
        <v>9.1873</v>
      </c>
      <c r="C122" s="11" t="n">
        <v>32.6476</v>
      </c>
      <c r="D122" s="11" t="n">
        <v>12.4087</v>
      </c>
      <c r="E122" s="11" t="n">
        <v>2.0923</v>
      </c>
      <c r="F122" s="11" t="n">
        <v>43.6641</v>
      </c>
    </row>
    <row r="123">
      <c r="A123" s="9" t="n">
        <v>45962</v>
      </c>
      <c r="B123" s="11" t="n">
        <v>9.977399999999999</v>
      </c>
      <c r="C123" s="11" t="n">
        <v>36.9452</v>
      </c>
      <c r="D123" s="11" t="n">
        <v>8.443199999999999</v>
      </c>
      <c r="E123" s="11" t="n">
        <v>5.0947</v>
      </c>
      <c r="F123" s="11" t="n">
        <v>39.5395</v>
      </c>
    </row>
    <row r="124">
      <c r="A124" s="9" t="n">
        <v>45992</v>
      </c>
      <c r="B124" s="11" t="n">
        <v>8.1821</v>
      </c>
      <c r="C124" s="11" t="n">
        <v>37.8253</v>
      </c>
      <c r="D124" s="11" t="n">
        <v>9.6724</v>
      </c>
      <c r="E124" s="11" t="n">
        <v>5.5828</v>
      </c>
      <c r="F124" s="11" t="n">
        <v>38.7374</v>
      </c>
    </row>
    <row r="125">
      <c r="A125" s="9" t="n">
        <v>46023</v>
      </c>
      <c r="B125" s="11" t="n">
        <v>9.113799999999999</v>
      </c>
      <c r="C125" s="11" t="n">
        <v>32.3832</v>
      </c>
      <c r="D125" s="11" t="n">
        <v>11.1753</v>
      </c>
      <c r="E125" s="11" t="n">
        <v>6.1559</v>
      </c>
      <c r="F125" s="11" t="n">
        <v>41.1718</v>
      </c>
    </row>
    <row r="126">
      <c r="A126" s="9" t="n">
        <v>46054</v>
      </c>
      <c r="B126" s="11" t="n">
        <v>9.684200000000001</v>
      </c>
      <c r="C126" s="11" t="n">
        <v>28.2492</v>
      </c>
      <c r="D126" s="11" t="n">
        <v>16.0224</v>
      </c>
      <c r="E126" s="11" t="n">
        <v>9.267799999999999</v>
      </c>
      <c r="F126" s="11" t="n">
        <v>36.7765</v>
      </c>
    </row>
    <row r="127">
      <c r="A127" s="9" t="n">
        <v>46082</v>
      </c>
      <c r="B127" s="11" t="n">
        <v>7.4971</v>
      </c>
      <c r="C127" s="11" t="n">
        <v>34.944</v>
      </c>
      <c r="D127" s="11" t="n">
        <v>14.8028</v>
      </c>
      <c r="E127" s="11" t="n">
        <v>4.9332</v>
      </c>
      <c r="F127" s="11" t="n">
        <v>37.8229</v>
      </c>
    </row>
    <row r="128">
      <c r="A128" s="9" t="n">
        <v>46113</v>
      </c>
      <c r="B128" s="11" t="n">
        <v>8.520200000000001</v>
      </c>
      <c r="C128" s="11" t="n">
        <v>31.2213</v>
      </c>
      <c r="D128" s="11" t="n">
        <v>17.4183</v>
      </c>
      <c r="E128" s="11" t="n">
        <v>4.5868</v>
      </c>
      <c r="F128" s="11" t="n">
        <v>38.2534</v>
      </c>
    </row>
    <row r="129">
      <c r="A129" s="9" t="n">
        <v>46143</v>
      </c>
      <c r="B129" s="11" t="n">
        <v>11.4761</v>
      </c>
      <c r="C129" s="11" t="n">
        <v>31.4563</v>
      </c>
      <c r="D129" s="11" t="n">
        <v>18.4232</v>
      </c>
      <c r="E129" s="11" t="n">
        <v>2.9589</v>
      </c>
      <c r="F129" s="11" t="n">
        <v>35.6855</v>
      </c>
    </row>
    <row r="130">
      <c r="A130" s="9" t="n">
        <v>46174</v>
      </c>
      <c r="B130" s="11" t="n">
        <v>6.9987</v>
      </c>
      <c r="C130" s="11" t="n">
        <v>34.6624</v>
      </c>
      <c r="D130" s="11" t="n">
        <v>18.1142</v>
      </c>
      <c r="E130" s="11" t="n">
        <v>5.3516</v>
      </c>
      <c r="F130" s="11" t="n">
        <v>34.8731</v>
      </c>
    </row>
    <row r="131">
      <c r="A131" s="9" t="n">
        <v>46204</v>
      </c>
      <c r="B131" s="11" t="n">
        <v>9.690200000000001</v>
      </c>
      <c r="C131" s="11" t="n">
        <v>30.2832</v>
      </c>
      <c r="D131" s="11" t="n">
        <v>22.0274</v>
      </c>
      <c r="E131" s="11" t="n">
        <v>2.1941</v>
      </c>
      <c r="F131" s="11" t="n">
        <v>35.805</v>
      </c>
    </row>
    <row r="132">
      <c r="A132" s="9" t="n">
        <v>46235</v>
      </c>
      <c r="B132" s="11" t="n">
        <v>11.6747</v>
      </c>
      <c r="C132" s="11" t="n">
        <v>26.1685</v>
      </c>
      <c r="D132" s="11" t="n">
        <v>22.3789</v>
      </c>
      <c r="E132" s="11" t="n">
        <v>3.1686</v>
      </c>
      <c r="F132" s="11" t="n">
        <v>36.6093</v>
      </c>
    </row>
    <row r="133">
      <c r="A133" s="9" t="n">
        <v>46266</v>
      </c>
      <c r="B133" s="11" t="n">
        <v>15.0013</v>
      </c>
      <c r="C133" s="11" t="n">
        <v>28.6554</v>
      </c>
      <c r="D133" s="11" t="n">
        <v>14.6296</v>
      </c>
      <c r="E133" s="11" t="n">
        <v>6.8954</v>
      </c>
      <c r="F133" s="11" t="n">
        <v>34.8184</v>
      </c>
    </row>
    <row r="136">
      <c r="A136" s="13" t="inlineStr">
        <is>
          <t>Italia - 2026-09 - quota % delle voci per fascia, per peso</t>
        </is>
      </c>
    </row>
    <row r="137">
      <c r="A137" s="5" t="inlineStr">
        <is>
          <t>Gruppo</t>
        </is>
      </c>
      <c r="B137" s="5" t="inlineStr">
        <is>
          <t>oltre 5%</t>
        </is>
      </c>
      <c r="C137" s="5" t="inlineStr">
        <is>
          <t>3-5%</t>
        </is>
      </c>
      <c r="D137" s="5" t="inlineStr">
        <is>
          <t>2-3%</t>
        </is>
      </c>
      <c r="E137" s="5" t="inlineStr">
        <is>
          <t>1,5-2%</t>
        </is>
      </c>
      <c r="F137" s="5" t="inlineStr">
        <is>
          <t>sotto 1,5%</t>
        </is>
      </c>
    </row>
    <row r="138">
      <c r="A138" s="3" t="inlineStr">
        <is>
          <t>Totale</t>
        </is>
      </c>
      <c r="B138" s="11" t="n">
        <v>17.134</v>
      </c>
      <c r="C138" s="11" t="n">
        <v>18.9237</v>
      </c>
      <c r="D138" s="11" t="n">
        <v>16.9772</v>
      </c>
      <c r="E138" s="11" t="n">
        <v>5.9923</v>
      </c>
      <c r="F138" s="11" t="n">
        <v>40.9729</v>
      </c>
    </row>
    <row r="139">
      <c r="A139" s="3" t="inlineStr">
        <is>
          <t>Alimentari</t>
        </is>
      </c>
      <c r="B139" s="11" t="n">
        <v>11.6084</v>
      </c>
      <c r="C139" s="11" t="n">
        <v>28.8607</v>
      </c>
      <c r="D139" s="11" t="n">
        <v>2.2068</v>
      </c>
      <c r="E139" s="11" t="n">
        <v>6.6778</v>
      </c>
      <c r="F139" s="11" t="n">
        <v>50.6462</v>
      </c>
    </row>
    <row r="140">
      <c r="A140" s="3" t="inlineStr">
        <is>
          <t>Beni industriali</t>
        </is>
      </c>
      <c r="B140" s="11" t="n">
        <v>4.7591</v>
      </c>
      <c r="C140" s="11" t="n">
        <v>1.0837</v>
      </c>
      <c r="D140" s="11" t="n">
        <v>2.0556</v>
      </c>
      <c r="E140" s="11" t="n">
        <v>4.5663</v>
      </c>
      <c r="F140" s="11" t="n">
        <v>87.5352</v>
      </c>
    </row>
    <row r="141">
      <c r="A141" s="3" t="inlineStr">
        <is>
          <t>Energia</t>
        </is>
      </c>
      <c r="B141" s="11" t="n">
        <v>100</v>
      </c>
      <c r="C141" s="11" t="n">
        <v>0</v>
      </c>
      <c r="D141" s="11" t="n">
        <v>0</v>
      </c>
      <c r="E141" s="11" t="n">
        <v>0</v>
      </c>
      <c r="F141" s="11" t="n">
        <v>0</v>
      </c>
    </row>
    <row r="142">
      <c r="A142" s="3" t="inlineStr">
        <is>
          <t>Servizi</t>
        </is>
      </c>
      <c r="B142" s="11" t="n">
        <v>5.4243</v>
      </c>
      <c r="C142" s="11" t="n">
        <v>30.3693</v>
      </c>
      <c r="D142" s="11" t="n">
        <v>38.789</v>
      </c>
      <c r="E142" s="11" t="n">
        <v>8.1798</v>
      </c>
      <c r="F142" s="11" t="n">
        <v>17.2376</v>
      </c>
    </row>
    <row r="145">
      <c r="A145" s="13" t="inlineStr">
        <is>
          <t>Italia - 2026-09 - quota % delle voci per fascia, per numero di voci</t>
        </is>
      </c>
    </row>
    <row r="146">
      <c r="A146" s="5" t="inlineStr">
        <is>
          <t>Gruppo</t>
        </is>
      </c>
      <c r="B146" s="5" t="inlineStr">
        <is>
          <t>oltre 5%</t>
        </is>
      </c>
      <c r="C146" s="5" t="inlineStr">
        <is>
          <t>3-5%</t>
        </is>
      </c>
      <c r="D146" s="5" t="inlineStr">
        <is>
          <t>2-3%</t>
        </is>
      </c>
      <c r="E146" s="5" t="inlineStr">
        <is>
          <t>1,5-2%</t>
        </is>
      </c>
      <c r="F146" s="5" t="inlineStr">
        <is>
          <t>sotto 1,5%</t>
        </is>
      </c>
    </row>
    <row r="147">
      <c r="A147" s="3" t="inlineStr">
        <is>
          <t>Totale</t>
        </is>
      </c>
      <c r="B147" s="11" t="n">
        <v>13.6752</v>
      </c>
      <c r="C147" s="11" t="n">
        <v>11.1111</v>
      </c>
      <c r="D147" s="11" t="n">
        <v>13.6752</v>
      </c>
      <c r="E147" s="11" t="n">
        <v>11.9658</v>
      </c>
      <c r="F147" s="11" t="n">
        <v>49.5726</v>
      </c>
    </row>
    <row r="148">
      <c r="A148" s="3" t="inlineStr">
        <is>
          <t>Alimentari</t>
        </is>
      </c>
      <c r="B148" s="11" t="n">
        <v>5.2632</v>
      </c>
      <c r="C148" s="11" t="n">
        <v>10.5263</v>
      </c>
      <c r="D148" s="11" t="n">
        <v>5.2632</v>
      </c>
      <c r="E148" s="11" t="n">
        <v>10.5263</v>
      </c>
      <c r="F148" s="11" t="n">
        <v>68.4211</v>
      </c>
    </row>
    <row r="149">
      <c r="A149" s="3" t="inlineStr">
        <is>
          <t>Beni industriali</t>
        </is>
      </c>
      <c r="B149" s="11" t="n">
        <v>12.1951</v>
      </c>
      <c r="C149" s="11" t="n">
        <v>2.439</v>
      </c>
      <c r="D149" s="11" t="n">
        <v>4.878</v>
      </c>
      <c r="E149" s="11" t="n">
        <v>9.7561</v>
      </c>
      <c r="F149" s="11" t="n">
        <v>70.7317</v>
      </c>
    </row>
    <row r="150">
      <c r="A150" s="3" t="inlineStr">
        <is>
          <t>Energia</t>
        </is>
      </c>
      <c r="B150" s="11" t="n">
        <v>100</v>
      </c>
      <c r="C150" s="11" t="n">
        <v>0</v>
      </c>
      <c r="D150" s="11" t="n">
        <v>0</v>
      </c>
      <c r="E150" s="11" t="n">
        <v>0</v>
      </c>
      <c r="F150" s="11" t="n">
        <v>0</v>
      </c>
    </row>
    <row r="151">
      <c r="A151" s="3" t="inlineStr">
        <is>
          <t>Servizi</t>
        </is>
      </c>
      <c r="B151" s="11" t="n">
        <v>9.615399999999999</v>
      </c>
      <c r="C151" s="11" t="n">
        <v>19.2308</v>
      </c>
      <c r="D151" s="11" t="n">
        <v>25</v>
      </c>
      <c r="E151" s="11" t="n">
        <v>15.3846</v>
      </c>
      <c r="F151" s="11" t="n">
        <v>30.7692</v>
      </c>
    </row>
    <row r="154">
      <c r="A154" s="13" t="inlineStr">
        <is>
          <t>Italia - per divisione ECOICOP, quota % per peso</t>
        </is>
      </c>
    </row>
    <row r="155">
      <c r="A155" s="5" t="inlineStr">
        <is>
          <t>Divisione</t>
        </is>
      </c>
      <c r="B155" s="5" t="inlineStr">
        <is>
          <t>oltre 5%</t>
        </is>
      </c>
      <c r="C155" s="5" t="inlineStr">
        <is>
          <t>3-5%</t>
        </is>
      </c>
      <c r="D155" s="5" t="inlineStr">
        <is>
          <t>2-3%</t>
        </is>
      </c>
      <c r="E155" s="5" t="inlineStr">
        <is>
          <t>1,5-2%</t>
        </is>
      </c>
      <c r="F155" s="5" t="inlineStr">
        <is>
          <t>sotto 1,5%</t>
        </is>
      </c>
    </row>
    <row r="156">
      <c r="A156" s="3" t="inlineStr">
        <is>
          <t>Abbigliamento e calzature</t>
        </is>
      </c>
      <c r="B156" s="11" t="n">
        <v>0</v>
      </c>
      <c r="C156" s="11" t="n">
        <v>0.3259</v>
      </c>
      <c r="D156" s="11" t="n">
        <v>4.6067</v>
      </c>
      <c r="E156" s="11" t="n">
        <v>0</v>
      </c>
      <c r="F156" s="11" t="n">
        <v>95.06740000000001</v>
      </c>
    </row>
    <row r="157">
      <c r="A157" s="3" t="inlineStr">
        <is>
          <t>Abitazione e utenze</t>
        </is>
      </c>
      <c r="B157" s="11" t="n">
        <v>53.1646</v>
      </c>
      <c r="C157" s="11" t="n">
        <v>35.3549</v>
      </c>
      <c r="D157" s="11" t="n">
        <v>5.568</v>
      </c>
      <c r="E157" s="11" t="n">
        <v>5.9125</v>
      </c>
      <c r="F157" s="11" t="n">
        <v>0</v>
      </c>
    </row>
    <row r="158">
      <c r="A158" s="3" t="inlineStr">
        <is>
          <t>Alcolici e tabacchi</t>
        </is>
      </c>
      <c r="B158" s="11" t="n">
        <v>0</v>
      </c>
      <c r="C158" s="11" t="n">
        <v>69.749</v>
      </c>
      <c r="D158" s="11" t="n">
        <v>0</v>
      </c>
      <c r="E158" s="11" t="n">
        <v>0</v>
      </c>
      <c r="F158" s="11" t="n">
        <v>30.251</v>
      </c>
    </row>
    <row r="159">
      <c r="A159" s="3" t="inlineStr">
        <is>
          <t>Alimentari e bevande analcoliche</t>
        </is>
      </c>
      <c r="B159" s="11" t="n">
        <v>13.5763</v>
      </c>
      <c r="C159" s="11" t="n">
        <v>21.9292</v>
      </c>
      <c r="D159" s="11" t="n">
        <v>2.5809</v>
      </c>
      <c r="E159" s="11" t="n">
        <v>7.8099</v>
      </c>
      <c r="F159" s="11" t="n">
        <v>54.1037</v>
      </c>
    </row>
    <row r="160">
      <c r="A160" s="3" t="inlineStr">
        <is>
          <t>Assicurazioni e servizi finanziari</t>
        </is>
      </c>
      <c r="B160" s="11" t="n">
        <v>0</v>
      </c>
      <c r="C160" s="11" t="n">
        <v>36.8554</v>
      </c>
      <c r="D160" s="11" t="n">
        <v>2.2358</v>
      </c>
      <c r="E160" s="11" t="n">
        <v>0</v>
      </c>
      <c r="F160" s="11" t="n">
        <v>60.9088</v>
      </c>
    </row>
    <row r="161">
      <c r="A161" s="3" t="inlineStr">
        <is>
          <t>Cura della persona e altri</t>
        </is>
      </c>
      <c r="B161" s="11" t="n">
        <v>9.6958</v>
      </c>
      <c r="C161" s="11" t="n">
        <v>10.3487</v>
      </c>
      <c r="D161" s="11" t="n">
        <v>50.4515</v>
      </c>
      <c r="E161" s="11" t="n">
        <v>0</v>
      </c>
      <c r="F161" s="11" t="n">
        <v>29.5041</v>
      </c>
    </row>
    <row r="162">
      <c r="A162" s="3" t="inlineStr">
        <is>
          <t>Informazione e comunicazione</t>
        </is>
      </c>
      <c r="B162" s="11" t="n">
        <v>17.2907</v>
      </c>
      <c r="C162" s="11" t="n">
        <v>0</v>
      </c>
      <c r="D162" s="11" t="n">
        <v>0</v>
      </c>
      <c r="E162" s="11" t="n">
        <v>11.4364</v>
      </c>
      <c r="F162" s="11" t="n">
        <v>71.273</v>
      </c>
    </row>
    <row r="163">
      <c r="A163" s="3" t="inlineStr">
        <is>
          <t>Istruzione</t>
        </is>
      </c>
      <c r="B163" s="11" t="n">
        <v>0</v>
      </c>
      <c r="C163" s="11" t="n">
        <v>0</v>
      </c>
      <c r="D163" s="11" t="n">
        <v>0</v>
      </c>
      <c r="E163" s="11" t="n">
        <v>47.9643</v>
      </c>
      <c r="F163" s="11" t="n">
        <v>52.0357</v>
      </c>
    </row>
    <row r="164">
      <c r="A164" s="3" t="inlineStr">
        <is>
          <t>Mobili e articoli per la casa</t>
        </is>
      </c>
      <c r="B164" s="11" t="n">
        <v>20.1331</v>
      </c>
      <c r="C164" s="11" t="n">
        <v>0</v>
      </c>
      <c r="D164" s="11" t="n">
        <v>0.5805</v>
      </c>
      <c r="E164" s="11" t="n">
        <v>0</v>
      </c>
      <c r="F164" s="11" t="n">
        <v>79.2864</v>
      </c>
    </row>
    <row r="165">
      <c r="A165" s="3" t="inlineStr">
        <is>
          <t>Ricreazione, sport e cultura</t>
        </is>
      </c>
      <c r="B165" s="11" t="n">
        <v>5.1149</v>
      </c>
      <c r="C165" s="11" t="n">
        <v>4.146</v>
      </c>
      <c r="D165" s="11" t="n">
        <v>36.7508</v>
      </c>
      <c r="E165" s="11" t="n">
        <v>0</v>
      </c>
      <c r="F165" s="11" t="n">
        <v>53.9883</v>
      </c>
    </row>
    <row r="166">
      <c r="A166" s="3" t="inlineStr">
        <is>
          <t>Ristorazione e alloggio</t>
        </is>
      </c>
      <c r="B166" s="11" t="n">
        <v>0</v>
      </c>
      <c r="C166" s="11" t="n">
        <v>25.1973</v>
      </c>
      <c r="D166" s="11" t="n">
        <v>74.8027</v>
      </c>
      <c r="E166" s="11" t="n">
        <v>0</v>
      </c>
      <c r="F166" s="11" t="n">
        <v>0</v>
      </c>
    </row>
    <row r="167">
      <c r="A167" s="3" t="inlineStr">
        <is>
          <t>Salute</t>
        </is>
      </c>
      <c r="B167" s="11" t="n">
        <v>0</v>
      </c>
      <c r="C167" s="11" t="n">
        <v>0</v>
      </c>
      <c r="D167" s="11" t="n">
        <v>0</v>
      </c>
      <c r="E167" s="11" t="n">
        <v>48.1519</v>
      </c>
      <c r="F167" s="11" t="n">
        <v>51.8481</v>
      </c>
    </row>
    <row r="168">
      <c r="A168" s="3" t="inlineStr">
        <is>
          <t>Trasporti</t>
        </is>
      </c>
      <c r="B168" s="11" t="n">
        <v>30.6436</v>
      </c>
      <c r="C168" s="11" t="n">
        <v>18.5832</v>
      </c>
      <c r="D168" s="11" t="n">
        <v>2.2699</v>
      </c>
      <c r="E168" s="11" t="n">
        <v>6.3545</v>
      </c>
      <c r="F168" s="11" t="n">
        <v>42.1489</v>
      </c>
    </row>
    <row r="171">
      <c r="A171" s="13" t="inlineStr">
        <is>
          <t>Italia - storico quota % del paniere per fascia (per peso)</t>
        </is>
      </c>
    </row>
    <row r="172">
      <c r="A172" s="5" t="inlineStr">
        <is>
          <t>Mese</t>
        </is>
      </c>
      <c r="B172" s="5" t="inlineStr">
        <is>
          <t>oltre 5%</t>
        </is>
      </c>
      <c r="C172" s="5" t="inlineStr">
        <is>
          <t>3-5%</t>
        </is>
      </c>
      <c r="D172" s="5" t="inlineStr">
        <is>
          <t>2-3%</t>
        </is>
      </c>
      <c r="E172" s="5" t="inlineStr">
        <is>
          <t>1,5-2%</t>
        </is>
      </c>
      <c r="F172" s="5" t="inlineStr">
        <is>
          <t>sotto 1,5%</t>
        </is>
      </c>
    </row>
    <row r="173">
      <c r="A173" s="9" t="n">
        <v>43466</v>
      </c>
      <c r="B173" s="11" t="n">
        <v>5.9524</v>
      </c>
      <c r="C173" s="11" t="n">
        <v>6.9773</v>
      </c>
      <c r="D173" s="11" t="n">
        <v>2.9187</v>
      </c>
      <c r="E173" s="11" t="n">
        <v>10.7989</v>
      </c>
      <c r="F173" s="11" t="n">
        <v>73.3527</v>
      </c>
    </row>
    <row r="174">
      <c r="A174" s="9" t="n">
        <v>43497</v>
      </c>
      <c r="B174" s="11" t="n">
        <v>7.8322</v>
      </c>
      <c r="C174" s="11" t="n">
        <v>6.3844</v>
      </c>
      <c r="D174" s="11" t="n">
        <v>1.2189</v>
      </c>
      <c r="E174" s="11" t="n">
        <v>7.1973</v>
      </c>
      <c r="F174" s="11" t="n">
        <v>77.3673</v>
      </c>
    </row>
    <row r="175">
      <c r="A175" s="9" t="n">
        <v>43525</v>
      </c>
      <c r="B175" s="11" t="n">
        <v>8.0632</v>
      </c>
      <c r="C175" s="11" t="n">
        <v>6.2884</v>
      </c>
      <c r="D175" s="11" t="n">
        <v>6.0224</v>
      </c>
      <c r="E175" s="11" t="n">
        <v>3.6776</v>
      </c>
      <c r="F175" s="11" t="n">
        <v>75.94840000000001</v>
      </c>
    </row>
    <row r="176">
      <c r="A176" s="9" t="n">
        <v>43556</v>
      </c>
      <c r="B176" s="11" t="n">
        <v>9.334099999999999</v>
      </c>
      <c r="C176" s="11" t="n">
        <v>6.6193</v>
      </c>
      <c r="D176" s="11" t="n">
        <v>11.1369</v>
      </c>
      <c r="E176" s="11" t="n">
        <v>1.1559</v>
      </c>
      <c r="F176" s="11" t="n">
        <v>71.7538</v>
      </c>
    </row>
    <row r="177">
      <c r="A177" s="9" t="n">
        <v>43586</v>
      </c>
      <c r="B177" s="11" t="n">
        <v>7.7562</v>
      </c>
      <c r="C177" s="11" t="n">
        <v>4.4316</v>
      </c>
      <c r="D177" s="11" t="n">
        <v>8.6151</v>
      </c>
      <c r="E177" s="11" t="n">
        <v>5.0675</v>
      </c>
      <c r="F177" s="11" t="n">
        <v>74.1296</v>
      </c>
    </row>
    <row r="178">
      <c r="A178" s="9" t="n">
        <v>43617</v>
      </c>
      <c r="B178" s="11" t="n">
        <v>7.7562</v>
      </c>
      <c r="C178" s="11" t="n">
        <v>2.3298</v>
      </c>
      <c r="D178" s="11" t="n">
        <v>6.6373</v>
      </c>
      <c r="E178" s="11" t="n">
        <v>8.213200000000001</v>
      </c>
      <c r="F178" s="11" t="n">
        <v>75.0635</v>
      </c>
    </row>
    <row r="179">
      <c r="A179" s="9" t="n">
        <v>43647</v>
      </c>
      <c r="B179" s="11" t="n">
        <v>4.3026</v>
      </c>
      <c r="C179" s="11" t="n">
        <v>3.8096</v>
      </c>
      <c r="D179" s="11" t="n">
        <v>7.0393</v>
      </c>
      <c r="E179" s="11" t="n">
        <v>3.5856</v>
      </c>
      <c r="F179" s="11" t="n">
        <v>81.2629</v>
      </c>
    </row>
    <row r="180">
      <c r="A180" s="9" t="n">
        <v>43678</v>
      </c>
      <c r="B180" s="11" t="n">
        <v>4.3026</v>
      </c>
      <c r="C180" s="11" t="n">
        <v>4.3466</v>
      </c>
      <c r="D180" s="11" t="n">
        <v>6.6353</v>
      </c>
      <c r="E180" s="11" t="n">
        <v>3.5756</v>
      </c>
      <c r="F180" s="11" t="n">
        <v>81.1399</v>
      </c>
    </row>
    <row r="181">
      <c r="A181" s="9" t="n">
        <v>43709</v>
      </c>
      <c r="B181" s="11" t="n">
        <v>3.1027</v>
      </c>
      <c r="C181" s="11" t="n">
        <v>5.7674</v>
      </c>
      <c r="D181" s="11" t="n">
        <v>7.5502</v>
      </c>
      <c r="E181" s="11" t="n">
        <v>4.9215</v>
      </c>
      <c r="F181" s="11" t="n">
        <v>78.6581</v>
      </c>
    </row>
    <row r="182">
      <c r="A182" s="9" t="n">
        <v>43739</v>
      </c>
      <c r="B182" s="11" t="n">
        <v>2.1088</v>
      </c>
      <c r="C182" s="11" t="n">
        <v>2.8967</v>
      </c>
      <c r="D182" s="11" t="n">
        <v>7.8602</v>
      </c>
      <c r="E182" s="11" t="n">
        <v>1.5468</v>
      </c>
      <c r="F182" s="11" t="n">
        <v>85.5874</v>
      </c>
    </row>
    <row r="183">
      <c r="A183" s="9" t="n">
        <v>43770</v>
      </c>
      <c r="B183" s="11" t="n">
        <v>2.3008</v>
      </c>
      <c r="C183" s="11" t="n">
        <v>1.5238</v>
      </c>
      <c r="D183" s="11" t="n">
        <v>6.2694</v>
      </c>
      <c r="E183" s="11" t="n">
        <v>6.9823</v>
      </c>
      <c r="F183" s="11" t="n">
        <v>82.9237</v>
      </c>
    </row>
    <row r="184">
      <c r="A184" s="9" t="n">
        <v>43800</v>
      </c>
      <c r="B184" s="11" t="n">
        <v>2.1568</v>
      </c>
      <c r="C184" s="11" t="n">
        <v>1.5118</v>
      </c>
      <c r="D184" s="11" t="n">
        <v>6.8943</v>
      </c>
      <c r="E184" s="11" t="n">
        <v>7.6862</v>
      </c>
      <c r="F184" s="11" t="n">
        <v>81.7508</v>
      </c>
    </row>
    <row r="185">
      <c r="A185" s="9" t="n">
        <v>43831</v>
      </c>
      <c r="B185" s="11" t="n">
        <v>1.8279</v>
      </c>
      <c r="C185" s="11" t="n">
        <v>7.4806</v>
      </c>
      <c r="D185" s="11" t="n">
        <v>6.6376</v>
      </c>
      <c r="E185" s="11" t="n">
        <v>8.9495</v>
      </c>
      <c r="F185" s="11" t="n">
        <v>75.1045</v>
      </c>
    </row>
    <row r="186">
      <c r="A186" s="9" t="n">
        <v>43862</v>
      </c>
      <c r="B186" s="11" t="n">
        <v>1.6949</v>
      </c>
      <c r="C186" s="11" t="n">
        <v>3.4838</v>
      </c>
      <c r="D186" s="11" t="n">
        <v>6.6166</v>
      </c>
      <c r="E186" s="11" t="n">
        <v>7.1026</v>
      </c>
      <c r="F186" s="11" t="n">
        <v>81.10209999999999</v>
      </c>
    </row>
    <row r="187">
      <c r="A187" s="9" t="n">
        <v>43891</v>
      </c>
      <c r="B187" s="11" t="n">
        <v>2.4049</v>
      </c>
      <c r="C187" s="11" t="n">
        <v>5.8317</v>
      </c>
      <c r="D187" s="11" t="n">
        <v>4.1448</v>
      </c>
      <c r="E187" s="11" t="n">
        <v>8.5215</v>
      </c>
      <c r="F187" s="11" t="n">
        <v>79.0973</v>
      </c>
    </row>
    <row r="188">
      <c r="A188" s="9" t="n">
        <v>43922</v>
      </c>
      <c r="B188" s="11" t="n">
        <v>2.3469</v>
      </c>
      <c r="C188" s="11" t="n">
        <v>9.2834</v>
      </c>
      <c r="D188" s="11" t="n">
        <v>7.8695</v>
      </c>
      <c r="E188" s="11" t="n">
        <v>4.1218</v>
      </c>
      <c r="F188" s="11" t="n">
        <v>76.3784</v>
      </c>
    </row>
    <row r="189">
      <c r="A189" s="9" t="n">
        <v>43952</v>
      </c>
      <c r="B189" s="11" t="n">
        <v>2.5208</v>
      </c>
      <c r="C189" s="11" t="n">
        <v>8.8735</v>
      </c>
      <c r="D189" s="11" t="n">
        <v>5.3767</v>
      </c>
      <c r="E189" s="11" t="n">
        <v>7.2646</v>
      </c>
      <c r="F189" s="11" t="n">
        <v>75.9644</v>
      </c>
    </row>
    <row r="190">
      <c r="A190" s="9" t="n">
        <v>43983</v>
      </c>
      <c r="B190" s="11" t="n">
        <v>4.0768</v>
      </c>
      <c r="C190" s="11" t="n">
        <v>2.3639</v>
      </c>
      <c r="D190" s="11" t="n">
        <v>8.7925</v>
      </c>
      <c r="E190" s="11" t="n">
        <v>5.7707</v>
      </c>
      <c r="F190" s="11" t="n">
        <v>78.99630000000001</v>
      </c>
    </row>
    <row r="191">
      <c r="A191" s="9" t="n">
        <v>44013</v>
      </c>
      <c r="B191" s="11" t="n">
        <v>11.8173</v>
      </c>
      <c r="C191" s="11" t="n">
        <v>1.5559</v>
      </c>
      <c r="D191" s="11" t="n">
        <v>9.7484</v>
      </c>
      <c r="E191" s="11" t="n">
        <v>8.1335</v>
      </c>
      <c r="F191" s="11" t="n">
        <v>68.7449</v>
      </c>
    </row>
    <row r="192">
      <c r="A192" s="9" t="n">
        <v>44044</v>
      </c>
      <c r="B192" s="11" t="n">
        <v>4.6567</v>
      </c>
      <c r="C192" s="11" t="n">
        <v>6.0526</v>
      </c>
      <c r="D192" s="11" t="n">
        <v>9.7714</v>
      </c>
      <c r="E192" s="11" t="n">
        <v>8.3315</v>
      </c>
      <c r="F192" s="11" t="n">
        <v>71.18770000000001</v>
      </c>
    </row>
    <row r="193">
      <c r="A193" s="9" t="n">
        <v>44075</v>
      </c>
      <c r="B193" s="11" t="n">
        <v>3.1008</v>
      </c>
      <c r="C193" s="11" t="n">
        <v>1.5639</v>
      </c>
      <c r="D193" s="11" t="n">
        <v>5.5337</v>
      </c>
      <c r="E193" s="11" t="n">
        <v>9.820399999999999</v>
      </c>
      <c r="F193" s="11" t="n">
        <v>79.9812</v>
      </c>
    </row>
    <row r="194">
      <c r="A194" s="9" t="n">
        <v>44105</v>
      </c>
      <c r="B194" s="11" t="n">
        <v>4.6567</v>
      </c>
      <c r="C194" s="11" t="n">
        <v>2.3949</v>
      </c>
      <c r="D194" s="11" t="n">
        <v>4.9547</v>
      </c>
      <c r="E194" s="11" t="n">
        <v>7.9255</v>
      </c>
      <c r="F194" s="11" t="n">
        <v>80.0682</v>
      </c>
    </row>
    <row r="195">
      <c r="A195" s="9" t="n">
        <v>44136</v>
      </c>
      <c r="B195" s="11" t="n">
        <v>5.5537</v>
      </c>
      <c r="C195" s="11" t="n">
        <v>1.4979</v>
      </c>
      <c r="D195" s="11" t="n">
        <v>3.2458</v>
      </c>
      <c r="E195" s="11" t="n">
        <v>6.8676</v>
      </c>
      <c r="F195" s="11" t="n">
        <v>82.83499999999999</v>
      </c>
    </row>
    <row r="196">
      <c r="A196" s="9" t="n">
        <v>44166</v>
      </c>
      <c r="B196" s="11" t="n">
        <v>3.2388</v>
      </c>
      <c r="C196" s="11" t="n">
        <v>1.5469</v>
      </c>
      <c r="D196" s="11" t="n">
        <v>7.6925</v>
      </c>
      <c r="E196" s="11" t="n">
        <v>3.3188</v>
      </c>
      <c r="F196" s="11" t="n">
        <v>84.2029</v>
      </c>
    </row>
    <row r="197">
      <c r="A197" s="9" t="n">
        <v>44197</v>
      </c>
      <c r="B197" s="11" t="n">
        <v>10.4206</v>
      </c>
      <c r="C197" s="11" t="n">
        <v>3.9198</v>
      </c>
      <c r="D197" s="11" t="n">
        <v>5.0638</v>
      </c>
      <c r="E197" s="11" t="n">
        <v>8.7956</v>
      </c>
      <c r="F197" s="11" t="n">
        <v>71.8001</v>
      </c>
    </row>
    <row r="198">
      <c r="A198" s="9" t="n">
        <v>44228</v>
      </c>
      <c r="B198" s="11" t="n">
        <v>10.8246</v>
      </c>
      <c r="C198" s="11" t="n">
        <v>3.2049</v>
      </c>
      <c r="D198" s="11" t="n">
        <v>5.1298</v>
      </c>
      <c r="E198" s="11" t="n">
        <v>8.166700000000001</v>
      </c>
      <c r="F198" s="11" t="n">
        <v>72.6741</v>
      </c>
    </row>
    <row r="199">
      <c r="A199" s="9" t="n">
        <v>44256</v>
      </c>
      <c r="B199" s="11" t="n">
        <v>2.5649</v>
      </c>
      <c r="C199" s="11" t="n">
        <v>1.8359</v>
      </c>
      <c r="D199" s="11" t="n">
        <v>8.649699999999999</v>
      </c>
      <c r="E199" s="11" t="n">
        <v>9.675599999999999</v>
      </c>
      <c r="F199" s="11" t="n">
        <v>77.2739</v>
      </c>
    </row>
    <row r="200">
      <c r="A200" s="9" t="n">
        <v>44287</v>
      </c>
      <c r="B200" s="11" t="n">
        <v>10.8886</v>
      </c>
      <c r="C200" s="11" t="n">
        <v>2.9929</v>
      </c>
      <c r="D200" s="11" t="n">
        <v>4.5458</v>
      </c>
      <c r="E200" s="11" t="n">
        <v>4.2988</v>
      </c>
      <c r="F200" s="11" t="n">
        <v>77.2739</v>
      </c>
    </row>
    <row r="201">
      <c r="A201" s="9" t="n">
        <v>44317</v>
      </c>
      <c r="B201" s="11" t="n">
        <v>9.3286</v>
      </c>
      <c r="C201" s="11" t="n">
        <v>4.1358</v>
      </c>
      <c r="D201" s="11" t="n">
        <v>7.2957</v>
      </c>
      <c r="E201" s="11" t="n">
        <v>9.3536</v>
      </c>
      <c r="F201" s="11" t="n">
        <v>69.8862</v>
      </c>
    </row>
    <row r="202">
      <c r="A202" s="9" t="n">
        <v>44348</v>
      </c>
      <c r="B202" s="11" t="n">
        <v>9.1716</v>
      </c>
      <c r="C202" s="11" t="n">
        <v>2.9079</v>
      </c>
      <c r="D202" s="11" t="n">
        <v>5.8168</v>
      </c>
      <c r="E202" s="11" t="n">
        <v>12.2405</v>
      </c>
      <c r="F202" s="11" t="n">
        <v>69.86320000000001</v>
      </c>
    </row>
    <row r="203">
      <c r="A203" s="9" t="n">
        <v>44378</v>
      </c>
      <c r="B203" s="11" t="n">
        <v>8.9986</v>
      </c>
      <c r="C203" s="11" t="n">
        <v>5.0908</v>
      </c>
      <c r="D203" s="11" t="n">
        <v>10.1006</v>
      </c>
      <c r="E203" s="11" t="n">
        <v>8.511699999999999</v>
      </c>
      <c r="F203" s="11" t="n">
        <v>67.2983</v>
      </c>
    </row>
    <row r="204">
      <c r="A204" s="9" t="n">
        <v>44409</v>
      </c>
      <c r="B204" s="11" t="n">
        <v>11.2655</v>
      </c>
      <c r="C204" s="11" t="n">
        <v>4.7518</v>
      </c>
      <c r="D204" s="11" t="n">
        <v>22.9701</v>
      </c>
      <c r="E204" s="11" t="n">
        <v>9.9506</v>
      </c>
      <c r="F204" s="11" t="n">
        <v>51.062</v>
      </c>
    </row>
    <row r="205">
      <c r="A205" s="9" t="n">
        <v>44440</v>
      </c>
      <c r="B205" s="11" t="n">
        <v>11.6525</v>
      </c>
      <c r="C205" s="11" t="n">
        <v>3.8068</v>
      </c>
      <c r="D205" s="11" t="n">
        <v>23.75</v>
      </c>
      <c r="E205" s="11" t="n">
        <v>14.1334</v>
      </c>
      <c r="F205" s="11" t="n">
        <v>46.6571</v>
      </c>
    </row>
    <row r="206">
      <c r="A206" s="9" t="n">
        <v>44470</v>
      </c>
      <c r="B206" s="11" t="n">
        <v>11.8425</v>
      </c>
      <c r="C206" s="11" t="n">
        <v>0.852</v>
      </c>
      <c r="D206" s="11" t="n">
        <v>18.9092</v>
      </c>
      <c r="E206" s="11" t="n">
        <v>9.0646</v>
      </c>
      <c r="F206" s="11" t="n">
        <v>59.3316</v>
      </c>
    </row>
    <row r="207">
      <c r="A207" s="9" t="n">
        <v>44501</v>
      </c>
      <c r="B207" s="11" t="n">
        <v>11.3975</v>
      </c>
      <c r="C207" s="11" t="n">
        <v>4.4138</v>
      </c>
      <c r="D207" s="11" t="n">
        <v>18.0973</v>
      </c>
      <c r="E207" s="11" t="n">
        <v>14.5334</v>
      </c>
      <c r="F207" s="11" t="n">
        <v>51.5579</v>
      </c>
    </row>
    <row r="208">
      <c r="A208" s="9" t="n">
        <v>44531</v>
      </c>
      <c r="B208" s="11" t="n">
        <v>15.9604</v>
      </c>
      <c r="C208" s="11" t="n">
        <v>10.2936</v>
      </c>
      <c r="D208" s="11" t="n">
        <v>19.7052</v>
      </c>
      <c r="E208" s="11" t="n">
        <v>14.8644</v>
      </c>
      <c r="F208" s="11" t="n">
        <v>39.1764</v>
      </c>
    </row>
    <row r="209">
      <c r="A209" s="9" t="n">
        <v>44562</v>
      </c>
      <c r="B209" s="11" t="n">
        <v>18.8527</v>
      </c>
      <c r="C209" s="11" t="n">
        <v>8.760400000000001</v>
      </c>
      <c r="D209" s="11" t="n">
        <v>23.8153</v>
      </c>
      <c r="E209" s="11" t="n">
        <v>7.9204</v>
      </c>
      <c r="F209" s="11" t="n">
        <v>40.6512</v>
      </c>
    </row>
    <row r="210">
      <c r="A210" s="9" t="n">
        <v>44593</v>
      </c>
      <c r="B210" s="11" t="n">
        <v>22.4554</v>
      </c>
      <c r="C210" s="11" t="n">
        <v>23.6023</v>
      </c>
      <c r="D210" s="11" t="n">
        <v>11.9762</v>
      </c>
      <c r="E210" s="11" t="n">
        <v>4.3857</v>
      </c>
      <c r="F210" s="11" t="n">
        <v>37.5804</v>
      </c>
    </row>
    <row r="211">
      <c r="A211" s="9" t="n">
        <v>44621</v>
      </c>
      <c r="B211" s="11" t="n">
        <v>27.4751</v>
      </c>
      <c r="C211" s="11" t="n">
        <v>20.8965</v>
      </c>
      <c r="D211" s="11" t="n">
        <v>11.2102</v>
      </c>
      <c r="E211" s="11" t="n">
        <v>6.9305</v>
      </c>
      <c r="F211" s="11" t="n">
        <v>33.4877</v>
      </c>
    </row>
    <row r="212">
      <c r="A212" s="9" t="n">
        <v>44652</v>
      </c>
      <c r="B212" s="11" t="n">
        <v>31.6208</v>
      </c>
      <c r="C212" s="11" t="n">
        <v>23.5444</v>
      </c>
      <c r="D212" s="11" t="n">
        <v>6.1086</v>
      </c>
      <c r="E212" s="11" t="n">
        <v>11.8592</v>
      </c>
      <c r="F212" s="11" t="n">
        <v>26.8671</v>
      </c>
    </row>
    <row r="213">
      <c r="A213" s="9" t="n">
        <v>44682</v>
      </c>
      <c r="B213" s="11" t="n">
        <v>38.1963</v>
      </c>
      <c r="C213" s="11" t="n">
        <v>18.9847</v>
      </c>
      <c r="D213" s="11" t="n">
        <v>11.2452</v>
      </c>
      <c r="E213" s="11" t="n">
        <v>4.1377</v>
      </c>
      <c r="F213" s="11" t="n">
        <v>27.4361</v>
      </c>
    </row>
    <row r="214">
      <c r="A214" s="9" t="n">
        <v>44713</v>
      </c>
      <c r="B214" s="11" t="n">
        <v>40.8001</v>
      </c>
      <c r="C214" s="11" t="n">
        <v>18.0847</v>
      </c>
      <c r="D214" s="11" t="n">
        <v>11.9962</v>
      </c>
      <c r="E214" s="11" t="n">
        <v>4.9317</v>
      </c>
      <c r="F214" s="11" t="n">
        <v>24.1873</v>
      </c>
    </row>
    <row r="215">
      <c r="A215" s="9" t="n">
        <v>44743</v>
      </c>
      <c r="B215" s="11" t="n">
        <v>44.7699</v>
      </c>
      <c r="C215" s="11" t="n">
        <v>15.4629</v>
      </c>
      <c r="D215" s="11" t="n">
        <v>7.0075</v>
      </c>
      <c r="E215" s="11" t="n">
        <v>4.7607</v>
      </c>
      <c r="F215" s="11" t="n">
        <v>27.999</v>
      </c>
    </row>
    <row r="216">
      <c r="A216" s="9" t="n">
        <v>44774</v>
      </c>
      <c r="B216" s="11" t="n">
        <v>53.4023</v>
      </c>
      <c r="C216" s="11" t="n">
        <v>9.632300000000001</v>
      </c>
      <c r="D216" s="11" t="n">
        <v>9.606299999999999</v>
      </c>
      <c r="E216" s="11" t="n">
        <v>7.0645</v>
      </c>
      <c r="F216" s="11" t="n">
        <v>20.2946</v>
      </c>
    </row>
    <row r="217">
      <c r="A217" s="9" t="n">
        <v>44805</v>
      </c>
      <c r="B217" s="11" t="n">
        <v>54.1612</v>
      </c>
      <c r="C217" s="11" t="n">
        <v>9.5143</v>
      </c>
      <c r="D217" s="11" t="n">
        <v>10.2463</v>
      </c>
      <c r="E217" s="11" t="n">
        <v>9.635300000000001</v>
      </c>
      <c r="F217" s="11" t="n">
        <v>16.4428</v>
      </c>
    </row>
    <row r="218">
      <c r="A218" s="9" t="n">
        <v>44835</v>
      </c>
      <c r="B218" s="11" t="n">
        <v>59.2978</v>
      </c>
      <c r="C218" s="11" t="n">
        <v>10.1783</v>
      </c>
      <c r="D218" s="11" t="n">
        <v>8.997400000000001</v>
      </c>
      <c r="E218" s="11" t="n">
        <v>5.6276</v>
      </c>
      <c r="F218" s="11" t="n">
        <v>15.8989</v>
      </c>
    </row>
    <row r="219">
      <c r="A219" s="9" t="n">
        <v>44866</v>
      </c>
      <c r="B219" s="11" t="n">
        <v>55.8811</v>
      </c>
      <c r="C219" s="11" t="n">
        <v>14.399</v>
      </c>
      <c r="D219" s="11" t="n">
        <v>8.195399999999999</v>
      </c>
      <c r="E219" s="11" t="n">
        <v>5.9516</v>
      </c>
      <c r="F219" s="11" t="n">
        <v>15.5729</v>
      </c>
    </row>
    <row r="220">
      <c r="A220" s="9" t="n">
        <v>44896</v>
      </c>
      <c r="B220" s="11" t="n">
        <v>54.2052</v>
      </c>
      <c r="C220" s="11" t="n">
        <v>16.6048</v>
      </c>
      <c r="D220" s="11" t="n">
        <v>9.629300000000001</v>
      </c>
      <c r="E220" s="11" t="n">
        <v>4.5847</v>
      </c>
      <c r="F220" s="11" t="n">
        <v>14.976</v>
      </c>
    </row>
    <row r="221">
      <c r="A221" s="9" t="n">
        <v>44927</v>
      </c>
      <c r="B221" s="11" t="n">
        <v>68.8244</v>
      </c>
      <c r="C221" s="11" t="n">
        <v>10.4352</v>
      </c>
      <c r="D221" s="11" t="n">
        <v>5.1651</v>
      </c>
      <c r="E221" s="11" t="n">
        <v>3.9321</v>
      </c>
      <c r="F221" s="11" t="n">
        <v>11.6432</v>
      </c>
    </row>
    <row r="222">
      <c r="A222" s="9" t="n">
        <v>44958</v>
      </c>
      <c r="B222" s="11" t="n">
        <v>64.2313</v>
      </c>
      <c r="C222" s="11" t="n">
        <v>16.9613</v>
      </c>
      <c r="D222" s="11" t="n">
        <v>7.6352</v>
      </c>
      <c r="E222" s="11" t="n">
        <v>2.494</v>
      </c>
      <c r="F222" s="11" t="n">
        <v>8.6782</v>
      </c>
    </row>
    <row r="223">
      <c r="A223" s="9" t="n">
        <v>44986</v>
      </c>
      <c r="B223" s="11" t="n">
        <v>55.2031</v>
      </c>
      <c r="C223" s="11" t="n">
        <v>21.9684</v>
      </c>
      <c r="D223" s="11" t="n">
        <v>8.9232</v>
      </c>
      <c r="E223" s="11" t="n">
        <v>1.277</v>
      </c>
      <c r="F223" s="11" t="n">
        <v>12.6283</v>
      </c>
    </row>
    <row r="224">
      <c r="A224" s="9" t="n">
        <v>45017</v>
      </c>
      <c r="B224" s="11" t="n">
        <v>57.2261</v>
      </c>
      <c r="C224" s="11" t="n">
        <v>17.4833</v>
      </c>
      <c r="D224" s="11" t="n">
        <v>9.4922</v>
      </c>
      <c r="E224" s="11" t="n">
        <v>3.1621</v>
      </c>
      <c r="F224" s="11" t="n">
        <v>12.6363</v>
      </c>
    </row>
    <row r="225">
      <c r="A225" s="9" t="n">
        <v>45047</v>
      </c>
      <c r="B225" s="11" t="n">
        <v>57.8632</v>
      </c>
      <c r="C225" s="11" t="n">
        <v>16.4073</v>
      </c>
      <c r="D225" s="11" t="n">
        <v>12.5233</v>
      </c>
      <c r="E225" s="11" t="n">
        <v>0.6870000000000001</v>
      </c>
      <c r="F225" s="11" t="n">
        <v>12.5193</v>
      </c>
    </row>
    <row r="226">
      <c r="A226" s="9" t="n">
        <v>45078</v>
      </c>
      <c r="B226" s="11" t="n">
        <v>53.9481</v>
      </c>
      <c r="C226" s="11" t="n">
        <v>16.7853</v>
      </c>
      <c r="D226" s="11" t="n">
        <v>13.1683</v>
      </c>
      <c r="E226" s="11" t="n">
        <v>0.152</v>
      </c>
      <c r="F226" s="11" t="n">
        <v>15.9463</v>
      </c>
    </row>
    <row r="227">
      <c r="A227" s="9" t="n">
        <v>45108</v>
      </c>
      <c r="B227" s="11" t="n">
        <v>55.3381</v>
      </c>
      <c r="C227" s="11" t="n">
        <v>17.8114</v>
      </c>
      <c r="D227" s="11" t="n">
        <v>7.4371</v>
      </c>
      <c r="E227" s="11" t="n">
        <v>2.217</v>
      </c>
      <c r="F227" s="11" t="n">
        <v>17.1963</v>
      </c>
    </row>
    <row r="228">
      <c r="A228" s="9" t="n">
        <v>45139</v>
      </c>
      <c r="B228" s="11" t="n">
        <v>48.289</v>
      </c>
      <c r="C228" s="11" t="n">
        <v>18.8204</v>
      </c>
      <c r="D228" s="11" t="n">
        <v>14.4463</v>
      </c>
      <c r="E228" s="11" t="n">
        <v>3.3571</v>
      </c>
      <c r="F228" s="11" t="n">
        <v>15.0873</v>
      </c>
    </row>
    <row r="229">
      <c r="A229" s="9" t="n">
        <v>45170</v>
      </c>
      <c r="B229" s="11" t="n">
        <v>48.43</v>
      </c>
      <c r="C229" s="11" t="n">
        <v>18.4194</v>
      </c>
      <c r="D229" s="11" t="n">
        <v>14.1773</v>
      </c>
      <c r="E229" s="11" t="n">
        <v>4.5991</v>
      </c>
      <c r="F229" s="11" t="n">
        <v>14.3743</v>
      </c>
    </row>
    <row r="230">
      <c r="A230" s="9" t="n">
        <v>45200</v>
      </c>
      <c r="B230" s="11" t="n">
        <v>29.2466</v>
      </c>
      <c r="C230" s="11" t="n">
        <v>35.0687</v>
      </c>
      <c r="D230" s="11" t="n">
        <v>18.1394</v>
      </c>
      <c r="E230" s="11" t="n">
        <v>4.2071</v>
      </c>
      <c r="F230" s="11" t="n">
        <v>13.3383</v>
      </c>
    </row>
    <row r="231">
      <c r="A231" s="9" t="n">
        <v>45231</v>
      </c>
      <c r="B231" s="11" t="n">
        <v>14.5423</v>
      </c>
      <c r="C231" s="11" t="n">
        <v>40.5728</v>
      </c>
      <c r="D231" s="11" t="n">
        <v>25.0315</v>
      </c>
      <c r="E231" s="11" t="n">
        <v>5.2201</v>
      </c>
      <c r="F231" s="11" t="n">
        <v>14.6333</v>
      </c>
    </row>
    <row r="232">
      <c r="A232" s="9" t="n">
        <v>45261</v>
      </c>
      <c r="B232" s="11" t="n">
        <v>11.5061</v>
      </c>
      <c r="C232" s="11" t="n">
        <v>40.4648</v>
      </c>
      <c r="D232" s="11" t="n">
        <v>14.2389</v>
      </c>
      <c r="E232" s="11" t="n">
        <v>12.135</v>
      </c>
      <c r="F232" s="11" t="n">
        <v>21.6553</v>
      </c>
    </row>
    <row r="233">
      <c r="A233" s="9" t="n">
        <v>45292</v>
      </c>
      <c r="B233" s="11" t="n">
        <v>13.0592</v>
      </c>
      <c r="C233" s="11" t="n">
        <v>37.5987</v>
      </c>
      <c r="D233" s="11" t="n">
        <v>20.0988</v>
      </c>
      <c r="E233" s="11" t="n">
        <v>5.0007</v>
      </c>
      <c r="F233" s="11" t="n">
        <v>24.2425</v>
      </c>
    </row>
    <row r="234">
      <c r="A234" s="9" t="n">
        <v>45323</v>
      </c>
      <c r="B234" s="11" t="n">
        <v>9.349399999999999</v>
      </c>
      <c r="C234" s="11" t="n">
        <v>30.4992</v>
      </c>
      <c r="D234" s="11" t="n">
        <v>23.3666</v>
      </c>
      <c r="E234" s="11" t="n">
        <v>7.9005</v>
      </c>
      <c r="F234" s="11" t="n">
        <v>28.8843</v>
      </c>
    </row>
    <row r="235">
      <c r="A235" s="9" t="n">
        <v>45352</v>
      </c>
      <c r="B235" s="11" t="n">
        <v>9.2904</v>
      </c>
      <c r="C235" s="11" t="n">
        <v>21.2847</v>
      </c>
      <c r="D235" s="11" t="n">
        <v>25.0215</v>
      </c>
      <c r="E235" s="11" t="n">
        <v>10.5384</v>
      </c>
      <c r="F235" s="11" t="n">
        <v>33.865</v>
      </c>
    </row>
    <row r="236">
      <c r="A236" s="9" t="n">
        <v>45383</v>
      </c>
      <c r="B236" s="11" t="n">
        <v>6.9826</v>
      </c>
      <c r="C236" s="11" t="n">
        <v>23.0286</v>
      </c>
      <c r="D236" s="11" t="n">
        <v>24.0336</v>
      </c>
      <c r="E236" s="11" t="n">
        <v>15.2271</v>
      </c>
      <c r="F236" s="11" t="n">
        <v>30.7282</v>
      </c>
    </row>
    <row r="237">
      <c r="A237" s="9" t="n">
        <v>45413</v>
      </c>
      <c r="B237" s="11" t="n">
        <v>9.0055</v>
      </c>
      <c r="C237" s="11" t="n">
        <v>21.0497</v>
      </c>
      <c r="D237" s="11" t="n">
        <v>21.0057</v>
      </c>
      <c r="E237" s="11" t="n">
        <v>12.4023</v>
      </c>
      <c r="F237" s="11" t="n">
        <v>36.5368</v>
      </c>
    </row>
    <row r="238">
      <c r="A238" s="9" t="n">
        <v>45444</v>
      </c>
      <c r="B238" s="11" t="n">
        <v>4.4917</v>
      </c>
      <c r="C238" s="11" t="n">
        <v>23.5046</v>
      </c>
      <c r="D238" s="11" t="n">
        <v>11.7113</v>
      </c>
      <c r="E238" s="11" t="n">
        <v>14.3301</v>
      </c>
      <c r="F238" s="11" t="n">
        <v>45.9622</v>
      </c>
    </row>
    <row r="239">
      <c r="A239" s="9" t="n">
        <v>45474</v>
      </c>
      <c r="B239" s="11" t="n">
        <v>5.4197</v>
      </c>
      <c r="C239" s="11" t="n">
        <v>27.8093</v>
      </c>
      <c r="D239" s="11" t="n">
        <v>11.8783</v>
      </c>
      <c r="E239" s="11" t="n">
        <v>16.099</v>
      </c>
      <c r="F239" s="11" t="n">
        <v>38.7937</v>
      </c>
    </row>
    <row r="240">
      <c r="A240" s="9" t="n">
        <v>45505</v>
      </c>
      <c r="B240" s="11" t="n">
        <v>8.0275</v>
      </c>
      <c r="C240" s="11" t="n">
        <v>18.1069</v>
      </c>
      <c r="D240" s="11" t="n">
        <v>11.0343</v>
      </c>
      <c r="E240" s="11" t="n">
        <v>12.9072</v>
      </c>
      <c r="F240" s="11" t="n">
        <v>49.924</v>
      </c>
    </row>
    <row r="241">
      <c r="A241" s="9" t="n">
        <v>45536</v>
      </c>
      <c r="B241" s="11" t="n">
        <v>4.4457</v>
      </c>
      <c r="C241" s="11" t="n">
        <v>14.4611</v>
      </c>
      <c r="D241" s="11" t="n">
        <v>19.3148</v>
      </c>
      <c r="E241" s="11" t="n">
        <v>12.5942</v>
      </c>
      <c r="F241" s="11" t="n">
        <v>49.184</v>
      </c>
    </row>
    <row r="242">
      <c r="A242" s="9" t="n">
        <v>45566</v>
      </c>
      <c r="B242" s="11" t="n">
        <v>6.7996</v>
      </c>
      <c r="C242" s="11" t="n">
        <v>14.9281</v>
      </c>
      <c r="D242" s="11" t="n">
        <v>17.131</v>
      </c>
      <c r="E242" s="11" t="n">
        <v>12.4123</v>
      </c>
      <c r="F242" s="11" t="n">
        <v>48.7291</v>
      </c>
    </row>
    <row r="243">
      <c r="A243" s="9" t="n">
        <v>45597</v>
      </c>
      <c r="B243" s="11" t="n">
        <v>11.0163</v>
      </c>
      <c r="C243" s="11" t="n">
        <v>11.6863</v>
      </c>
      <c r="D243" s="11" t="n">
        <v>23.4646</v>
      </c>
      <c r="E243" s="11" t="n">
        <v>5.8846</v>
      </c>
      <c r="F243" s="11" t="n">
        <v>47.9481</v>
      </c>
    </row>
    <row r="244">
      <c r="A244" s="9" t="n">
        <v>45627</v>
      </c>
      <c r="B244" s="11" t="n">
        <v>4.2877</v>
      </c>
      <c r="C244" s="11" t="n">
        <v>11.8281</v>
      </c>
      <c r="D244" s="11" t="n">
        <v>32.2904</v>
      </c>
      <c r="E244" s="11" t="n">
        <v>7.6574</v>
      </c>
      <c r="F244" s="11" t="n">
        <v>43.9365</v>
      </c>
    </row>
    <row r="245">
      <c r="A245" s="9" t="n">
        <v>45658</v>
      </c>
      <c r="B245" s="11" t="n">
        <v>4.5817</v>
      </c>
      <c r="C245" s="11" t="n">
        <v>13.3661</v>
      </c>
      <c r="D245" s="11" t="n">
        <v>24.7093</v>
      </c>
      <c r="E245" s="11" t="n">
        <v>13.674</v>
      </c>
      <c r="F245" s="11" t="n">
        <v>43.6689</v>
      </c>
    </row>
    <row r="246">
      <c r="A246" s="9" t="n">
        <v>45689</v>
      </c>
      <c r="B246" s="11" t="n">
        <v>5.7936</v>
      </c>
      <c r="C246" s="11" t="n">
        <v>12.5431</v>
      </c>
      <c r="D246" s="11" t="n">
        <v>30.5649</v>
      </c>
      <c r="E246" s="11" t="n">
        <v>14.663</v>
      </c>
      <c r="F246" s="11" t="n">
        <v>36.4354</v>
      </c>
    </row>
    <row r="247">
      <c r="A247" s="9" t="n">
        <v>45717</v>
      </c>
      <c r="B247" s="11" t="n">
        <v>11.3542</v>
      </c>
      <c r="C247" s="11" t="n">
        <v>30.5659</v>
      </c>
      <c r="D247" s="11" t="n">
        <v>10.6683</v>
      </c>
      <c r="E247" s="11" t="n">
        <v>11.8482</v>
      </c>
      <c r="F247" s="11" t="n">
        <v>35.5635</v>
      </c>
    </row>
    <row r="248">
      <c r="A248" s="9" t="n">
        <v>45748</v>
      </c>
      <c r="B248" s="11" t="n">
        <v>8.1404</v>
      </c>
      <c r="C248" s="11" t="n">
        <v>36.0975</v>
      </c>
      <c r="D248" s="11" t="n">
        <v>8.7074</v>
      </c>
      <c r="E248" s="11" t="n">
        <v>11.8202</v>
      </c>
      <c r="F248" s="11" t="n">
        <v>35.2345</v>
      </c>
    </row>
    <row r="249">
      <c r="A249" s="9" t="n">
        <v>45778</v>
      </c>
      <c r="B249" s="11" t="n">
        <v>7.6075</v>
      </c>
      <c r="C249" s="11" t="n">
        <v>30.8528</v>
      </c>
      <c r="D249" s="11" t="n">
        <v>9.693300000000001</v>
      </c>
      <c r="E249" s="11" t="n">
        <v>13.1971</v>
      </c>
      <c r="F249" s="11" t="n">
        <v>38.6493</v>
      </c>
    </row>
    <row r="250">
      <c r="A250" s="9" t="n">
        <v>45809</v>
      </c>
      <c r="B250" s="11" t="n">
        <v>11.0382</v>
      </c>
      <c r="C250" s="11" t="n">
        <v>25.8982</v>
      </c>
      <c r="D250" s="11" t="n">
        <v>11.4942</v>
      </c>
      <c r="E250" s="11" t="n">
        <v>11.2122</v>
      </c>
      <c r="F250" s="11" t="n">
        <v>40.3572</v>
      </c>
    </row>
    <row r="251">
      <c r="A251" s="9" t="n">
        <v>45839</v>
      </c>
      <c r="B251" s="11" t="n">
        <v>12.8631</v>
      </c>
      <c r="C251" s="11" t="n">
        <v>20.2086</v>
      </c>
      <c r="D251" s="11" t="n">
        <v>13.1321</v>
      </c>
      <c r="E251" s="11" t="n">
        <v>12.3621</v>
      </c>
      <c r="F251" s="11" t="n">
        <v>41.4341</v>
      </c>
    </row>
    <row r="252">
      <c r="A252" s="9" t="n">
        <v>45870</v>
      </c>
      <c r="B252" s="11" t="n">
        <v>11.4642</v>
      </c>
      <c r="C252" s="11" t="n">
        <v>24.3353</v>
      </c>
      <c r="D252" s="11" t="n">
        <v>12.4801</v>
      </c>
      <c r="E252" s="11" t="n">
        <v>12.9621</v>
      </c>
      <c r="F252" s="11" t="n">
        <v>38.7583</v>
      </c>
    </row>
    <row r="253">
      <c r="A253" s="9" t="n">
        <v>45901</v>
      </c>
      <c r="B253" s="11" t="n">
        <v>10.6583</v>
      </c>
      <c r="C253" s="11" t="n">
        <v>26.1382</v>
      </c>
      <c r="D253" s="11" t="n">
        <v>17.1758</v>
      </c>
      <c r="E253" s="11" t="n">
        <v>12.7411</v>
      </c>
      <c r="F253" s="11" t="n">
        <v>33.2867</v>
      </c>
    </row>
    <row r="254">
      <c r="A254" s="9" t="n">
        <v>45931</v>
      </c>
      <c r="B254" s="11" t="n">
        <v>9.0504</v>
      </c>
      <c r="C254" s="11" t="n">
        <v>25.1422</v>
      </c>
      <c r="D254" s="11" t="n">
        <v>9.1874</v>
      </c>
      <c r="E254" s="11" t="n">
        <v>11.6922</v>
      </c>
      <c r="F254" s="11" t="n">
        <v>44.9279</v>
      </c>
    </row>
    <row r="255">
      <c r="A255" s="9" t="n">
        <v>45962</v>
      </c>
      <c r="B255" s="11" t="n">
        <v>6.7345</v>
      </c>
      <c r="C255" s="11" t="n">
        <v>25.5032</v>
      </c>
      <c r="D255" s="11" t="n">
        <v>10.8212</v>
      </c>
      <c r="E255" s="11" t="n">
        <v>9.6403</v>
      </c>
      <c r="F255" s="11" t="n">
        <v>47.3007</v>
      </c>
    </row>
    <row r="256">
      <c r="A256" s="9" t="n">
        <v>45992</v>
      </c>
      <c r="B256" s="11" t="n">
        <v>6.6255</v>
      </c>
      <c r="C256" s="11" t="n">
        <v>24.5383</v>
      </c>
      <c r="D256" s="11" t="n">
        <v>11.1212</v>
      </c>
      <c r="E256" s="11" t="n">
        <v>11.0002</v>
      </c>
      <c r="F256" s="11" t="n">
        <v>46.7147</v>
      </c>
    </row>
    <row r="257">
      <c r="A257" s="9" t="n">
        <v>46023</v>
      </c>
      <c r="B257" s="11" t="n">
        <v>5.9231</v>
      </c>
      <c r="C257" s="11" t="n">
        <v>31.6138</v>
      </c>
      <c r="D257" s="11" t="n">
        <v>14.6652</v>
      </c>
      <c r="E257" s="11" t="n">
        <v>4.6474</v>
      </c>
      <c r="F257" s="11" t="n">
        <v>43.1505</v>
      </c>
    </row>
    <row r="258">
      <c r="A258" s="9" t="n">
        <v>46054</v>
      </c>
      <c r="B258" s="11" t="n">
        <v>12.0406</v>
      </c>
      <c r="C258" s="11" t="n">
        <v>26.3912</v>
      </c>
      <c r="D258" s="11" t="n">
        <v>15.4531</v>
      </c>
      <c r="E258" s="11" t="n">
        <v>8.8001</v>
      </c>
      <c r="F258" s="11" t="n">
        <v>37.315</v>
      </c>
    </row>
    <row r="259">
      <c r="A259" s="9" t="n">
        <v>46082</v>
      </c>
      <c r="B259" s="11" t="n">
        <v>7.8818</v>
      </c>
      <c r="C259" s="11" t="n">
        <v>35.0885</v>
      </c>
      <c r="D259" s="11" t="n">
        <v>12.0457</v>
      </c>
      <c r="E259" s="11" t="n">
        <v>6.1969</v>
      </c>
      <c r="F259" s="11" t="n">
        <v>38.7871</v>
      </c>
    </row>
    <row r="260">
      <c r="A260" s="9" t="n">
        <v>46113</v>
      </c>
      <c r="B260" s="11" t="n">
        <v>17.0943</v>
      </c>
      <c r="C260" s="11" t="n">
        <v>27.0376</v>
      </c>
      <c r="D260" s="11" t="n">
        <v>9.4038</v>
      </c>
      <c r="E260" s="11" t="n">
        <v>12.7889</v>
      </c>
      <c r="F260" s="11" t="n">
        <v>33.6754</v>
      </c>
    </row>
    <row r="261">
      <c r="A261" s="9" t="n">
        <v>46143</v>
      </c>
      <c r="B261" s="11" t="n">
        <v>16.1739</v>
      </c>
      <c r="C261" s="11" t="n">
        <v>31.7696</v>
      </c>
      <c r="D261" s="11" t="n">
        <v>8.984400000000001</v>
      </c>
      <c r="E261" s="11" t="n">
        <v>5.8029</v>
      </c>
      <c r="F261" s="11" t="n">
        <v>37.2692</v>
      </c>
    </row>
    <row r="262">
      <c r="A262" s="9" t="n">
        <v>46174</v>
      </c>
      <c r="B262" s="11" t="n">
        <v>14.1154</v>
      </c>
      <c r="C262" s="11" t="n">
        <v>30.1977</v>
      </c>
      <c r="D262" s="11" t="n">
        <v>11.8115</v>
      </c>
      <c r="E262" s="11" t="n">
        <v>6.5431</v>
      </c>
      <c r="F262" s="11" t="n">
        <v>37.3323</v>
      </c>
    </row>
    <row r="263">
      <c r="A263" s="9" t="n">
        <v>46204</v>
      </c>
      <c r="B263" s="11" t="n">
        <v>14.5552</v>
      </c>
      <c r="C263" s="11" t="n">
        <v>28.3978</v>
      </c>
      <c r="D263" s="11" t="n">
        <v>11.8971</v>
      </c>
      <c r="E263" s="11" t="n">
        <v>3.2385</v>
      </c>
      <c r="F263" s="11" t="n">
        <v>41.9115</v>
      </c>
    </row>
    <row r="264">
      <c r="A264" s="9" t="n">
        <v>46235</v>
      </c>
      <c r="B264" s="11" t="n">
        <v>14.7283</v>
      </c>
      <c r="C264" s="11" t="n">
        <v>31.175</v>
      </c>
      <c r="D264" s="11" t="n">
        <v>8.6729</v>
      </c>
      <c r="E264" s="11" t="n">
        <v>4.1761</v>
      </c>
      <c r="F264" s="11" t="n">
        <v>41.2477</v>
      </c>
    </row>
    <row r="265">
      <c r="A265" s="9" t="n">
        <v>46266</v>
      </c>
      <c r="B265" s="11" t="n">
        <v>17.134</v>
      </c>
      <c r="C265" s="11" t="n">
        <v>18.9237</v>
      </c>
      <c r="D265" s="11" t="n">
        <v>16.9772</v>
      </c>
      <c r="E265" s="11" t="n">
        <v>5.9923</v>
      </c>
      <c r="F265" s="11" t="n">
        <v>40.9729</v>
      </c>
    </row>
    <row r="268">
      <c r="A268" s="13" t="inlineStr">
        <is>
          <t>Germania - 2026-09 - quota % delle voci per fascia, per peso</t>
        </is>
      </c>
    </row>
    <row r="269">
      <c r="A269" s="5" t="inlineStr">
        <is>
          <t>Gruppo</t>
        </is>
      </c>
      <c r="B269" s="5" t="inlineStr">
        <is>
          <t>oltre 5%</t>
        </is>
      </c>
      <c r="C269" s="5" t="inlineStr">
        <is>
          <t>3-5%</t>
        </is>
      </c>
      <c r="D269" s="5" t="inlineStr">
        <is>
          <t>2-3%</t>
        </is>
      </c>
      <c r="E269" s="5" t="inlineStr">
        <is>
          <t>1,5-2%</t>
        </is>
      </c>
      <c r="F269" s="5" t="inlineStr">
        <is>
          <t>sotto 1,5%</t>
        </is>
      </c>
    </row>
    <row r="270">
      <c r="A270" s="3" t="inlineStr">
        <is>
          <t>Totale</t>
        </is>
      </c>
      <c r="B270" s="11" t="n">
        <v>15.2862</v>
      </c>
      <c r="C270" s="11" t="n">
        <v>20.491</v>
      </c>
      <c r="D270" s="11" t="n">
        <v>19.8879</v>
      </c>
      <c r="E270" s="11" t="n">
        <v>2.761</v>
      </c>
      <c r="F270" s="11" t="n">
        <v>41.574</v>
      </c>
    </row>
    <row r="271">
      <c r="A271" s="3" t="inlineStr">
        <is>
          <t>Alimentari</t>
        </is>
      </c>
      <c r="B271" s="11" t="n">
        <v>20.3448</v>
      </c>
      <c r="C271" s="11" t="n">
        <v>5.3087</v>
      </c>
      <c r="D271" s="11" t="n">
        <v>5.2716</v>
      </c>
      <c r="E271" s="11" t="n">
        <v>0</v>
      </c>
      <c r="F271" s="11" t="n">
        <v>69.0748</v>
      </c>
    </row>
    <row r="272">
      <c r="A272" s="3" t="inlineStr">
        <is>
          <t>Beni industriali</t>
        </is>
      </c>
      <c r="B272" s="11" t="n">
        <v>11.2999</v>
      </c>
      <c r="C272" s="11" t="n">
        <v>1.7786</v>
      </c>
      <c r="D272" s="11" t="n">
        <v>23.5725</v>
      </c>
      <c r="E272" s="11" t="n">
        <v>6.0474</v>
      </c>
      <c r="F272" s="11" t="n">
        <v>57.3015</v>
      </c>
    </row>
    <row r="273">
      <c r="A273" s="3" t="inlineStr">
        <is>
          <t>Energia</t>
        </is>
      </c>
      <c r="B273" s="11" t="n">
        <v>43.3562</v>
      </c>
      <c r="C273" s="11" t="n">
        <v>0</v>
      </c>
      <c r="D273" s="11" t="n">
        <v>0</v>
      </c>
      <c r="E273" s="11" t="n">
        <v>0</v>
      </c>
      <c r="F273" s="11" t="n">
        <v>56.6438</v>
      </c>
    </row>
    <row r="274">
      <c r="A274" s="3" t="inlineStr">
        <is>
          <t>Servizi</t>
        </is>
      </c>
      <c r="B274" s="11" t="n">
        <v>10.4979</v>
      </c>
      <c r="C274" s="11" t="n">
        <v>40.8483</v>
      </c>
      <c r="D274" s="11" t="n">
        <v>26.6202</v>
      </c>
      <c r="E274" s="11" t="n">
        <v>2.302</v>
      </c>
      <c r="F274" s="11" t="n">
        <v>19.7316</v>
      </c>
    </row>
    <row r="277">
      <c r="A277" s="13" t="inlineStr">
        <is>
          <t>Germania - 2026-09 - quota % delle voci per fascia, per numero di voci</t>
        </is>
      </c>
    </row>
    <row r="278">
      <c r="A278" s="5" t="inlineStr">
        <is>
          <t>Gruppo</t>
        </is>
      </c>
      <c r="B278" s="5" t="inlineStr">
        <is>
          <t>oltre 5%</t>
        </is>
      </c>
      <c r="C278" s="5" t="inlineStr">
        <is>
          <t>3-5%</t>
        </is>
      </c>
      <c r="D278" s="5" t="inlineStr">
        <is>
          <t>2-3%</t>
        </is>
      </c>
      <c r="E278" s="5" t="inlineStr">
        <is>
          <t>1,5-2%</t>
        </is>
      </c>
      <c r="F278" s="5" t="inlineStr">
        <is>
          <t>sotto 1,5%</t>
        </is>
      </c>
    </row>
    <row r="279">
      <c r="A279" s="3" t="inlineStr">
        <is>
          <t>Totale</t>
        </is>
      </c>
      <c r="B279" s="11" t="n">
        <v>15.625</v>
      </c>
      <c r="C279" s="11" t="n">
        <v>21.0938</v>
      </c>
      <c r="D279" s="11" t="n">
        <v>11.7188</v>
      </c>
      <c r="E279" s="11" t="n">
        <v>4.6875</v>
      </c>
      <c r="F279" s="11" t="n">
        <v>46.875</v>
      </c>
    </row>
    <row r="280">
      <c r="A280" s="3" t="inlineStr">
        <is>
          <t>Alimentari</t>
        </is>
      </c>
      <c r="B280" s="11" t="n">
        <v>15</v>
      </c>
      <c r="C280" s="11" t="n">
        <v>15</v>
      </c>
      <c r="D280" s="11" t="n">
        <v>10</v>
      </c>
      <c r="E280" s="11" t="n">
        <v>0</v>
      </c>
      <c r="F280" s="11" t="n">
        <v>60</v>
      </c>
    </row>
    <row r="281">
      <c r="A281" s="3" t="inlineStr">
        <is>
          <t>Beni industriali</t>
        </is>
      </c>
      <c r="B281" s="11" t="n">
        <v>16.2791</v>
      </c>
      <c r="C281" s="11" t="n">
        <v>2.3256</v>
      </c>
      <c r="D281" s="11" t="n">
        <v>11.6279</v>
      </c>
      <c r="E281" s="11" t="n">
        <v>9.302300000000001</v>
      </c>
      <c r="F281" s="11" t="n">
        <v>60.4651</v>
      </c>
    </row>
    <row r="282">
      <c r="A282" s="3" t="inlineStr">
        <is>
          <t>Energia</t>
        </is>
      </c>
      <c r="B282" s="11" t="n">
        <v>50</v>
      </c>
      <c r="C282" s="11" t="n">
        <v>0</v>
      </c>
      <c r="D282" s="11" t="n">
        <v>0</v>
      </c>
      <c r="E282" s="11" t="n">
        <v>0</v>
      </c>
      <c r="F282" s="11" t="n">
        <v>50</v>
      </c>
    </row>
    <row r="283">
      <c r="A283" s="3" t="inlineStr">
        <is>
          <t>Servizi</t>
        </is>
      </c>
      <c r="B283" s="11" t="n">
        <v>11.8644</v>
      </c>
      <c r="C283" s="11" t="n">
        <v>38.9831</v>
      </c>
      <c r="D283" s="11" t="n">
        <v>13.5593</v>
      </c>
      <c r="E283" s="11" t="n">
        <v>3.3898</v>
      </c>
      <c r="F283" s="11" t="n">
        <v>32.2034</v>
      </c>
    </row>
    <row r="286">
      <c r="A286" s="13" t="inlineStr">
        <is>
          <t>Germania - per divisione ECOICOP, quota % per peso</t>
        </is>
      </c>
    </row>
    <row r="287">
      <c r="A287" s="5" t="inlineStr">
        <is>
          <t>Divisione</t>
        </is>
      </c>
      <c r="B287" s="5" t="inlineStr">
        <is>
          <t>oltre 5%</t>
        </is>
      </c>
      <c r="C287" s="5" t="inlineStr">
        <is>
          <t>3-5%</t>
        </is>
      </c>
      <c r="D287" s="5" t="inlineStr">
        <is>
          <t>2-3%</t>
        </is>
      </c>
      <c r="E287" s="5" t="inlineStr">
        <is>
          <t>1,5-2%</t>
        </is>
      </c>
      <c r="F287" s="5" t="inlineStr">
        <is>
          <t>sotto 1,5%</t>
        </is>
      </c>
    </row>
    <row r="288">
      <c r="A288" s="3" t="inlineStr">
        <is>
          <t>Abbigliamento e calzature</t>
        </is>
      </c>
      <c r="B288" s="11" t="n">
        <v>0</v>
      </c>
      <c r="C288" s="11" t="n">
        <v>1.9045</v>
      </c>
      <c r="D288" s="11" t="n">
        <v>1.7809</v>
      </c>
      <c r="E288" s="11" t="n">
        <v>0</v>
      </c>
      <c r="F288" s="11" t="n">
        <v>96.3146</v>
      </c>
    </row>
    <row r="289">
      <c r="A289" s="3" t="inlineStr">
        <is>
          <t>Abitazione e utenze</t>
        </is>
      </c>
      <c r="B289" s="11" t="n">
        <v>4.7044</v>
      </c>
      <c r="C289" s="11" t="n">
        <v>8.3157</v>
      </c>
      <c r="D289" s="11" t="n">
        <v>48.2577</v>
      </c>
      <c r="E289" s="11" t="n">
        <v>0</v>
      </c>
      <c r="F289" s="11" t="n">
        <v>38.7221</v>
      </c>
    </row>
    <row r="290">
      <c r="A290" s="3" t="inlineStr">
        <is>
          <t>Alcolici e tabacchi</t>
        </is>
      </c>
      <c r="B290" s="11" t="n">
        <v>53.7644</v>
      </c>
      <c r="C290" s="11" t="n">
        <v>0</v>
      </c>
      <c r="D290" s="11" t="n">
        <v>15.3309</v>
      </c>
      <c r="E290" s="11" t="n">
        <v>0</v>
      </c>
      <c r="F290" s="11" t="n">
        <v>30.9047</v>
      </c>
    </row>
    <row r="291">
      <c r="A291" s="3" t="inlineStr">
        <is>
          <t>Alimentari e bevande analcoliche</t>
        </is>
      </c>
      <c r="B291" s="11" t="n">
        <v>11.8026</v>
      </c>
      <c r="C291" s="11" t="n">
        <v>6.6656</v>
      </c>
      <c r="D291" s="11" t="n">
        <v>2.7004</v>
      </c>
      <c r="E291" s="11" t="n">
        <v>0</v>
      </c>
      <c r="F291" s="11" t="n">
        <v>78.8314</v>
      </c>
    </row>
    <row r="292">
      <c r="A292" s="3" t="inlineStr">
        <is>
          <t>Assicurazioni e servizi finanziari</t>
        </is>
      </c>
      <c r="B292" s="11" t="n">
        <v>13.306</v>
      </c>
      <c r="C292" s="11" t="n">
        <v>12.5147</v>
      </c>
      <c r="D292" s="11" t="n">
        <v>0</v>
      </c>
      <c r="E292" s="11" t="n">
        <v>0</v>
      </c>
      <c r="F292" s="11" t="n">
        <v>74.1794</v>
      </c>
    </row>
    <row r="293">
      <c r="A293" s="3" t="inlineStr">
        <is>
          <t>Cura della persona e altri</t>
        </is>
      </c>
      <c r="B293" s="11" t="n">
        <v>6.2852</v>
      </c>
      <c r="C293" s="11" t="n">
        <v>37.6788</v>
      </c>
      <c r="D293" s="11" t="n">
        <v>32.0688</v>
      </c>
      <c r="E293" s="11" t="n">
        <v>0</v>
      </c>
      <c r="F293" s="11" t="n">
        <v>23.9672</v>
      </c>
    </row>
    <row r="294">
      <c r="A294" s="3" t="inlineStr">
        <is>
          <t>Informazione e comunicazione</t>
        </is>
      </c>
      <c r="B294" s="11" t="n">
        <v>29.8676</v>
      </c>
      <c r="C294" s="11" t="n">
        <v>0</v>
      </c>
      <c r="D294" s="11" t="n">
        <v>2.5097</v>
      </c>
      <c r="E294" s="11" t="n">
        <v>0</v>
      </c>
      <c r="F294" s="11" t="n">
        <v>67.62269999999999</v>
      </c>
    </row>
    <row r="295">
      <c r="A295" s="3" t="inlineStr">
        <is>
          <t>Istruzione</t>
        </is>
      </c>
      <c r="B295" s="11" t="n">
        <v>46.5634</v>
      </c>
      <c r="C295" s="11" t="n">
        <v>0</v>
      </c>
      <c r="D295" s="11" t="n">
        <v>24.2982</v>
      </c>
      <c r="E295" s="11" t="n">
        <v>14.8112</v>
      </c>
      <c r="F295" s="11" t="n">
        <v>14.3272</v>
      </c>
    </row>
    <row r="296">
      <c r="A296" s="3" t="inlineStr">
        <is>
          <t>Mobili e articoli per la casa</t>
        </is>
      </c>
      <c r="B296" s="11" t="n">
        <v>0</v>
      </c>
      <c r="C296" s="11" t="n">
        <v>10.1595</v>
      </c>
      <c r="D296" s="11" t="n">
        <v>0</v>
      </c>
      <c r="E296" s="11" t="n">
        <v>8.984</v>
      </c>
      <c r="F296" s="11" t="n">
        <v>80.85639999999999</v>
      </c>
    </row>
    <row r="297">
      <c r="A297" s="3" t="inlineStr">
        <is>
          <t>Ricreazione, sport e cultura</t>
        </is>
      </c>
      <c r="B297" s="11" t="n">
        <v>5.9208</v>
      </c>
      <c r="C297" s="11" t="n">
        <v>31.409</v>
      </c>
      <c r="D297" s="11" t="n">
        <v>15.6517</v>
      </c>
      <c r="E297" s="11" t="n">
        <v>14.533</v>
      </c>
      <c r="F297" s="11" t="n">
        <v>32.4855</v>
      </c>
    </row>
    <row r="298">
      <c r="A298" s="3" t="inlineStr">
        <is>
          <t>Ristorazione e alloggio</t>
        </is>
      </c>
      <c r="B298" s="11" t="n">
        <v>0</v>
      </c>
      <c r="C298" s="11" t="n">
        <v>77.07299999999999</v>
      </c>
      <c r="D298" s="11" t="n">
        <v>22.927</v>
      </c>
      <c r="E298" s="11" t="n">
        <v>0</v>
      </c>
      <c r="F298" s="11" t="n">
        <v>0</v>
      </c>
    </row>
    <row r="299">
      <c r="A299" s="3" t="inlineStr">
        <is>
          <t>Salute</t>
        </is>
      </c>
      <c r="B299" s="11" t="n">
        <v>32.976</v>
      </c>
      <c r="C299" s="11" t="n">
        <v>40.1662</v>
      </c>
      <c r="D299" s="11" t="n">
        <v>10.1048</v>
      </c>
      <c r="E299" s="11" t="n">
        <v>8.045299999999999</v>
      </c>
      <c r="F299" s="11" t="n">
        <v>8.707700000000001</v>
      </c>
    </row>
    <row r="300">
      <c r="A300" s="3" t="inlineStr">
        <is>
          <t>Trasporti</t>
        </is>
      </c>
      <c r="B300" s="11" t="n">
        <v>32.0709</v>
      </c>
      <c r="C300" s="11" t="n">
        <v>15.0467</v>
      </c>
      <c r="D300" s="11" t="n">
        <v>26.3303</v>
      </c>
      <c r="E300" s="11" t="n">
        <v>0</v>
      </c>
      <c r="F300" s="11" t="n">
        <v>26.552</v>
      </c>
    </row>
    <row r="303">
      <c r="A303" s="13" t="inlineStr">
        <is>
          <t>Germania - storico quota % del paniere per fascia (per peso)</t>
        </is>
      </c>
    </row>
    <row r="304">
      <c r="A304" s="5" t="inlineStr">
        <is>
          <t>Mese</t>
        </is>
      </c>
      <c r="B304" s="5" t="inlineStr">
        <is>
          <t>oltre 5%</t>
        </is>
      </c>
      <c r="C304" s="5" t="inlineStr">
        <is>
          <t>3-5%</t>
        </is>
      </c>
      <c r="D304" s="5" t="inlineStr">
        <is>
          <t>2-3%</t>
        </is>
      </c>
      <c r="E304" s="5" t="inlineStr">
        <is>
          <t>1,5-2%</t>
        </is>
      </c>
      <c r="F304" s="5" t="inlineStr">
        <is>
          <t>sotto 1,5%</t>
        </is>
      </c>
    </row>
    <row r="305">
      <c r="A305" s="9" t="n">
        <v>43466</v>
      </c>
      <c r="B305" s="11" t="n">
        <v>4.526</v>
      </c>
      <c r="C305" s="11" t="n">
        <v>5.727</v>
      </c>
      <c r="D305" s="11" t="n">
        <v>34.288</v>
      </c>
      <c r="E305" s="11" t="n">
        <v>14.31</v>
      </c>
      <c r="F305" s="11" t="n">
        <v>41.149</v>
      </c>
    </row>
    <row r="306">
      <c r="A306" s="9" t="n">
        <v>43497</v>
      </c>
      <c r="B306" s="11" t="n">
        <v>4.657</v>
      </c>
      <c r="C306" s="11" t="n">
        <v>7.669</v>
      </c>
      <c r="D306" s="11" t="n">
        <v>29.283</v>
      </c>
      <c r="E306" s="11" t="n">
        <v>15.511</v>
      </c>
      <c r="F306" s="11" t="n">
        <v>42.88</v>
      </c>
    </row>
    <row r="307">
      <c r="A307" s="9" t="n">
        <v>43525</v>
      </c>
      <c r="B307" s="11" t="n">
        <v>3.611</v>
      </c>
      <c r="C307" s="11" t="n">
        <v>13.55</v>
      </c>
      <c r="D307" s="11" t="n">
        <v>21.736</v>
      </c>
      <c r="E307" s="11" t="n">
        <v>14.533</v>
      </c>
      <c r="F307" s="11" t="n">
        <v>46.57</v>
      </c>
    </row>
    <row r="308">
      <c r="A308" s="9" t="n">
        <v>43556</v>
      </c>
      <c r="B308" s="11" t="n">
        <v>11.749</v>
      </c>
      <c r="C308" s="11" t="n">
        <v>12.756</v>
      </c>
      <c r="D308" s="11" t="n">
        <v>19.758</v>
      </c>
      <c r="E308" s="11" t="n">
        <v>19.101</v>
      </c>
      <c r="F308" s="11" t="n">
        <v>36.636</v>
      </c>
    </row>
    <row r="309">
      <c r="A309" s="9" t="n">
        <v>43586</v>
      </c>
      <c r="B309" s="11" t="n">
        <v>4.596</v>
      </c>
      <c r="C309" s="11" t="n">
        <v>17.797</v>
      </c>
      <c r="D309" s="11" t="n">
        <v>19.26</v>
      </c>
      <c r="E309" s="11" t="n">
        <v>18.819</v>
      </c>
      <c r="F309" s="11" t="n">
        <v>39.528</v>
      </c>
    </row>
    <row r="310">
      <c r="A310" s="9" t="n">
        <v>43617</v>
      </c>
      <c r="B310" s="11" t="n">
        <v>6.849</v>
      </c>
      <c r="C310" s="11" t="n">
        <v>13.684</v>
      </c>
      <c r="D310" s="11" t="n">
        <v>26.699</v>
      </c>
      <c r="E310" s="11" t="n">
        <v>17.72</v>
      </c>
      <c r="F310" s="11" t="n">
        <v>35.048</v>
      </c>
    </row>
    <row r="311">
      <c r="A311" s="9" t="n">
        <v>43647</v>
      </c>
      <c r="B311" s="11" t="n">
        <v>6.974</v>
      </c>
      <c r="C311" s="11" t="n">
        <v>20.876</v>
      </c>
      <c r="D311" s="11" t="n">
        <v>17.08</v>
      </c>
      <c r="E311" s="11" t="n">
        <v>17.99</v>
      </c>
      <c r="F311" s="11" t="n">
        <v>37.08</v>
      </c>
    </row>
    <row r="312">
      <c r="A312" s="9" t="n">
        <v>43678</v>
      </c>
      <c r="B312" s="11" t="n">
        <v>3.258</v>
      </c>
      <c r="C312" s="11" t="n">
        <v>18.64</v>
      </c>
      <c r="D312" s="11" t="n">
        <v>20.783</v>
      </c>
      <c r="E312" s="11" t="n">
        <v>7.283</v>
      </c>
      <c r="F312" s="11" t="n">
        <v>50.036</v>
      </c>
    </row>
    <row r="313">
      <c r="A313" s="9" t="n">
        <v>43709</v>
      </c>
      <c r="B313" s="11" t="n">
        <v>3.011</v>
      </c>
      <c r="C313" s="11" t="n">
        <v>15.148</v>
      </c>
      <c r="D313" s="11" t="n">
        <v>17.395</v>
      </c>
      <c r="E313" s="11" t="n">
        <v>9.002000000000001</v>
      </c>
      <c r="F313" s="11" t="n">
        <v>55.444</v>
      </c>
    </row>
    <row r="314">
      <c r="A314" s="9" t="n">
        <v>43739</v>
      </c>
      <c r="B314" s="11" t="n">
        <v>6.83</v>
      </c>
      <c r="C314" s="11" t="n">
        <v>10.541</v>
      </c>
      <c r="D314" s="11" t="n">
        <v>14.624</v>
      </c>
      <c r="E314" s="11" t="n">
        <v>20.782</v>
      </c>
      <c r="F314" s="11" t="n">
        <v>47.223</v>
      </c>
    </row>
    <row r="315">
      <c r="A315" s="9" t="n">
        <v>43770</v>
      </c>
      <c r="B315" s="11" t="n">
        <v>3.063</v>
      </c>
      <c r="C315" s="11" t="n">
        <v>17.184</v>
      </c>
      <c r="D315" s="11" t="n">
        <v>10.853</v>
      </c>
      <c r="E315" s="11" t="n">
        <v>28.984</v>
      </c>
      <c r="F315" s="11" t="n">
        <v>39.916</v>
      </c>
    </row>
    <row r="316">
      <c r="A316" s="9" t="n">
        <v>43800</v>
      </c>
      <c r="B316" s="11" t="n">
        <v>5.819</v>
      </c>
      <c r="C316" s="11" t="n">
        <v>17.446</v>
      </c>
      <c r="D316" s="11" t="n">
        <v>18.6</v>
      </c>
      <c r="E316" s="11" t="n">
        <v>17.955</v>
      </c>
      <c r="F316" s="11" t="n">
        <v>40.18</v>
      </c>
    </row>
    <row r="317">
      <c r="A317" s="9" t="n">
        <v>43831</v>
      </c>
      <c r="B317" s="11" t="n">
        <v>9.2074</v>
      </c>
      <c r="C317" s="11" t="n">
        <v>14.1481</v>
      </c>
      <c r="D317" s="11" t="n">
        <v>17.0246</v>
      </c>
      <c r="E317" s="11" t="n">
        <v>10.5546</v>
      </c>
      <c r="F317" s="11" t="n">
        <v>49.0654</v>
      </c>
    </row>
    <row r="318">
      <c r="A318" s="9" t="n">
        <v>43862</v>
      </c>
      <c r="B318" s="11" t="n">
        <v>5.2158</v>
      </c>
      <c r="C318" s="11" t="n">
        <v>16.6565</v>
      </c>
      <c r="D318" s="11" t="n">
        <v>22.1643</v>
      </c>
      <c r="E318" s="11" t="n">
        <v>11.8388</v>
      </c>
      <c r="F318" s="11" t="n">
        <v>44.1246</v>
      </c>
    </row>
    <row r="319">
      <c r="A319" s="9" t="n">
        <v>43891</v>
      </c>
      <c r="B319" s="11" t="n">
        <v>5.5468</v>
      </c>
      <c r="C319" s="11" t="n">
        <v>11.9578</v>
      </c>
      <c r="D319" s="11" t="n">
        <v>20.3981</v>
      </c>
      <c r="E319" s="11" t="n">
        <v>23.4755</v>
      </c>
      <c r="F319" s="11" t="n">
        <v>38.6218</v>
      </c>
    </row>
    <row r="320">
      <c r="A320" s="9" t="n">
        <v>43922</v>
      </c>
      <c r="B320" s="11" t="n">
        <v>7.2631</v>
      </c>
      <c r="C320" s="11" t="n">
        <v>12.4669</v>
      </c>
      <c r="D320" s="11" t="n">
        <v>19.2719</v>
      </c>
      <c r="E320" s="11" t="n">
        <v>11.3177</v>
      </c>
      <c r="F320" s="11" t="n">
        <v>49.6805</v>
      </c>
    </row>
    <row r="321">
      <c r="A321" s="9" t="n">
        <v>43952</v>
      </c>
      <c r="B321" s="11" t="n">
        <v>5.7729</v>
      </c>
      <c r="C321" s="11" t="n">
        <v>13.34</v>
      </c>
      <c r="D321" s="11" t="n">
        <v>15.0783</v>
      </c>
      <c r="E321" s="11" t="n">
        <v>8.981299999999999</v>
      </c>
      <c r="F321" s="11" t="n">
        <v>56.8275</v>
      </c>
    </row>
    <row r="322">
      <c r="A322" s="9" t="n">
        <v>43983</v>
      </c>
      <c r="B322" s="11" t="n">
        <v>9.0984</v>
      </c>
      <c r="C322" s="11" t="n">
        <v>9.778499999999999</v>
      </c>
      <c r="D322" s="11" t="n">
        <v>14.7232</v>
      </c>
      <c r="E322" s="11" t="n">
        <v>10.3866</v>
      </c>
      <c r="F322" s="11" t="n">
        <v>56.0134</v>
      </c>
    </row>
    <row r="323">
      <c r="A323" s="9" t="n">
        <v>44013</v>
      </c>
      <c r="B323" s="11" t="n">
        <v>6.487</v>
      </c>
      <c r="C323" s="11" t="n">
        <v>5.5368</v>
      </c>
      <c r="D323" s="11" t="n">
        <v>10.0265</v>
      </c>
      <c r="E323" s="11" t="n">
        <v>7.3181</v>
      </c>
      <c r="F323" s="11" t="n">
        <v>70.63160000000001</v>
      </c>
    </row>
    <row r="324">
      <c r="A324" s="9" t="n">
        <v>44044</v>
      </c>
      <c r="B324" s="11" t="n">
        <v>4.7557</v>
      </c>
      <c r="C324" s="11" t="n">
        <v>7.4771</v>
      </c>
      <c r="D324" s="11" t="n">
        <v>8.8383</v>
      </c>
      <c r="E324" s="11" t="n">
        <v>8.2012</v>
      </c>
      <c r="F324" s="11" t="n">
        <v>70.7276</v>
      </c>
    </row>
    <row r="325">
      <c r="A325" s="9" t="n">
        <v>44075</v>
      </c>
      <c r="B325" s="11" t="n">
        <v>3.6235</v>
      </c>
      <c r="C325" s="11" t="n">
        <v>7.8422</v>
      </c>
      <c r="D325" s="11" t="n">
        <v>12.8469</v>
      </c>
      <c r="E325" s="11" t="n">
        <v>4.2626</v>
      </c>
      <c r="F325" s="11" t="n">
        <v>71.4247</v>
      </c>
    </row>
    <row r="326">
      <c r="A326" s="9" t="n">
        <v>44105</v>
      </c>
      <c r="B326" s="11" t="n">
        <v>3.4565</v>
      </c>
      <c r="C326" s="11" t="n">
        <v>8.1782</v>
      </c>
      <c r="D326" s="11" t="n">
        <v>12.0858</v>
      </c>
      <c r="E326" s="11" t="n">
        <v>3.9516</v>
      </c>
      <c r="F326" s="11" t="n">
        <v>72.3278</v>
      </c>
    </row>
    <row r="327">
      <c r="A327" s="9" t="n">
        <v>44136</v>
      </c>
      <c r="B327" s="11" t="n">
        <v>1.2882</v>
      </c>
      <c r="C327" s="11" t="n">
        <v>10.0335</v>
      </c>
      <c r="D327" s="11" t="n">
        <v>9.765499999999999</v>
      </c>
      <c r="E327" s="11" t="n">
        <v>7.6251</v>
      </c>
      <c r="F327" s="11" t="n">
        <v>71.2877</v>
      </c>
    </row>
    <row r="328">
      <c r="A328" s="9" t="n">
        <v>44166</v>
      </c>
      <c r="B328" s="11" t="n">
        <v>2.571</v>
      </c>
      <c r="C328" s="11" t="n">
        <v>7.22</v>
      </c>
      <c r="D328" s="11" t="n">
        <v>10.501</v>
      </c>
      <c r="E328" s="11" t="n">
        <v>4.893</v>
      </c>
      <c r="F328" s="11" t="n">
        <v>74.815</v>
      </c>
    </row>
    <row r="329">
      <c r="A329" s="9" t="n">
        <v>44197</v>
      </c>
      <c r="B329" s="11" t="n">
        <v>1.945</v>
      </c>
      <c r="C329" s="11" t="n">
        <v>14.887</v>
      </c>
      <c r="D329" s="11" t="n">
        <v>6.966</v>
      </c>
      <c r="E329" s="11" t="n">
        <v>16.118</v>
      </c>
      <c r="F329" s="11" t="n">
        <v>60.084</v>
      </c>
    </row>
    <row r="330">
      <c r="A330" s="9" t="n">
        <v>44228</v>
      </c>
      <c r="B330" s="11" t="n">
        <v>2.135</v>
      </c>
      <c r="C330" s="11" t="n">
        <v>11.45</v>
      </c>
      <c r="D330" s="11" t="n">
        <v>14.03</v>
      </c>
      <c r="E330" s="11" t="n">
        <v>14.483</v>
      </c>
      <c r="F330" s="11" t="n">
        <v>57.902</v>
      </c>
    </row>
    <row r="331">
      <c r="A331" s="9" t="n">
        <v>44256</v>
      </c>
      <c r="B331" s="11" t="n">
        <v>8.512</v>
      </c>
      <c r="C331" s="11" t="n">
        <v>8.657</v>
      </c>
      <c r="D331" s="11" t="n">
        <v>11.251</v>
      </c>
      <c r="E331" s="11" t="n">
        <v>15.565</v>
      </c>
      <c r="F331" s="11" t="n">
        <v>56.015</v>
      </c>
    </row>
    <row r="332">
      <c r="A332" s="9" t="n">
        <v>44287</v>
      </c>
      <c r="B332" s="11" t="n">
        <v>8.497999999999999</v>
      </c>
      <c r="C332" s="11" t="n">
        <v>9.286</v>
      </c>
      <c r="D332" s="11" t="n">
        <v>14.325</v>
      </c>
      <c r="E332" s="11" t="n">
        <v>13.309</v>
      </c>
      <c r="F332" s="11" t="n">
        <v>54.582</v>
      </c>
    </row>
    <row r="333">
      <c r="A333" s="9" t="n">
        <v>44317</v>
      </c>
      <c r="B333" s="11" t="n">
        <v>8.641999999999999</v>
      </c>
      <c r="C333" s="11" t="n">
        <v>10.935</v>
      </c>
      <c r="D333" s="11" t="n">
        <v>13.916</v>
      </c>
      <c r="E333" s="11" t="n">
        <v>12.773</v>
      </c>
      <c r="F333" s="11" t="n">
        <v>53.734</v>
      </c>
    </row>
    <row r="334">
      <c r="A334" s="9" t="n">
        <v>44348</v>
      </c>
      <c r="B334" s="11" t="n">
        <v>8.67</v>
      </c>
      <c r="C334" s="11" t="n">
        <v>14.609</v>
      </c>
      <c r="D334" s="11" t="n">
        <v>14.92</v>
      </c>
      <c r="E334" s="11" t="n">
        <v>11.241</v>
      </c>
      <c r="F334" s="11" t="n">
        <v>50.56</v>
      </c>
    </row>
    <row r="335">
      <c r="A335" s="9" t="n">
        <v>44378</v>
      </c>
      <c r="B335" s="11" t="n">
        <v>22.082</v>
      </c>
      <c r="C335" s="11" t="n">
        <v>26.975</v>
      </c>
      <c r="D335" s="11" t="n">
        <v>19.391</v>
      </c>
      <c r="E335" s="11" t="n">
        <v>9.634</v>
      </c>
      <c r="F335" s="11" t="n">
        <v>21.918</v>
      </c>
    </row>
    <row r="336">
      <c r="A336" s="9" t="n">
        <v>44409</v>
      </c>
      <c r="B336" s="11" t="n">
        <v>20.726</v>
      </c>
      <c r="C336" s="11" t="n">
        <v>32.565</v>
      </c>
      <c r="D336" s="11" t="n">
        <v>15</v>
      </c>
      <c r="E336" s="11" t="n">
        <v>9.599</v>
      </c>
      <c r="F336" s="11" t="n">
        <v>22.11</v>
      </c>
    </row>
    <row r="337">
      <c r="A337" s="9" t="n">
        <v>44440</v>
      </c>
      <c r="B337" s="11" t="n">
        <v>26.525</v>
      </c>
      <c r="C337" s="11" t="n">
        <v>28.315</v>
      </c>
      <c r="D337" s="11" t="n">
        <v>14.544</v>
      </c>
      <c r="E337" s="11" t="n">
        <v>9.101000000000001</v>
      </c>
      <c r="F337" s="11" t="n">
        <v>21.515</v>
      </c>
    </row>
    <row r="338">
      <c r="A338" s="9" t="n">
        <v>44470</v>
      </c>
      <c r="B338" s="11" t="n">
        <v>28.838</v>
      </c>
      <c r="C338" s="11" t="n">
        <v>20.659</v>
      </c>
      <c r="D338" s="11" t="n">
        <v>23.988</v>
      </c>
      <c r="E338" s="11" t="n">
        <v>3.205</v>
      </c>
      <c r="F338" s="11" t="n">
        <v>23.31</v>
      </c>
    </row>
    <row r="339">
      <c r="A339" s="9" t="n">
        <v>44501</v>
      </c>
      <c r="B339" s="11" t="n">
        <v>33.016</v>
      </c>
      <c r="C339" s="11" t="n">
        <v>27.164</v>
      </c>
      <c r="D339" s="11" t="n">
        <v>15.68</v>
      </c>
      <c r="E339" s="11" t="n">
        <v>4.918</v>
      </c>
      <c r="F339" s="11" t="n">
        <v>19.222</v>
      </c>
    </row>
    <row r="340">
      <c r="A340" s="9" t="n">
        <v>44531</v>
      </c>
      <c r="B340" s="11" t="n">
        <v>40.057</v>
      </c>
      <c r="C340" s="11" t="n">
        <v>25.971</v>
      </c>
      <c r="D340" s="11" t="n">
        <v>14.529</v>
      </c>
      <c r="E340" s="11" t="n">
        <v>1.152</v>
      </c>
      <c r="F340" s="11" t="n">
        <v>18.291</v>
      </c>
    </row>
    <row r="341">
      <c r="A341" s="9" t="n">
        <v>44562</v>
      </c>
      <c r="B341" s="11" t="n">
        <v>31.739</v>
      </c>
      <c r="C341" s="11" t="n">
        <v>23.374</v>
      </c>
      <c r="D341" s="11" t="n">
        <v>10.054</v>
      </c>
      <c r="E341" s="11" t="n">
        <v>4.756</v>
      </c>
      <c r="F341" s="11" t="n">
        <v>30.077</v>
      </c>
    </row>
    <row r="342">
      <c r="A342" s="9" t="n">
        <v>44593</v>
      </c>
      <c r="B342" s="11" t="n">
        <v>39.989</v>
      </c>
      <c r="C342" s="11" t="n">
        <v>14.893</v>
      </c>
      <c r="D342" s="11" t="n">
        <v>5.992</v>
      </c>
      <c r="E342" s="11" t="n">
        <v>16.791</v>
      </c>
      <c r="F342" s="11" t="n">
        <v>22.335</v>
      </c>
    </row>
    <row r="343">
      <c r="A343" s="9" t="n">
        <v>44621</v>
      </c>
      <c r="B343" s="11" t="n">
        <v>43.424</v>
      </c>
      <c r="C343" s="11" t="n">
        <v>12.572</v>
      </c>
      <c r="D343" s="11" t="n">
        <v>9.583</v>
      </c>
      <c r="E343" s="11" t="n">
        <v>17.748</v>
      </c>
      <c r="F343" s="11" t="n">
        <v>16.673</v>
      </c>
    </row>
    <row r="344">
      <c r="A344" s="9" t="n">
        <v>44652</v>
      </c>
      <c r="B344" s="11" t="n">
        <v>45.975</v>
      </c>
      <c r="C344" s="11" t="n">
        <v>15.314</v>
      </c>
      <c r="D344" s="11" t="n">
        <v>7.262</v>
      </c>
      <c r="E344" s="11" t="n">
        <v>16.898</v>
      </c>
      <c r="F344" s="11" t="n">
        <v>14.551</v>
      </c>
    </row>
    <row r="345">
      <c r="A345" s="9" t="n">
        <v>44682</v>
      </c>
      <c r="B345" s="11" t="n">
        <v>48.345</v>
      </c>
      <c r="C345" s="11" t="n">
        <v>14.172</v>
      </c>
      <c r="D345" s="11" t="n">
        <v>8.467000000000001</v>
      </c>
      <c r="E345" s="11" t="n">
        <v>14.828</v>
      </c>
      <c r="F345" s="11" t="n">
        <v>14.188</v>
      </c>
    </row>
    <row r="346">
      <c r="A346" s="9" t="n">
        <v>44713</v>
      </c>
      <c r="B346" s="11" t="n">
        <v>49.476</v>
      </c>
      <c r="C346" s="11" t="n">
        <v>14.991</v>
      </c>
      <c r="D346" s="11" t="n">
        <v>5.262</v>
      </c>
      <c r="E346" s="11" t="n">
        <v>14.882</v>
      </c>
      <c r="F346" s="11" t="n">
        <v>15.389</v>
      </c>
    </row>
    <row r="347">
      <c r="A347" s="9" t="n">
        <v>44743</v>
      </c>
      <c r="B347" s="11" t="n">
        <v>50.915</v>
      </c>
      <c r="C347" s="11" t="n">
        <v>12.446</v>
      </c>
      <c r="D347" s="11" t="n">
        <v>8.654999999999999</v>
      </c>
      <c r="E347" s="11" t="n">
        <v>12.791</v>
      </c>
      <c r="F347" s="11" t="n">
        <v>15.193</v>
      </c>
    </row>
    <row r="348">
      <c r="A348" s="9" t="n">
        <v>44774</v>
      </c>
      <c r="B348" s="11" t="n">
        <v>55.492</v>
      </c>
      <c r="C348" s="11" t="n">
        <v>8.747</v>
      </c>
      <c r="D348" s="11" t="n">
        <v>7.319</v>
      </c>
      <c r="E348" s="11" t="n">
        <v>15.734</v>
      </c>
      <c r="F348" s="11" t="n">
        <v>12.708</v>
      </c>
    </row>
    <row r="349">
      <c r="A349" s="9" t="n">
        <v>44805</v>
      </c>
      <c r="B349" s="11" t="n">
        <v>55.564</v>
      </c>
      <c r="C349" s="11" t="n">
        <v>8.568</v>
      </c>
      <c r="D349" s="11" t="n">
        <v>11.175</v>
      </c>
      <c r="E349" s="11" t="n">
        <v>12.999</v>
      </c>
      <c r="F349" s="11" t="n">
        <v>11.694</v>
      </c>
    </row>
    <row r="350">
      <c r="A350" s="9" t="n">
        <v>44835</v>
      </c>
      <c r="B350" s="11" t="n">
        <v>59.387</v>
      </c>
      <c r="C350" s="11" t="n">
        <v>12.097</v>
      </c>
      <c r="D350" s="11" t="n">
        <v>6.247</v>
      </c>
      <c r="E350" s="11" t="n">
        <v>11.806</v>
      </c>
      <c r="F350" s="11" t="n">
        <v>10.463</v>
      </c>
    </row>
    <row r="351">
      <c r="A351" s="9" t="n">
        <v>44866</v>
      </c>
      <c r="B351" s="11" t="n">
        <v>57.836</v>
      </c>
      <c r="C351" s="11" t="n">
        <v>15.871</v>
      </c>
      <c r="D351" s="11" t="n">
        <v>4.578</v>
      </c>
      <c r="E351" s="11" t="n">
        <v>11.806</v>
      </c>
      <c r="F351" s="11" t="n">
        <v>9.909000000000001</v>
      </c>
    </row>
    <row r="352">
      <c r="A352" s="9" t="n">
        <v>44896</v>
      </c>
      <c r="B352" s="11" t="n">
        <v>56.955</v>
      </c>
      <c r="C352" s="11" t="n">
        <v>16.042</v>
      </c>
      <c r="D352" s="11" t="n">
        <v>4.526</v>
      </c>
      <c r="E352" s="11" t="n">
        <v>11.985</v>
      </c>
      <c r="F352" s="11" t="n">
        <v>10.492</v>
      </c>
    </row>
    <row r="353">
      <c r="A353" s="9" t="n">
        <v>44927</v>
      </c>
      <c r="B353" s="11" t="n">
        <v>65.371</v>
      </c>
      <c r="C353" s="11" t="n">
        <v>16.714</v>
      </c>
      <c r="D353" s="11" t="n">
        <v>10.052</v>
      </c>
      <c r="E353" s="11" t="n">
        <v>1.246</v>
      </c>
      <c r="F353" s="11" t="n">
        <v>6.617</v>
      </c>
    </row>
    <row r="354">
      <c r="A354" s="9" t="n">
        <v>44958</v>
      </c>
      <c r="B354" s="11" t="n">
        <v>66.292</v>
      </c>
      <c r="C354" s="11" t="n">
        <v>17.881</v>
      </c>
      <c r="D354" s="11" t="n">
        <v>8.016999999999999</v>
      </c>
      <c r="E354" s="11" t="n">
        <v>0.414</v>
      </c>
      <c r="F354" s="11" t="n">
        <v>7.396</v>
      </c>
    </row>
    <row r="355">
      <c r="A355" s="9" t="n">
        <v>44986</v>
      </c>
      <c r="B355" s="11" t="n">
        <v>62.175</v>
      </c>
      <c r="C355" s="11" t="n">
        <v>17.282</v>
      </c>
      <c r="D355" s="11" t="n">
        <v>8.672000000000001</v>
      </c>
      <c r="E355" s="11" t="n">
        <v>0.774</v>
      </c>
      <c r="F355" s="11" t="n">
        <v>11.097</v>
      </c>
    </row>
    <row r="356">
      <c r="A356" s="9" t="n">
        <v>45017</v>
      </c>
      <c r="B356" s="11" t="n">
        <v>61.367</v>
      </c>
      <c r="C356" s="11" t="n">
        <v>16.745</v>
      </c>
      <c r="D356" s="11" t="n">
        <v>8.868</v>
      </c>
      <c r="E356" s="11" t="n">
        <v>2.785</v>
      </c>
      <c r="F356" s="11" t="n">
        <v>10.235</v>
      </c>
    </row>
    <row r="357">
      <c r="A357" s="9" t="n">
        <v>45047</v>
      </c>
      <c r="B357" s="11" t="n">
        <v>62.595</v>
      </c>
      <c r="C357" s="11" t="n">
        <v>12.485</v>
      </c>
      <c r="D357" s="11" t="n">
        <v>12.114</v>
      </c>
      <c r="E357" s="11" t="n">
        <v>0.446</v>
      </c>
      <c r="F357" s="11" t="n">
        <v>12.36</v>
      </c>
    </row>
    <row r="358">
      <c r="A358" s="9" t="n">
        <v>45078</v>
      </c>
      <c r="B358" s="11" t="n">
        <v>61.847</v>
      </c>
      <c r="C358" s="11" t="n">
        <v>12.77</v>
      </c>
      <c r="D358" s="11" t="n">
        <v>10.117</v>
      </c>
      <c r="E358" s="11" t="n">
        <v>0.153</v>
      </c>
      <c r="F358" s="11" t="n">
        <v>15.113</v>
      </c>
    </row>
    <row r="359">
      <c r="A359" s="9" t="n">
        <v>45108</v>
      </c>
      <c r="B359" s="11" t="n">
        <v>56.79</v>
      </c>
      <c r="C359" s="11" t="n">
        <v>18.185</v>
      </c>
      <c r="D359" s="11" t="n">
        <v>9.119</v>
      </c>
      <c r="E359" s="11" t="n">
        <v>1.523</v>
      </c>
      <c r="F359" s="11" t="n">
        <v>14.383</v>
      </c>
    </row>
    <row r="360">
      <c r="A360" s="9" t="n">
        <v>45139</v>
      </c>
      <c r="B360" s="11" t="n">
        <v>59.631</v>
      </c>
      <c r="C360" s="11" t="n">
        <v>18.084</v>
      </c>
      <c r="D360" s="11" t="n">
        <v>10.276</v>
      </c>
      <c r="E360" s="11" t="n">
        <v>0.201</v>
      </c>
      <c r="F360" s="11" t="n">
        <v>11.808</v>
      </c>
    </row>
    <row r="361">
      <c r="A361" s="9" t="n">
        <v>45170</v>
      </c>
      <c r="B361" s="11" t="n">
        <v>49.987</v>
      </c>
      <c r="C361" s="11" t="n">
        <v>20.765</v>
      </c>
      <c r="D361" s="11" t="n">
        <v>11.356</v>
      </c>
      <c r="E361" s="11" t="n">
        <v>4.185</v>
      </c>
      <c r="F361" s="11" t="n">
        <v>13.707</v>
      </c>
    </row>
    <row r="362">
      <c r="A362" s="9" t="n">
        <v>45200</v>
      </c>
      <c r="B362" s="11" t="n">
        <v>38.021</v>
      </c>
      <c r="C362" s="11" t="n">
        <v>25.223</v>
      </c>
      <c r="D362" s="11" t="n">
        <v>17.382</v>
      </c>
      <c r="E362" s="11" t="n">
        <v>1.498</v>
      </c>
      <c r="F362" s="11" t="n">
        <v>17.876</v>
      </c>
    </row>
    <row r="363">
      <c r="A363" s="9" t="n">
        <v>45231</v>
      </c>
      <c r="B363" s="11" t="n">
        <v>41.364</v>
      </c>
      <c r="C363" s="11" t="n">
        <v>21.725</v>
      </c>
      <c r="D363" s="11" t="n">
        <v>13.313</v>
      </c>
      <c r="E363" s="11" t="n">
        <v>4.3</v>
      </c>
      <c r="F363" s="11" t="n">
        <v>19.298</v>
      </c>
    </row>
    <row r="364">
      <c r="A364" s="9" t="n">
        <v>45261</v>
      </c>
      <c r="B364" s="11" t="n">
        <v>35.195</v>
      </c>
      <c r="C364" s="11" t="n">
        <v>23.098</v>
      </c>
      <c r="D364" s="11" t="n">
        <v>20.728</v>
      </c>
      <c r="E364" s="11" t="n">
        <v>1.91</v>
      </c>
      <c r="F364" s="11" t="n">
        <v>19.069</v>
      </c>
    </row>
    <row r="365">
      <c r="A365" s="9" t="n">
        <v>45292</v>
      </c>
      <c r="B365" s="11" t="n">
        <v>34.256</v>
      </c>
      <c r="C365" s="11" t="n">
        <v>21.022</v>
      </c>
      <c r="D365" s="11" t="n">
        <v>20.272</v>
      </c>
      <c r="E365" s="11" t="n">
        <v>2.09</v>
      </c>
      <c r="F365" s="11" t="n">
        <v>22.36</v>
      </c>
    </row>
    <row r="366">
      <c r="A366" s="9" t="n">
        <v>45323</v>
      </c>
      <c r="B366" s="11" t="n">
        <v>31.594</v>
      </c>
      <c r="C366" s="11" t="n">
        <v>20.07</v>
      </c>
      <c r="D366" s="11" t="n">
        <v>17.525</v>
      </c>
      <c r="E366" s="11" t="n">
        <v>4.335</v>
      </c>
      <c r="F366" s="11" t="n">
        <v>26.476</v>
      </c>
    </row>
    <row r="367">
      <c r="A367" s="9" t="n">
        <v>45352</v>
      </c>
      <c r="B367" s="11" t="n">
        <v>23.824</v>
      </c>
      <c r="C367" s="11" t="n">
        <v>28.32</v>
      </c>
      <c r="D367" s="11" t="n">
        <v>17.836</v>
      </c>
      <c r="E367" s="11" t="n">
        <v>1.426</v>
      </c>
      <c r="F367" s="11" t="n">
        <v>28.594</v>
      </c>
    </row>
    <row r="368">
      <c r="A368" s="9" t="n">
        <v>45383</v>
      </c>
      <c r="B368" s="11" t="n">
        <v>22.212</v>
      </c>
      <c r="C368" s="11" t="n">
        <v>18.853</v>
      </c>
      <c r="D368" s="11" t="n">
        <v>26.889</v>
      </c>
      <c r="E368" s="11" t="n">
        <v>5.304</v>
      </c>
      <c r="F368" s="11" t="n">
        <v>26.742</v>
      </c>
    </row>
    <row r="369">
      <c r="A369" s="9" t="n">
        <v>45413</v>
      </c>
      <c r="B369" s="11" t="n">
        <v>24.47</v>
      </c>
      <c r="C369" s="11" t="n">
        <v>16.171</v>
      </c>
      <c r="D369" s="11" t="n">
        <v>24.465</v>
      </c>
      <c r="E369" s="11" t="n">
        <v>6.584</v>
      </c>
      <c r="F369" s="11" t="n">
        <v>28.31</v>
      </c>
    </row>
    <row r="370">
      <c r="A370" s="9" t="n">
        <v>45444</v>
      </c>
      <c r="B370" s="11" t="n">
        <v>26.489</v>
      </c>
      <c r="C370" s="11" t="n">
        <v>14.481</v>
      </c>
      <c r="D370" s="11" t="n">
        <v>16.519</v>
      </c>
      <c r="E370" s="11" t="n">
        <v>8.738</v>
      </c>
      <c r="F370" s="11" t="n">
        <v>33.773</v>
      </c>
    </row>
    <row r="371">
      <c r="A371" s="9" t="n">
        <v>45474</v>
      </c>
      <c r="B371" s="11" t="n">
        <v>21.706</v>
      </c>
      <c r="C371" s="11" t="n">
        <v>20.239</v>
      </c>
      <c r="D371" s="11" t="n">
        <v>15.373</v>
      </c>
      <c r="E371" s="11" t="n">
        <v>3.644</v>
      </c>
      <c r="F371" s="11" t="n">
        <v>39.038</v>
      </c>
    </row>
    <row r="372">
      <c r="A372" s="9" t="n">
        <v>45505</v>
      </c>
      <c r="B372" s="11" t="n">
        <v>23.928</v>
      </c>
      <c r="C372" s="11" t="n">
        <v>16.146</v>
      </c>
      <c r="D372" s="11" t="n">
        <v>16.547</v>
      </c>
      <c r="E372" s="11" t="n">
        <v>1.569</v>
      </c>
      <c r="F372" s="11" t="n">
        <v>41.81</v>
      </c>
    </row>
    <row r="373">
      <c r="A373" s="9" t="n">
        <v>45536</v>
      </c>
      <c r="B373" s="11" t="n">
        <v>23.695</v>
      </c>
      <c r="C373" s="11" t="n">
        <v>15.769</v>
      </c>
      <c r="D373" s="11" t="n">
        <v>12.529</v>
      </c>
      <c r="E373" s="11" t="n">
        <v>10.593</v>
      </c>
      <c r="F373" s="11" t="n">
        <v>37.414</v>
      </c>
    </row>
    <row r="374">
      <c r="A374" s="9" t="n">
        <v>45566</v>
      </c>
      <c r="B374" s="11" t="n">
        <v>24.213</v>
      </c>
      <c r="C374" s="11" t="n">
        <v>18.47</v>
      </c>
      <c r="D374" s="11" t="n">
        <v>17.575</v>
      </c>
      <c r="E374" s="11" t="n">
        <v>1.944</v>
      </c>
      <c r="F374" s="11" t="n">
        <v>37.798</v>
      </c>
    </row>
    <row r="375">
      <c r="A375" s="9" t="n">
        <v>45597</v>
      </c>
      <c r="B375" s="11" t="n">
        <v>19.12</v>
      </c>
      <c r="C375" s="11" t="n">
        <v>21.371</v>
      </c>
      <c r="D375" s="11" t="n">
        <v>16.891</v>
      </c>
      <c r="E375" s="11" t="n">
        <v>7.788</v>
      </c>
      <c r="F375" s="11" t="n">
        <v>34.83</v>
      </c>
    </row>
    <row r="376">
      <c r="A376" s="9" t="n">
        <v>45627</v>
      </c>
      <c r="B376" s="11" t="n">
        <v>22.912</v>
      </c>
      <c r="C376" s="11" t="n">
        <v>16.389</v>
      </c>
      <c r="D376" s="11" t="n">
        <v>20.672</v>
      </c>
      <c r="E376" s="11" t="n">
        <v>9.535</v>
      </c>
      <c r="F376" s="11" t="n">
        <v>30.492</v>
      </c>
    </row>
    <row r="377">
      <c r="A377" s="9" t="n">
        <v>45658</v>
      </c>
      <c r="B377" s="11" t="n">
        <v>17.9528</v>
      </c>
      <c r="C377" s="11" t="n">
        <v>22.2629</v>
      </c>
      <c r="D377" s="11" t="n">
        <v>23.5315</v>
      </c>
      <c r="E377" s="11" t="n">
        <v>3.0415</v>
      </c>
      <c r="F377" s="11" t="n">
        <v>33.2113</v>
      </c>
    </row>
    <row r="378">
      <c r="A378" s="9" t="n">
        <v>45689</v>
      </c>
      <c r="B378" s="11" t="n">
        <v>16.9733</v>
      </c>
      <c r="C378" s="11" t="n">
        <v>25.8357</v>
      </c>
      <c r="D378" s="11" t="n">
        <v>12.343</v>
      </c>
      <c r="E378" s="11" t="n">
        <v>9.2265</v>
      </c>
      <c r="F378" s="11" t="n">
        <v>35.6215</v>
      </c>
    </row>
    <row r="379">
      <c r="A379" s="9" t="n">
        <v>45717</v>
      </c>
      <c r="B379" s="11" t="n">
        <v>15.7937</v>
      </c>
      <c r="C379" s="11" t="n">
        <v>22.8742</v>
      </c>
      <c r="D379" s="11" t="n">
        <v>21.7437</v>
      </c>
      <c r="E379" s="11" t="n">
        <v>3.2016</v>
      </c>
      <c r="F379" s="11" t="n">
        <v>36.3868</v>
      </c>
    </row>
    <row r="380">
      <c r="A380" s="9" t="n">
        <v>45748</v>
      </c>
      <c r="B380" s="11" t="n">
        <v>17.9828</v>
      </c>
      <c r="C380" s="11" t="n">
        <v>24.1258</v>
      </c>
      <c r="D380" s="11" t="n">
        <v>17.2104</v>
      </c>
      <c r="E380" s="11" t="n">
        <v>4.6543</v>
      </c>
      <c r="F380" s="11" t="n">
        <v>36.0267</v>
      </c>
    </row>
    <row r="381">
      <c r="A381" s="9" t="n">
        <v>45778</v>
      </c>
      <c r="B381" s="11" t="n">
        <v>18.457</v>
      </c>
      <c r="C381" s="11" t="n">
        <v>24.2389</v>
      </c>
      <c r="D381" s="11" t="n">
        <v>13.2715</v>
      </c>
      <c r="E381" s="11" t="n">
        <v>7.2746</v>
      </c>
      <c r="F381" s="11" t="n">
        <v>36.758</v>
      </c>
    </row>
    <row r="382">
      <c r="A382" s="9" t="n">
        <v>45809</v>
      </c>
      <c r="B382" s="11" t="n">
        <v>16.7022</v>
      </c>
      <c r="C382" s="11" t="n">
        <v>24.6061</v>
      </c>
      <c r="D382" s="11" t="n">
        <v>16.403</v>
      </c>
      <c r="E382" s="11" t="n">
        <v>3.4917</v>
      </c>
      <c r="F382" s="11" t="n">
        <v>38.797</v>
      </c>
    </row>
    <row r="383">
      <c r="A383" s="9" t="n">
        <v>45839</v>
      </c>
      <c r="B383" s="11" t="n">
        <v>15.4606</v>
      </c>
      <c r="C383" s="11" t="n">
        <v>23.6856</v>
      </c>
      <c r="D383" s="11" t="n">
        <v>16.8653</v>
      </c>
      <c r="E383" s="11" t="n">
        <v>5.6498</v>
      </c>
      <c r="F383" s="11" t="n">
        <v>38.3388</v>
      </c>
    </row>
    <row r="384">
      <c r="A384" s="9" t="n">
        <v>45870</v>
      </c>
      <c r="B384" s="11" t="n">
        <v>16.9833</v>
      </c>
      <c r="C384" s="11" t="n">
        <v>21.9277</v>
      </c>
      <c r="D384" s="11" t="n">
        <v>17.5616</v>
      </c>
      <c r="E384" s="11" t="n">
        <v>4.9854</v>
      </c>
      <c r="F384" s="11" t="n">
        <v>38.5419</v>
      </c>
    </row>
    <row r="385">
      <c r="A385" s="9" t="n">
        <v>45901</v>
      </c>
      <c r="B385" s="11" t="n">
        <v>14.248</v>
      </c>
      <c r="C385" s="11" t="n">
        <v>23.8447</v>
      </c>
      <c r="D385" s="11" t="n">
        <v>22.2249</v>
      </c>
      <c r="E385" s="11" t="n">
        <v>3.3216</v>
      </c>
      <c r="F385" s="11" t="n">
        <v>36.3608</v>
      </c>
    </row>
    <row r="386">
      <c r="A386" s="9" t="n">
        <v>45931</v>
      </c>
      <c r="B386" s="11" t="n">
        <v>14.7562</v>
      </c>
      <c r="C386" s="11" t="n">
        <v>24.7811</v>
      </c>
      <c r="D386" s="11" t="n">
        <v>20.6061</v>
      </c>
      <c r="E386" s="11" t="n">
        <v>3.6258</v>
      </c>
      <c r="F386" s="11" t="n">
        <v>36.2308</v>
      </c>
    </row>
    <row r="387">
      <c r="A387" s="9" t="n">
        <v>45962</v>
      </c>
      <c r="B387" s="11" t="n">
        <v>15.7807</v>
      </c>
      <c r="C387" s="11" t="n">
        <v>27.7996</v>
      </c>
      <c r="D387" s="11" t="n">
        <v>16.415</v>
      </c>
      <c r="E387" s="11" t="n">
        <v>4.7984</v>
      </c>
      <c r="F387" s="11" t="n">
        <v>35.2063</v>
      </c>
    </row>
    <row r="388">
      <c r="A388" s="9" t="n">
        <v>45992</v>
      </c>
      <c r="B388" s="11" t="n">
        <v>11.232</v>
      </c>
      <c r="C388" s="11" t="n">
        <v>30.763</v>
      </c>
      <c r="D388" s="11" t="n">
        <v>13.012</v>
      </c>
      <c r="E388" s="11" t="n">
        <v>4.68</v>
      </c>
      <c r="F388" s="11" t="n">
        <v>40.313</v>
      </c>
    </row>
    <row r="389">
      <c r="A389" s="9" t="n">
        <v>46023</v>
      </c>
      <c r="B389" s="11" t="n">
        <v>14.7588</v>
      </c>
      <c r="C389" s="11" t="n">
        <v>21.774</v>
      </c>
      <c r="D389" s="11" t="n">
        <v>18.4412</v>
      </c>
      <c r="E389" s="11" t="n">
        <v>6.7717</v>
      </c>
      <c r="F389" s="11" t="n">
        <v>38.2543</v>
      </c>
    </row>
    <row r="390">
      <c r="A390" s="9" t="n">
        <v>46054</v>
      </c>
      <c r="B390" s="11" t="n">
        <v>10.0207</v>
      </c>
      <c r="C390" s="11" t="n">
        <v>28.0487</v>
      </c>
      <c r="D390" s="11" t="n">
        <v>15.6761</v>
      </c>
      <c r="E390" s="11" t="n">
        <v>3.449</v>
      </c>
      <c r="F390" s="11" t="n">
        <v>42.8055</v>
      </c>
    </row>
    <row r="391">
      <c r="A391" s="9" t="n">
        <v>46082</v>
      </c>
      <c r="B391" s="11" t="n">
        <v>15.5761</v>
      </c>
      <c r="C391" s="11" t="n">
        <v>26.1242</v>
      </c>
      <c r="D391" s="11" t="n">
        <v>17.5754</v>
      </c>
      <c r="E391" s="11" t="n">
        <v>2.4489</v>
      </c>
      <c r="F391" s="11" t="n">
        <v>38.2755</v>
      </c>
    </row>
    <row r="392">
      <c r="A392" s="9" t="n">
        <v>46113</v>
      </c>
      <c r="B392" s="11" t="n">
        <v>16.553</v>
      </c>
      <c r="C392" s="11" t="n">
        <v>25.5736</v>
      </c>
      <c r="D392" s="11" t="n">
        <v>14.1577</v>
      </c>
      <c r="E392" s="11" t="n">
        <v>8.100199999999999</v>
      </c>
      <c r="F392" s="11" t="n">
        <v>35.6155</v>
      </c>
    </row>
    <row r="393">
      <c r="A393" s="9" t="n">
        <v>46143</v>
      </c>
      <c r="B393" s="11" t="n">
        <v>15.8226</v>
      </c>
      <c r="C393" s="11" t="n">
        <v>17.8542</v>
      </c>
      <c r="D393" s="11" t="n">
        <v>25.3271</v>
      </c>
      <c r="E393" s="11" t="n">
        <v>4.137</v>
      </c>
      <c r="F393" s="11" t="n">
        <v>36.8591</v>
      </c>
    </row>
    <row r="394">
      <c r="A394" s="9" t="n">
        <v>46174</v>
      </c>
      <c r="B394" s="11" t="n">
        <v>13.0464</v>
      </c>
      <c r="C394" s="11" t="n">
        <v>21.8447</v>
      </c>
      <c r="D394" s="11" t="n">
        <v>24.1774</v>
      </c>
      <c r="E394" s="11" t="n">
        <v>6.3979</v>
      </c>
      <c r="F394" s="11" t="n">
        <v>34.5335</v>
      </c>
    </row>
    <row r="395">
      <c r="A395" s="9" t="n">
        <v>46204</v>
      </c>
      <c r="B395" s="11" t="n">
        <v>17.2279</v>
      </c>
      <c r="C395" s="11" t="n">
        <v>15.7135</v>
      </c>
      <c r="D395" s="11" t="n">
        <v>22.4064</v>
      </c>
      <c r="E395" s="11" t="n">
        <v>10.1773</v>
      </c>
      <c r="F395" s="11" t="n">
        <v>34.4749</v>
      </c>
    </row>
    <row r="396">
      <c r="A396" s="9" t="n">
        <v>46235</v>
      </c>
      <c r="B396" s="11" t="n">
        <v>12.908</v>
      </c>
      <c r="C396" s="11" t="n">
        <v>23.9824</v>
      </c>
      <c r="D396" s="11" t="n">
        <v>20</v>
      </c>
      <c r="E396" s="11" t="n">
        <v>4.7613</v>
      </c>
      <c r="F396" s="11" t="n">
        <v>38.3482</v>
      </c>
    </row>
    <row r="397">
      <c r="A397" s="9" t="n">
        <v>46266</v>
      </c>
      <c r="B397" s="11" t="n">
        <v>15.2862</v>
      </c>
      <c r="C397" s="11" t="n">
        <v>20.491</v>
      </c>
      <c r="D397" s="11" t="n">
        <v>19.8879</v>
      </c>
      <c r="E397" s="11" t="n">
        <v>2.761</v>
      </c>
      <c r="F397" s="11" t="n">
        <v>41.574</v>
      </c>
    </row>
    <row r="400">
      <c r="A400" s="13" t="inlineStr">
        <is>
          <t>Francia - 2026-09 - quota % delle voci per fascia, per peso</t>
        </is>
      </c>
    </row>
    <row r="401">
      <c r="A401" s="5" t="inlineStr">
        <is>
          <t>Gruppo</t>
        </is>
      </c>
      <c r="B401" s="5" t="inlineStr">
        <is>
          <t>oltre 5%</t>
        </is>
      </c>
      <c r="C401" s="5" t="inlineStr">
        <is>
          <t>3-5%</t>
        </is>
      </c>
      <c r="D401" s="5" t="inlineStr">
        <is>
          <t>2-3%</t>
        </is>
      </c>
      <c r="E401" s="5" t="inlineStr">
        <is>
          <t>1,5-2%</t>
        </is>
      </c>
      <c r="F401" s="5" t="inlineStr">
        <is>
          <t>sotto 1,5%</t>
        </is>
      </c>
    </row>
    <row r="402">
      <c r="A402" s="3" t="inlineStr">
        <is>
          <t>Totale</t>
        </is>
      </c>
      <c r="B402" s="11" t="n">
        <v>12.8512</v>
      </c>
      <c r="C402" s="11" t="n">
        <v>9.221500000000001</v>
      </c>
      <c r="D402" s="11" t="n">
        <v>18.4146</v>
      </c>
      <c r="E402" s="11" t="n">
        <v>15.4584</v>
      </c>
      <c r="F402" s="11" t="n">
        <v>44.0543</v>
      </c>
    </row>
    <row r="403">
      <c r="A403" s="3" t="inlineStr">
        <is>
          <t>Alimentari</t>
        </is>
      </c>
      <c r="B403" s="11" t="n">
        <v>7.6049</v>
      </c>
      <c r="C403" s="11" t="n">
        <v>15.0522</v>
      </c>
      <c r="D403" s="11" t="n">
        <v>4.2509</v>
      </c>
      <c r="E403" s="11" t="n">
        <v>14.6227</v>
      </c>
      <c r="F403" s="11" t="n">
        <v>58.4692</v>
      </c>
    </row>
    <row r="404">
      <c r="A404" s="3" t="inlineStr">
        <is>
          <t>Beni industriali</t>
        </is>
      </c>
      <c r="B404" s="11" t="n">
        <v>4.8391</v>
      </c>
      <c r="C404" s="11" t="n">
        <v>1.4698</v>
      </c>
      <c r="D404" s="11" t="n">
        <v>0</v>
      </c>
      <c r="E404" s="11" t="n">
        <v>7.2313</v>
      </c>
      <c r="F404" s="11" t="n">
        <v>86.4597</v>
      </c>
    </row>
    <row r="405">
      <c r="A405" s="3" t="inlineStr">
        <is>
          <t>Energia</t>
        </is>
      </c>
      <c r="B405" s="11" t="n">
        <v>66.9997</v>
      </c>
      <c r="C405" s="11" t="n">
        <v>0</v>
      </c>
      <c r="D405" s="11" t="n">
        <v>0</v>
      </c>
      <c r="E405" s="11" t="n">
        <v>0</v>
      </c>
      <c r="F405" s="11" t="n">
        <v>33.0003</v>
      </c>
    </row>
    <row r="406">
      <c r="A406" s="3" t="inlineStr">
        <is>
          <t>Servizi</t>
        </is>
      </c>
      <c r="B406" s="11" t="n">
        <v>8.8819</v>
      </c>
      <c r="C406" s="11" t="n">
        <v>12.5185</v>
      </c>
      <c r="D406" s="11" t="n">
        <v>36.3579</v>
      </c>
      <c r="E406" s="11" t="n">
        <v>22.6961</v>
      </c>
      <c r="F406" s="11" t="n">
        <v>19.5456</v>
      </c>
    </row>
    <row r="409">
      <c r="A409" s="13" t="inlineStr">
        <is>
          <t>Francia - 2026-09 - quota % delle voci per fascia, per numero di voci</t>
        </is>
      </c>
    </row>
    <row r="410">
      <c r="A410" s="5" t="inlineStr">
        <is>
          <t>Gruppo</t>
        </is>
      </c>
      <c r="B410" s="5" t="inlineStr">
        <is>
          <t>oltre 5%</t>
        </is>
      </c>
      <c r="C410" s="5" t="inlineStr">
        <is>
          <t>3-5%</t>
        </is>
      </c>
      <c r="D410" s="5" t="inlineStr">
        <is>
          <t>2-3%</t>
        </is>
      </c>
      <c r="E410" s="5" t="inlineStr">
        <is>
          <t>1,5-2%</t>
        </is>
      </c>
      <c r="F410" s="5" t="inlineStr">
        <is>
          <t>sotto 1,5%</t>
        </is>
      </c>
    </row>
    <row r="411">
      <c r="A411" s="3" t="inlineStr">
        <is>
          <t>Totale</t>
        </is>
      </c>
      <c r="B411" s="11" t="n">
        <v>13.4921</v>
      </c>
      <c r="C411" s="11" t="n">
        <v>11.9048</v>
      </c>
      <c r="D411" s="11" t="n">
        <v>14.2857</v>
      </c>
      <c r="E411" s="11" t="n">
        <v>7.1429</v>
      </c>
      <c r="F411" s="11" t="n">
        <v>53.1746</v>
      </c>
    </row>
    <row r="412">
      <c r="A412" s="3" t="inlineStr">
        <is>
          <t>Alimentari</t>
        </is>
      </c>
      <c r="B412" s="11" t="n">
        <v>5.2632</v>
      </c>
      <c r="C412" s="11" t="n">
        <v>10.5263</v>
      </c>
      <c r="D412" s="11" t="n">
        <v>10.5263</v>
      </c>
      <c r="E412" s="11" t="n">
        <v>5.2632</v>
      </c>
      <c r="F412" s="11" t="n">
        <v>68.4211</v>
      </c>
    </row>
    <row r="413">
      <c r="A413" s="3" t="inlineStr">
        <is>
          <t>Beni industriali</t>
        </is>
      </c>
      <c r="B413" s="11" t="n">
        <v>7.1429</v>
      </c>
      <c r="C413" s="11" t="n">
        <v>2.381</v>
      </c>
      <c r="D413" s="11" t="n">
        <v>0</v>
      </c>
      <c r="E413" s="11" t="n">
        <v>4.7619</v>
      </c>
      <c r="F413" s="11" t="n">
        <v>85.71429999999999</v>
      </c>
    </row>
    <row r="414">
      <c r="A414" s="3" t="inlineStr">
        <is>
          <t>Energia</t>
        </is>
      </c>
      <c r="B414" s="11" t="n">
        <v>83.33329999999999</v>
      </c>
      <c r="C414" s="11" t="n">
        <v>0</v>
      </c>
      <c r="D414" s="11" t="n">
        <v>0</v>
      </c>
      <c r="E414" s="11" t="n">
        <v>0</v>
      </c>
      <c r="F414" s="11" t="n">
        <v>16.6667</v>
      </c>
    </row>
    <row r="415">
      <c r="A415" s="3" t="inlineStr">
        <is>
          <t>Servizi</t>
        </is>
      </c>
      <c r="B415" s="11" t="n">
        <v>13.5593</v>
      </c>
      <c r="C415" s="11" t="n">
        <v>20.339</v>
      </c>
      <c r="D415" s="11" t="n">
        <v>27.1186</v>
      </c>
      <c r="E415" s="11" t="n">
        <v>10.1695</v>
      </c>
      <c r="F415" s="11" t="n">
        <v>28.8136</v>
      </c>
    </row>
    <row r="418">
      <c r="A418" s="13" t="inlineStr">
        <is>
          <t>Francia - per divisione ECOICOP, quota % per peso</t>
        </is>
      </c>
    </row>
    <row r="419">
      <c r="A419" s="5" t="inlineStr">
        <is>
          <t>Divisione</t>
        </is>
      </c>
      <c r="B419" s="5" t="inlineStr">
        <is>
          <t>oltre 5%</t>
        </is>
      </c>
      <c r="C419" s="5" t="inlineStr">
        <is>
          <t>3-5%</t>
        </is>
      </c>
      <c r="D419" s="5" t="inlineStr">
        <is>
          <t>2-3%</t>
        </is>
      </c>
      <c r="E419" s="5" t="inlineStr">
        <is>
          <t>1,5-2%</t>
        </is>
      </c>
      <c r="F419" s="5" t="inlineStr">
        <is>
          <t>sotto 1,5%</t>
        </is>
      </c>
    </row>
    <row r="420">
      <c r="A420" s="3" t="inlineStr">
        <is>
          <t>Abbigliamento e calzature</t>
        </is>
      </c>
      <c r="B420" s="11" t="n">
        <v>0</v>
      </c>
      <c r="C420" s="11" t="n">
        <v>0</v>
      </c>
      <c r="D420" s="11" t="n">
        <v>1.7817</v>
      </c>
      <c r="E420" s="11" t="n">
        <v>0</v>
      </c>
      <c r="F420" s="11" t="n">
        <v>98.2183</v>
      </c>
    </row>
    <row r="421">
      <c r="A421" s="3" t="inlineStr">
        <is>
          <t>Abitazione e utenze</t>
        </is>
      </c>
      <c r="B421" s="11" t="n">
        <v>14.6594</v>
      </c>
      <c r="C421" s="11" t="n">
        <v>3.4201</v>
      </c>
      <c r="D421" s="11" t="n">
        <v>17.561</v>
      </c>
      <c r="E421" s="11" t="n">
        <v>43.5705</v>
      </c>
      <c r="F421" s="11" t="n">
        <v>20.7889</v>
      </c>
    </row>
    <row r="422">
      <c r="A422" s="3" t="inlineStr">
        <is>
          <t>Alcolici e tabacchi</t>
        </is>
      </c>
      <c r="B422" s="11" t="n">
        <v>0</v>
      </c>
      <c r="C422" s="11" t="n">
        <v>53.3238</v>
      </c>
      <c r="D422" s="11" t="n">
        <v>0</v>
      </c>
      <c r="E422" s="11" t="n">
        <v>0</v>
      </c>
      <c r="F422" s="11" t="n">
        <v>46.6762</v>
      </c>
    </row>
    <row r="423">
      <c r="A423" s="3" t="inlineStr">
        <is>
          <t>Alimentari e bevande analcoliche</t>
        </is>
      </c>
      <c r="B423" s="11" t="n">
        <v>9.3855</v>
      </c>
      <c r="C423" s="11" t="n">
        <v>6.0915</v>
      </c>
      <c r="D423" s="11" t="n">
        <v>5.2462</v>
      </c>
      <c r="E423" s="11" t="n">
        <v>18.0464</v>
      </c>
      <c r="F423" s="11" t="n">
        <v>61.2304</v>
      </c>
    </row>
    <row r="424">
      <c r="A424" s="3" t="inlineStr">
        <is>
          <t>Assicurazioni e servizi finanziari</t>
        </is>
      </c>
      <c r="B424" s="11" t="n">
        <v>20.9934</v>
      </c>
      <c r="C424" s="11" t="n">
        <v>30.2249</v>
      </c>
      <c r="D424" s="11" t="n">
        <v>33.1068</v>
      </c>
      <c r="E424" s="11" t="n">
        <v>0</v>
      </c>
      <c r="F424" s="11" t="n">
        <v>15.6748</v>
      </c>
    </row>
    <row r="425">
      <c r="A425" s="3" t="inlineStr">
        <is>
          <t>Cura della persona e altri</t>
        </is>
      </c>
      <c r="B425" s="11" t="n">
        <v>10.4545</v>
      </c>
      <c r="C425" s="11" t="n">
        <v>0</v>
      </c>
      <c r="D425" s="11" t="n">
        <v>40.7754</v>
      </c>
      <c r="E425" s="11" t="n">
        <v>0</v>
      </c>
      <c r="F425" s="11" t="n">
        <v>48.7701</v>
      </c>
    </row>
    <row r="426">
      <c r="A426" s="3" t="inlineStr">
        <is>
          <t>Informazione e comunicazione</t>
        </is>
      </c>
      <c r="B426" s="11" t="n">
        <v>18.2773</v>
      </c>
      <c r="C426" s="11" t="n">
        <v>22.8824</v>
      </c>
      <c r="D426" s="11" t="n">
        <v>0</v>
      </c>
      <c r="E426" s="11" t="n">
        <v>0</v>
      </c>
      <c r="F426" s="11" t="n">
        <v>58.8404</v>
      </c>
    </row>
    <row r="427">
      <c r="A427" s="3" t="inlineStr">
        <is>
          <t>Istruzione</t>
        </is>
      </c>
      <c r="B427" s="11" t="n">
        <v>0</v>
      </c>
      <c r="C427" s="11" t="n">
        <v>8.388500000000001</v>
      </c>
      <c r="D427" s="11" t="n">
        <v>53.532</v>
      </c>
      <c r="E427" s="11" t="n">
        <v>38.0795</v>
      </c>
      <c r="F427" s="11" t="n">
        <v>0</v>
      </c>
    </row>
    <row r="428">
      <c r="A428" s="3" t="inlineStr">
        <is>
          <t>Mobili e articoli per la casa</t>
        </is>
      </c>
      <c r="B428" s="11" t="n">
        <v>0</v>
      </c>
      <c r="C428" s="11" t="n">
        <v>9.294600000000001</v>
      </c>
      <c r="D428" s="11" t="n">
        <v>3.2165</v>
      </c>
      <c r="E428" s="11" t="n">
        <v>28.9485</v>
      </c>
      <c r="F428" s="11" t="n">
        <v>58.5404</v>
      </c>
    </row>
    <row r="429">
      <c r="A429" s="3" t="inlineStr">
        <is>
          <t>Ricreazione, sport e cultura</t>
        </is>
      </c>
      <c r="B429" s="11" t="n">
        <v>12.7298</v>
      </c>
      <c r="C429" s="11" t="n">
        <v>0.9813</v>
      </c>
      <c r="D429" s="11" t="n">
        <v>7.5052</v>
      </c>
      <c r="E429" s="11" t="n">
        <v>22.1977</v>
      </c>
      <c r="F429" s="11" t="n">
        <v>56.586</v>
      </c>
    </row>
    <row r="430">
      <c r="A430" s="3" t="inlineStr">
        <is>
          <t>Ristorazione e alloggio</t>
        </is>
      </c>
      <c r="B430" s="11" t="n">
        <v>0</v>
      </c>
      <c r="C430" s="11" t="n">
        <v>20.5533</v>
      </c>
      <c r="D430" s="11" t="n">
        <v>69.9598</v>
      </c>
      <c r="E430" s="11" t="n">
        <v>0</v>
      </c>
      <c r="F430" s="11" t="n">
        <v>9.4869</v>
      </c>
    </row>
    <row r="431">
      <c r="A431" s="3" t="inlineStr">
        <is>
          <t>Salute</t>
        </is>
      </c>
      <c r="B431" s="11" t="n">
        <v>0</v>
      </c>
      <c r="C431" s="11" t="n">
        <v>0</v>
      </c>
      <c r="D431" s="11" t="n">
        <v>17.105</v>
      </c>
      <c r="E431" s="11" t="n">
        <v>27.397</v>
      </c>
      <c r="F431" s="11" t="n">
        <v>55.498</v>
      </c>
    </row>
    <row r="432">
      <c r="A432" s="3" t="inlineStr">
        <is>
          <t>Trasporti</t>
        </is>
      </c>
      <c r="B432" s="11" t="n">
        <v>35.3366</v>
      </c>
      <c r="C432" s="11" t="n">
        <v>4.5318</v>
      </c>
      <c r="D432" s="11" t="n">
        <v>1.4585</v>
      </c>
      <c r="E432" s="11" t="n">
        <v>3.5031</v>
      </c>
      <c r="F432" s="11" t="n">
        <v>55.1699</v>
      </c>
    </row>
    <row r="435">
      <c r="A435" s="13" t="inlineStr">
        <is>
          <t>Francia - storico quota % del paniere per fascia (per peso)</t>
        </is>
      </c>
    </row>
    <row r="436">
      <c r="A436" s="5" t="inlineStr">
        <is>
          <t>Mese</t>
        </is>
      </c>
      <c r="B436" s="5" t="inlineStr">
        <is>
          <t>oltre 5%</t>
        </is>
      </c>
      <c r="C436" s="5" t="inlineStr">
        <is>
          <t>3-5%</t>
        </is>
      </c>
      <c r="D436" s="5" t="inlineStr">
        <is>
          <t>2-3%</t>
        </is>
      </c>
      <c r="E436" s="5" t="inlineStr">
        <is>
          <t>1,5-2%</t>
        </is>
      </c>
      <c r="F436" s="5" t="inlineStr">
        <is>
          <t>sotto 1,5%</t>
        </is>
      </c>
    </row>
    <row r="437">
      <c r="A437" s="9" t="n">
        <v>43466</v>
      </c>
      <c r="B437" s="11" t="n">
        <v>6.5595</v>
      </c>
      <c r="C437" s="11" t="n">
        <v>4.7874</v>
      </c>
      <c r="D437" s="11" t="n">
        <v>12.895</v>
      </c>
      <c r="E437" s="11" t="n">
        <v>18.8095</v>
      </c>
      <c r="F437" s="11" t="n">
        <v>56.9486</v>
      </c>
    </row>
    <row r="438">
      <c r="A438" s="9" t="n">
        <v>43497</v>
      </c>
      <c r="B438" s="11" t="n">
        <v>7.0136</v>
      </c>
      <c r="C438" s="11" t="n">
        <v>3.5553</v>
      </c>
      <c r="D438" s="11" t="n">
        <v>19.7666</v>
      </c>
      <c r="E438" s="11" t="n">
        <v>17.1964</v>
      </c>
      <c r="F438" s="11" t="n">
        <v>52.4682</v>
      </c>
    </row>
    <row r="439">
      <c r="A439" s="9" t="n">
        <v>43525</v>
      </c>
      <c r="B439" s="11" t="n">
        <v>6.8215</v>
      </c>
      <c r="C439" s="11" t="n">
        <v>6.7885</v>
      </c>
      <c r="D439" s="11" t="n">
        <v>16.9304</v>
      </c>
      <c r="E439" s="11" t="n">
        <v>12.421</v>
      </c>
      <c r="F439" s="11" t="n">
        <v>57.0386</v>
      </c>
    </row>
    <row r="440">
      <c r="A440" s="9" t="n">
        <v>43556</v>
      </c>
      <c r="B440" s="11" t="n">
        <v>6.8625</v>
      </c>
      <c r="C440" s="11" t="n">
        <v>11.4869</v>
      </c>
      <c r="D440" s="11" t="n">
        <v>16.6473</v>
      </c>
      <c r="E440" s="11" t="n">
        <v>12.432</v>
      </c>
      <c r="F440" s="11" t="n">
        <v>52.5712</v>
      </c>
    </row>
    <row r="441">
      <c r="A441" s="9" t="n">
        <v>43586</v>
      </c>
      <c r="B441" s="11" t="n">
        <v>7.4256</v>
      </c>
      <c r="C441" s="11" t="n">
        <v>3.0662</v>
      </c>
      <c r="D441" s="11" t="n">
        <v>19.6276</v>
      </c>
      <c r="E441" s="11" t="n">
        <v>9.3858</v>
      </c>
      <c r="F441" s="11" t="n">
        <v>60.4948</v>
      </c>
    </row>
    <row r="442">
      <c r="A442" s="9" t="n">
        <v>43617</v>
      </c>
      <c r="B442" s="11" t="n">
        <v>9.1577</v>
      </c>
      <c r="C442" s="11" t="n">
        <v>2.5542</v>
      </c>
      <c r="D442" s="11" t="n">
        <v>18.9865</v>
      </c>
      <c r="E442" s="11" t="n">
        <v>10.6909</v>
      </c>
      <c r="F442" s="11" t="n">
        <v>58.6107</v>
      </c>
    </row>
    <row r="443">
      <c r="A443" s="9" t="n">
        <v>43647</v>
      </c>
      <c r="B443" s="11" t="n">
        <v>6.9656</v>
      </c>
      <c r="C443" s="11" t="n">
        <v>3.0872</v>
      </c>
      <c r="D443" s="11" t="n">
        <v>19.5296</v>
      </c>
      <c r="E443" s="11" t="n">
        <v>6.8545</v>
      </c>
      <c r="F443" s="11" t="n">
        <v>63.5631</v>
      </c>
    </row>
    <row r="444">
      <c r="A444" s="9" t="n">
        <v>43678</v>
      </c>
      <c r="B444" s="11" t="n">
        <v>8.0266</v>
      </c>
      <c r="C444" s="11" t="n">
        <v>5.4684</v>
      </c>
      <c r="D444" s="11" t="n">
        <v>13.9871</v>
      </c>
      <c r="E444" s="11" t="n">
        <v>9.7118</v>
      </c>
      <c r="F444" s="11" t="n">
        <v>62.806</v>
      </c>
    </row>
    <row r="445">
      <c r="A445" s="9" t="n">
        <v>43709</v>
      </c>
      <c r="B445" s="11" t="n">
        <v>5.6905</v>
      </c>
      <c r="C445" s="11" t="n">
        <v>14.0211</v>
      </c>
      <c r="D445" s="11" t="n">
        <v>7.5736</v>
      </c>
      <c r="E445" s="11" t="n">
        <v>4.4064</v>
      </c>
      <c r="F445" s="11" t="n">
        <v>68.3085</v>
      </c>
    </row>
    <row r="446">
      <c r="A446" s="9" t="n">
        <v>43739</v>
      </c>
      <c r="B446" s="11" t="n">
        <v>5.0404</v>
      </c>
      <c r="C446" s="11" t="n">
        <v>10.0838</v>
      </c>
      <c r="D446" s="11" t="n">
        <v>11.926</v>
      </c>
      <c r="E446" s="11" t="n">
        <v>6.0535</v>
      </c>
      <c r="F446" s="11" t="n">
        <v>66.8964</v>
      </c>
    </row>
    <row r="447">
      <c r="A447" s="9" t="n">
        <v>43770</v>
      </c>
      <c r="B447" s="11" t="n">
        <v>5.7735</v>
      </c>
      <c r="C447" s="11" t="n">
        <v>10.5088</v>
      </c>
      <c r="D447" s="11" t="n">
        <v>11.5129</v>
      </c>
      <c r="E447" s="11" t="n">
        <v>2.6022</v>
      </c>
      <c r="F447" s="11" t="n">
        <v>69.6026</v>
      </c>
    </row>
    <row r="448">
      <c r="A448" s="9" t="n">
        <v>43800</v>
      </c>
      <c r="B448" s="11" t="n">
        <v>6.0085</v>
      </c>
      <c r="C448" s="11" t="n">
        <v>13.9501</v>
      </c>
      <c r="D448" s="11" t="n">
        <v>10.2198</v>
      </c>
      <c r="E448" s="11" t="n">
        <v>9.197699999999999</v>
      </c>
      <c r="F448" s="11" t="n">
        <v>60.6238</v>
      </c>
    </row>
    <row r="449">
      <c r="A449" s="9" t="n">
        <v>43831</v>
      </c>
      <c r="B449" s="11" t="n">
        <v>10.37</v>
      </c>
      <c r="C449" s="11" t="n">
        <v>14.154</v>
      </c>
      <c r="D449" s="11" t="n">
        <v>4.076</v>
      </c>
      <c r="E449" s="11" t="n">
        <v>12.864</v>
      </c>
      <c r="F449" s="11" t="n">
        <v>58.536</v>
      </c>
    </row>
    <row r="450">
      <c r="A450" s="9" t="n">
        <v>43862</v>
      </c>
      <c r="B450" s="11" t="n">
        <v>6.926</v>
      </c>
      <c r="C450" s="11" t="n">
        <v>11.545</v>
      </c>
      <c r="D450" s="11" t="n">
        <v>12.435</v>
      </c>
      <c r="E450" s="11" t="n">
        <v>12.764</v>
      </c>
      <c r="F450" s="11" t="n">
        <v>56.33</v>
      </c>
    </row>
    <row r="451">
      <c r="A451" s="9" t="n">
        <v>43891</v>
      </c>
      <c r="B451" s="11" t="n">
        <v>5.5</v>
      </c>
      <c r="C451" s="11" t="n">
        <v>8.667</v>
      </c>
      <c r="D451" s="11" t="n">
        <v>5.332</v>
      </c>
      <c r="E451" s="11" t="n">
        <v>16.575</v>
      </c>
      <c r="F451" s="11" t="n">
        <v>63.926</v>
      </c>
    </row>
    <row r="452">
      <c r="A452" s="9" t="n">
        <v>43922</v>
      </c>
      <c r="B452" s="11" t="n">
        <v>9.669</v>
      </c>
      <c r="C452" s="11" t="n">
        <v>4.211</v>
      </c>
      <c r="D452" s="11" t="n">
        <v>7.408</v>
      </c>
      <c r="E452" s="11" t="n">
        <v>5.035</v>
      </c>
      <c r="F452" s="11" t="n">
        <v>73.67700000000001</v>
      </c>
    </row>
    <row r="453">
      <c r="A453" s="9" t="n">
        <v>43952</v>
      </c>
      <c r="B453" s="11" t="n">
        <v>9.98</v>
      </c>
      <c r="C453" s="11" t="n">
        <v>10.903</v>
      </c>
      <c r="D453" s="11" t="n">
        <v>12.321</v>
      </c>
      <c r="E453" s="11" t="n">
        <v>2.079</v>
      </c>
      <c r="F453" s="11" t="n">
        <v>64.717</v>
      </c>
    </row>
    <row r="454">
      <c r="A454" s="9" t="n">
        <v>43983</v>
      </c>
      <c r="B454" s="11" t="n">
        <v>6.386</v>
      </c>
      <c r="C454" s="11" t="n">
        <v>12.735</v>
      </c>
      <c r="D454" s="11" t="n">
        <v>3.367</v>
      </c>
      <c r="E454" s="11" t="n">
        <v>8.303000000000001</v>
      </c>
      <c r="F454" s="11" t="n">
        <v>69.209</v>
      </c>
    </row>
    <row r="455">
      <c r="A455" s="9" t="n">
        <v>44013</v>
      </c>
      <c r="B455" s="11" t="n">
        <v>8.246</v>
      </c>
      <c r="C455" s="11" t="n">
        <v>10.824</v>
      </c>
      <c r="D455" s="11" t="n">
        <v>7.832</v>
      </c>
      <c r="E455" s="11" t="n">
        <v>14.422</v>
      </c>
      <c r="F455" s="11" t="n">
        <v>58.676</v>
      </c>
    </row>
    <row r="456">
      <c r="A456" s="9" t="n">
        <v>44044</v>
      </c>
      <c r="B456" s="11" t="n">
        <v>3.694</v>
      </c>
      <c r="C456" s="11" t="n">
        <v>11.013</v>
      </c>
      <c r="D456" s="11" t="n">
        <v>7.306</v>
      </c>
      <c r="E456" s="11" t="n">
        <v>11.529</v>
      </c>
      <c r="F456" s="11" t="n">
        <v>66.458</v>
      </c>
    </row>
    <row r="457">
      <c r="A457" s="9" t="n">
        <v>44075</v>
      </c>
      <c r="B457" s="11" t="n">
        <v>3.694</v>
      </c>
      <c r="C457" s="11" t="n">
        <v>9.879</v>
      </c>
      <c r="D457" s="11" t="n">
        <v>6.176</v>
      </c>
      <c r="E457" s="11" t="n">
        <v>12.245</v>
      </c>
      <c r="F457" s="11" t="n">
        <v>68.006</v>
      </c>
    </row>
    <row r="458">
      <c r="A458" s="9" t="n">
        <v>44105</v>
      </c>
      <c r="B458" s="11" t="n">
        <v>5.209</v>
      </c>
      <c r="C458" s="11" t="n">
        <v>11.657</v>
      </c>
      <c r="D458" s="11" t="n">
        <v>2.624</v>
      </c>
      <c r="E458" s="11" t="n">
        <v>14.001</v>
      </c>
      <c r="F458" s="11" t="n">
        <v>66.509</v>
      </c>
    </row>
    <row r="459">
      <c r="A459" s="9" t="n">
        <v>44136</v>
      </c>
      <c r="B459" s="11" t="n">
        <v>5.226</v>
      </c>
      <c r="C459" s="11" t="n">
        <v>10.574</v>
      </c>
      <c r="D459" s="11" t="n">
        <v>4.729</v>
      </c>
      <c r="E459" s="11" t="n">
        <v>3.231</v>
      </c>
      <c r="F459" s="11" t="n">
        <v>76.23999999999999</v>
      </c>
    </row>
    <row r="460">
      <c r="A460" s="9" t="n">
        <v>44166</v>
      </c>
      <c r="B460" s="11" t="n">
        <v>3.694</v>
      </c>
      <c r="C460" s="11" t="n">
        <v>9.977</v>
      </c>
      <c r="D460" s="11" t="n">
        <v>3.241</v>
      </c>
      <c r="E460" s="11" t="n">
        <v>7.773</v>
      </c>
      <c r="F460" s="11" t="n">
        <v>75.315</v>
      </c>
    </row>
    <row r="461">
      <c r="A461" s="9" t="n">
        <v>44197</v>
      </c>
      <c r="B461" s="11" t="n">
        <v>5.8371</v>
      </c>
      <c r="C461" s="11" t="n">
        <v>17.5062</v>
      </c>
      <c r="D461" s="11" t="n">
        <v>4.44</v>
      </c>
      <c r="E461" s="11" t="n">
        <v>2.714</v>
      </c>
      <c r="F461" s="11" t="n">
        <v>69.5027</v>
      </c>
    </row>
    <row r="462">
      <c r="A462" s="9" t="n">
        <v>44228</v>
      </c>
      <c r="B462" s="11" t="n">
        <v>5.4581</v>
      </c>
      <c r="C462" s="11" t="n">
        <v>11.5111</v>
      </c>
      <c r="D462" s="11" t="n">
        <v>4.056</v>
      </c>
      <c r="E462" s="11" t="n">
        <v>4.394</v>
      </c>
      <c r="F462" s="11" t="n">
        <v>74.58069999999999</v>
      </c>
    </row>
    <row r="463">
      <c r="A463" s="9" t="n">
        <v>44256</v>
      </c>
      <c r="B463" s="11" t="n">
        <v>9.5311</v>
      </c>
      <c r="C463" s="11" t="n">
        <v>16.4872</v>
      </c>
      <c r="D463" s="11" t="n">
        <v>4.829</v>
      </c>
      <c r="E463" s="11" t="n">
        <v>6.8451</v>
      </c>
      <c r="F463" s="11" t="n">
        <v>62.3076</v>
      </c>
    </row>
    <row r="464">
      <c r="A464" s="9" t="n">
        <v>44287</v>
      </c>
      <c r="B464" s="11" t="n">
        <v>11.8281</v>
      </c>
      <c r="C464" s="11" t="n">
        <v>14.0791</v>
      </c>
      <c r="D464" s="11" t="n">
        <v>10.3891</v>
      </c>
      <c r="E464" s="11" t="n">
        <v>3.033</v>
      </c>
      <c r="F464" s="11" t="n">
        <v>60.6706</v>
      </c>
    </row>
    <row r="465">
      <c r="A465" s="9" t="n">
        <v>44317</v>
      </c>
      <c r="B465" s="11" t="n">
        <v>12.2531</v>
      </c>
      <c r="C465" s="11" t="n">
        <v>7.5961</v>
      </c>
      <c r="D465" s="11" t="n">
        <v>7.7891</v>
      </c>
      <c r="E465" s="11" t="n">
        <v>5.1471</v>
      </c>
      <c r="F465" s="11" t="n">
        <v>67.21469999999999</v>
      </c>
    </row>
    <row r="466">
      <c r="A466" s="9" t="n">
        <v>44348</v>
      </c>
      <c r="B466" s="11" t="n">
        <v>11.9871</v>
      </c>
      <c r="C466" s="11" t="n">
        <v>8.8131</v>
      </c>
      <c r="D466" s="11" t="n">
        <v>18.4252</v>
      </c>
      <c r="E466" s="11" t="n">
        <v>1.524</v>
      </c>
      <c r="F466" s="11" t="n">
        <v>59.2506</v>
      </c>
    </row>
    <row r="467">
      <c r="A467" s="9" t="n">
        <v>44378</v>
      </c>
      <c r="B467" s="11" t="n">
        <v>10.3031</v>
      </c>
      <c r="C467" s="11" t="n">
        <v>10.2361</v>
      </c>
      <c r="D467" s="11" t="n">
        <v>11.1091</v>
      </c>
      <c r="E467" s="11" t="n">
        <v>8.7681</v>
      </c>
      <c r="F467" s="11" t="n">
        <v>59.5836</v>
      </c>
    </row>
    <row r="468">
      <c r="A468" s="9" t="n">
        <v>44409</v>
      </c>
      <c r="B468" s="11" t="n">
        <v>15.2282</v>
      </c>
      <c r="C468" s="11" t="n">
        <v>12.0741</v>
      </c>
      <c r="D468" s="11" t="n">
        <v>12.1771</v>
      </c>
      <c r="E468" s="11" t="n">
        <v>4.35</v>
      </c>
      <c r="F468" s="11" t="n">
        <v>56.1706</v>
      </c>
    </row>
    <row r="469">
      <c r="A469" s="9" t="n">
        <v>44440</v>
      </c>
      <c r="B469" s="11" t="n">
        <v>7.5761</v>
      </c>
      <c r="C469" s="11" t="n">
        <v>15.7432</v>
      </c>
      <c r="D469" s="11" t="n">
        <v>16.6742</v>
      </c>
      <c r="E469" s="11" t="n">
        <v>4.125</v>
      </c>
      <c r="F469" s="11" t="n">
        <v>55.8816</v>
      </c>
    </row>
    <row r="470">
      <c r="A470" s="9" t="n">
        <v>44470</v>
      </c>
      <c r="B470" s="11" t="n">
        <v>7.6491</v>
      </c>
      <c r="C470" s="11" t="n">
        <v>14.3531</v>
      </c>
      <c r="D470" s="11" t="n">
        <v>15.4572</v>
      </c>
      <c r="E470" s="11" t="n">
        <v>10.4881</v>
      </c>
      <c r="F470" s="11" t="n">
        <v>52.0525</v>
      </c>
    </row>
    <row r="471">
      <c r="A471" s="9" t="n">
        <v>44501</v>
      </c>
      <c r="B471" s="11" t="n">
        <v>8.3231</v>
      </c>
      <c r="C471" s="11" t="n">
        <v>15.2082</v>
      </c>
      <c r="D471" s="11" t="n">
        <v>12.2731</v>
      </c>
      <c r="E471" s="11" t="n">
        <v>7.3211</v>
      </c>
      <c r="F471" s="11" t="n">
        <v>56.8746</v>
      </c>
    </row>
    <row r="472">
      <c r="A472" s="9" t="n">
        <v>44531</v>
      </c>
      <c r="B472" s="11" t="n">
        <v>7.6541</v>
      </c>
      <c r="C472" s="11" t="n">
        <v>19.0062</v>
      </c>
      <c r="D472" s="11" t="n">
        <v>16.7902</v>
      </c>
      <c r="E472" s="11" t="n">
        <v>19.3942</v>
      </c>
      <c r="F472" s="11" t="n">
        <v>37.1554</v>
      </c>
    </row>
    <row r="473">
      <c r="A473" s="9" t="n">
        <v>44562</v>
      </c>
      <c r="B473" s="11" t="n">
        <v>11.9839</v>
      </c>
      <c r="C473" s="11" t="n">
        <v>16.9148</v>
      </c>
      <c r="D473" s="11" t="n">
        <v>13.0619</v>
      </c>
      <c r="E473" s="11" t="n">
        <v>15.5368</v>
      </c>
      <c r="F473" s="11" t="n">
        <v>42.5026</v>
      </c>
    </row>
    <row r="474">
      <c r="A474" s="9" t="n">
        <v>44593</v>
      </c>
      <c r="B474" s="11" t="n">
        <v>19.4808</v>
      </c>
      <c r="C474" s="11" t="n">
        <v>19.8128</v>
      </c>
      <c r="D474" s="11" t="n">
        <v>23.2708</v>
      </c>
      <c r="E474" s="11" t="n">
        <v>4.084</v>
      </c>
      <c r="F474" s="11" t="n">
        <v>33.3517</v>
      </c>
    </row>
    <row r="475">
      <c r="A475" s="9" t="n">
        <v>44621</v>
      </c>
      <c r="B475" s="11" t="n">
        <v>25.1917</v>
      </c>
      <c r="C475" s="11" t="n">
        <v>21.8438</v>
      </c>
      <c r="D475" s="11" t="n">
        <v>12.3129</v>
      </c>
      <c r="E475" s="11" t="n">
        <v>16.2248</v>
      </c>
      <c r="F475" s="11" t="n">
        <v>24.4268</v>
      </c>
    </row>
    <row r="476">
      <c r="A476" s="9" t="n">
        <v>44652</v>
      </c>
      <c r="B476" s="11" t="n">
        <v>25.7897</v>
      </c>
      <c r="C476" s="11" t="n">
        <v>30.8637</v>
      </c>
      <c r="D476" s="11" t="n">
        <v>20.3078</v>
      </c>
      <c r="E476" s="11" t="n">
        <v>2.419</v>
      </c>
      <c r="F476" s="11" t="n">
        <v>20.6198</v>
      </c>
    </row>
    <row r="477">
      <c r="A477" s="9" t="n">
        <v>44682</v>
      </c>
      <c r="B477" s="11" t="n">
        <v>34.4337</v>
      </c>
      <c r="C477" s="11" t="n">
        <v>30.4327</v>
      </c>
      <c r="D477" s="11" t="n">
        <v>10.4719</v>
      </c>
      <c r="E477" s="11" t="n">
        <v>2.584</v>
      </c>
      <c r="F477" s="11" t="n">
        <v>22.0778</v>
      </c>
    </row>
    <row r="478">
      <c r="A478" s="9" t="n">
        <v>44713</v>
      </c>
      <c r="B478" s="11" t="n">
        <v>40.4646</v>
      </c>
      <c r="C478" s="11" t="n">
        <v>22.5058</v>
      </c>
      <c r="D478" s="11" t="n">
        <v>10.5389</v>
      </c>
      <c r="E478" s="11" t="n">
        <v>1.252</v>
      </c>
      <c r="F478" s="11" t="n">
        <v>25.2387</v>
      </c>
    </row>
    <row r="479">
      <c r="A479" s="9" t="n">
        <v>44743</v>
      </c>
      <c r="B479" s="11" t="n">
        <v>46.0445</v>
      </c>
      <c r="C479" s="11" t="n">
        <v>19.3168</v>
      </c>
      <c r="D479" s="11" t="n">
        <v>7.4229</v>
      </c>
      <c r="E479" s="11" t="n">
        <v>3.741</v>
      </c>
      <c r="F479" s="11" t="n">
        <v>23.4748</v>
      </c>
    </row>
    <row r="480">
      <c r="A480" s="9" t="n">
        <v>44774</v>
      </c>
      <c r="B480" s="11" t="n">
        <v>48.0865</v>
      </c>
      <c r="C480" s="11" t="n">
        <v>15.8298</v>
      </c>
      <c r="D480" s="11" t="n">
        <v>10.9569</v>
      </c>
      <c r="E480" s="11" t="n">
        <v>4.151</v>
      </c>
      <c r="F480" s="11" t="n">
        <v>20.9758</v>
      </c>
    </row>
    <row r="481">
      <c r="A481" s="9" t="n">
        <v>44805</v>
      </c>
      <c r="B481" s="11" t="n">
        <v>49.7505</v>
      </c>
      <c r="C481" s="11" t="n">
        <v>14.6639</v>
      </c>
      <c r="D481" s="11" t="n">
        <v>14.2959</v>
      </c>
      <c r="E481" s="11" t="n">
        <v>2.835</v>
      </c>
      <c r="F481" s="11" t="n">
        <v>18.4548</v>
      </c>
    </row>
    <row r="482">
      <c r="A482" s="9" t="n">
        <v>44835</v>
      </c>
      <c r="B482" s="11" t="n">
        <v>58.7994</v>
      </c>
      <c r="C482" s="11" t="n">
        <v>10.2339</v>
      </c>
      <c r="D482" s="11" t="n">
        <v>10.6449</v>
      </c>
      <c r="E482" s="11" t="n">
        <v>2.309</v>
      </c>
      <c r="F482" s="11" t="n">
        <v>18.0128</v>
      </c>
    </row>
    <row r="483">
      <c r="A483" s="9" t="n">
        <v>44866</v>
      </c>
      <c r="B483" s="11" t="n">
        <v>58.9794</v>
      </c>
      <c r="C483" s="11" t="n">
        <v>12.2379</v>
      </c>
      <c r="D483" s="11" t="n">
        <v>8.6739</v>
      </c>
      <c r="E483" s="11" t="n">
        <v>0.985</v>
      </c>
      <c r="F483" s="11" t="n">
        <v>19.1238</v>
      </c>
    </row>
    <row r="484">
      <c r="A484" s="9" t="n">
        <v>44896</v>
      </c>
      <c r="B484" s="11" t="n">
        <v>58.6444</v>
      </c>
      <c r="C484" s="11" t="n">
        <v>7.4179</v>
      </c>
      <c r="D484" s="11" t="n">
        <v>13.9429</v>
      </c>
      <c r="E484" s="11" t="n">
        <v>1.486</v>
      </c>
      <c r="F484" s="11" t="n">
        <v>18.5088</v>
      </c>
    </row>
    <row r="485">
      <c r="A485" s="9" t="n">
        <v>44927</v>
      </c>
      <c r="B485" s="11" t="n">
        <v>54.3151</v>
      </c>
      <c r="C485" s="11" t="n">
        <v>13.9793</v>
      </c>
      <c r="D485" s="11" t="n">
        <v>13.8053</v>
      </c>
      <c r="E485" s="11" t="n">
        <v>2.5881</v>
      </c>
      <c r="F485" s="11" t="n">
        <v>15.3123</v>
      </c>
    </row>
    <row r="486">
      <c r="A486" s="9" t="n">
        <v>44958</v>
      </c>
      <c r="B486" s="11" t="n">
        <v>58.6662</v>
      </c>
      <c r="C486" s="11" t="n">
        <v>12.8783</v>
      </c>
      <c r="D486" s="11" t="n">
        <v>16.6443</v>
      </c>
      <c r="E486" s="11" t="n">
        <v>1.173</v>
      </c>
      <c r="F486" s="11" t="n">
        <v>10.6382</v>
      </c>
    </row>
    <row r="487">
      <c r="A487" s="9" t="n">
        <v>44986</v>
      </c>
      <c r="B487" s="11" t="n">
        <v>56.4001</v>
      </c>
      <c r="C487" s="11" t="n">
        <v>12.4672</v>
      </c>
      <c r="D487" s="11" t="n">
        <v>14.5753</v>
      </c>
      <c r="E487" s="11" t="n">
        <v>2.7491</v>
      </c>
      <c r="F487" s="11" t="n">
        <v>13.8083</v>
      </c>
    </row>
    <row r="488">
      <c r="A488" s="9" t="n">
        <v>45017</v>
      </c>
      <c r="B488" s="11" t="n">
        <v>57.3731</v>
      </c>
      <c r="C488" s="11" t="n">
        <v>12.2992</v>
      </c>
      <c r="D488" s="11" t="n">
        <v>13.2613</v>
      </c>
      <c r="E488" s="11" t="n">
        <v>8.0532</v>
      </c>
      <c r="F488" s="11" t="n">
        <v>9.013199999999999</v>
      </c>
    </row>
    <row r="489">
      <c r="A489" s="9" t="n">
        <v>45047</v>
      </c>
      <c r="B489" s="11" t="n">
        <v>51.121</v>
      </c>
      <c r="C489" s="11" t="n">
        <v>16.9013</v>
      </c>
      <c r="D489" s="11" t="n">
        <v>16.9603</v>
      </c>
      <c r="E489" s="11" t="n">
        <v>1.602</v>
      </c>
      <c r="F489" s="11" t="n">
        <v>13.4153</v>
      </c>
    </row>
    <row r="490">
      <c r="A490" s="9" t="n">
        <v>45078</v>
      </c>
      <c r="B490" s="11" t="n">
        <v>57.0351</v>
      </c>
      <c r="C490" s="11" t="n">
        <v>16.9303</v>
      </c>
      <c r="D490" s="11" t="n">
        <v>12.4002</v>
      </c>
      <c r="E490" s="11" t="n">
        <v>1.956</v>
      </c>
      <c r="F490" s="11" t="n">
        <v>11.6782</v>
      </c>
    </row>
    <row r="491">
      <c r="A491" s="9" t="n">
        <v>45108</v>
      </c>
      <c r="B491" s="11" t="n">
        <v>46.7539</v>
      </c>
      <c r="C491" s="11" t="n">
        <v>23.4335</v>
      </c>
      <c r="D491" s="11" t="n">
        <v>12.6463</v>
      </c>
      <c r="E491" s="11" t="n">
        <v>4.1981</v>
      </c>
      <c r="F491" s="11" t="n">
        <v>12.9683</v>
      </c>
    </row>
    <row r="492">
      <c r="A492" s="9" t="n">
        <v>45139</v>
      </c>
      <c r="B492" s="11" t="n">
        <v>47.1589</v>
      </c>
      <c r="C492" s="11" t="n">
        <v>19.1474</v>
      </c>
      <c r="D492" s="11" t="n">
        <v>20.1104</v>
      </c>
      <c r="E492" s="11" t="n">
        <v>4.1071</v>
      </c>
      <c r="F492" s="11" t="n">
        <v>9.4762</v>
      </c>
    </row>
    <row r="493">
      <c r="A493" s="9" t="n">
        <v>45170</v>
      </c>
      <c r="B493" s="11" t="n">
        <v>51.049</v>
      </c>
      <c r="C493" s="11" t="n">
        <v>18.6564</v>
      </c>
      <c r="D493" s="11" t="n">
        <v>17.7144</v>
      </c>
      <c r="E493" s="11" t="n">
        <v>2.173</v>
      </c>
      <c r="F493" s="11" t="n">
        <v>10.4072</v>
      </c>
    </row>
    <row r="494">
      <c r="A494" s="9" t="n">
        <v>45200</v>
      </c>
      <c r="B494" s="11" t="n">
        <v>50.182</v>
      </c>
      <c r="C494" s="11" t="n">
        <v>16.0453</v>
      </c>
      <c r="D494" s="11" t="n">
        <v>11.5712</v>
      </c>
      <c r="E494" s="11" t="n">
        <v>11.0272</v>
      </c>
      <c r="F494" s="11" t="n">
        <v>11.1742</v>
      </c>
    </row>
    <row r="495">
      <c r="A495" s="9" t="n">
        <v>45231</v>
      </c>
      <c r="B495" s="11" t="n">
        <v>42.9409</v>
      </c>
      <c r="C495" s="11" t="n">
        <v>16.4793</v>
      </c>
      <c r="D495" s="11" t="n">
        <v>13.1923</v>
      </c>
      <c r="E495" s="11" t="n">
        <v>6.9561</v>
      </c>
      <c r="F495" s="11" t="n">
        <v>20.4314</v>
      </c>
    </row>
    <row r="496">
      <c r="A496" s="9" t="n">
        <v>45261</v>
      </c>
      <c r="B496" s="11" t="n">
        <v>38.0978</v>
      </c>
      <c r="C496" s="11" t="n">
        <v>19.0534</v>
      </c>
      <c r="D496" s="11" t="n">
        <v>16.9253</v>
      </c>
      <c r="E496" s="11" t="n">
        <v>5.0751</v>
      </c>
      <c r="F496" s="11" t="n">
        <v>20.8484</v>
      </c>
    </row>
    <row r="497">
      <c r="A497" s="9" t="n">
        <v>45292</v>
      </c>
      <c r="B497" s="11" t="n">
        <v>27.7564</v>
      </c>
      <c r="C497" s="11" t="n">
        <v>24.3552</v>
      </c>
      <c r="D497" s="11" t="n">
        <v>20.212</v>
      </c>
      <c r="E497" s="11" t="n">
        <v>2.6051</v>
      </c>
      <c r="F497" s="11" t="n">
        <v>25.0713</v>
      </c>
    </row>
    <row r="498">
      <c r="A498" s="9" t="n">
        <v>45323</v>
      </c>
      <c r="B498" s="11" t="n">
        <v>20.354</v>
      </c>
      <c r="C498" s="11" t="n">
        <v>23.5982</v>
      </c>
      <c r="D498" s="11" t="n">
        <v>25.2913</v>
      </c>
      <c r="E498" s="11" t="n">
        <v>3.0492</v>
      </c>
      <c r="F498" s="11" t="n">
        <v>27.7074</v>
      </c>
    </row>
    <row r="499">
      <c r="A499" s="9" t="n">
        <v>45352</v>
      </c>
      <c r="B499" s="11" t="n">
        <v>16.3058</v>
      </c>
      <c r="C499" s="11" t="n">
        <v>20.191</v>
      </c>
      <c r="D499" s="11" t="n">
        <v>24.1502</v>
      </c>
      <c r="E499" s="11" t="n">
        <v>2.4721</v>
      </c>
      <c r="F499" s="11" t="n">
        <v>36.8808</v>
      </c>
    </row>
    <row r="500">
      <c r="A500" s="9" t="n">
        <v>45383</v>
      </c>
      <c r="B500" s="11" t="n">
        <v>17.5919</v>
      </c>
      <c r="C500" s="11" t="n">
        <v>16.2098</v>
      </c>
      <c r="D500" s="11" t="n">
        <v>19.971</v>
      </c>
      <c r="E500" s="11" t="n">
        <v>1.2381</v>
      </c>
      <c r="F500" s="11" t="n">
        <v>44.9892</v>
      </c>
    </row>
    <row r="501">
      <c r="A501" s="9" t="n">
        <v>45413</v>
      </c>
      <c r="B501" s="11" t="n">
        <v>18.4739</v>
      </c>
      <c r="C501" s="11" t="n">
        <v>15.9568</v>
      </c>
      <c r="D501" s="11" t="n">
        <v>20.342</v>
      </c>
      <c r="E501" s="11" t="n">
        <v>7.3004</v>
      </c>
      <c r="F501" s="11" t="n">
        <v>37.9269</v>
      </c>
    </row>
    <row r="502">
      <c r="A502" s="9" t="n">
        <v>45444</v>
      </c>
      <c r="B502" s="11" t="n">
        <v>18.7669</v>
      </c>
      <c r="C502" s="11" t="n">
        <v>8.4154</v>
      </c>
      <c r="D502" s="11" t="n">
        <v>25.2623</v>
      </c>
      <c r="E502" s="11" t="n">
        <v>2.2851</v>
      </c>
      <c r="F502" s="11" t="n">
        <v>45.2703</v>
      </c>
    </row>
    <row r="503">
      <c r="A503" s="9" t="n">
        <v>45474</v>
      </c>
      <c r="B503" s="11" t="n">
        <v>18.8479</v>
      </c>
      <c r="C503" s="11" t="n">
        <v>8.1464</v>
      </c>
      <c r="D503" s="11" t="n">
        <v>23.5262</v>
      </c>
      <c r="E503" s="11" t="n">
        <v>3.5402</v>
      </c>
      <c r="F503" s="11" t="n">
        <v>45.9393</v>
      </c>
    </row>
    <row r="504">
      <c r="A504" s="9" t="n">
        <v>45505</v>
      </c>
      <c r="B504" s="11" t="n">
        <v>19.083</v>
      </c>
      <c r="C504" s="11" t="n">
        <v>11.6956</v>
      </c>
      <c r="D504" s="11" t="n">
        <v>22.7961</v>
      </c>
      <c r="E504" s="11" t="n">
        <v>2.0621</v>
      </c>
      <c r="F504" s="11" t="n">
        <v>44.3632</v>
      </c>
    </row>
    <row r="505">
      <c r="A505" s="9" t="n">
        <v>45536</v>
      </c>
      <c r="B505" s="11" t="n">
        <v>18.4449</v>
      </c>
      <c r="C505" s="11" t="n">
        <v>6.4623</v>
      </c>
      <c r="D505" s="11" t="n">
        <v>26.9293</v>
      </c>
      <c r="E505" s="11" t="n">
        <v>5.1653</v>
      </c>
      <c r="F505" s="11" t="n">
        <v>42.9981</v>
      </c>
    </row>
    <row r="506">
      <c r="A506" s="9" t="n">
        <v>45566</v>
      </c>
      <c r="B506" s="11" t="n">
        <v>17.6469</v>
      </c>
      <c r="C506" s="11" t="n">
        <v>9.887499999999999</v>
      </c>
      <c r="D506" s="11" t="n">
        <v>26.1473</v>
      </c>
      <c r="E506" s="11" t="n">
        <v>3.2572</v>
      </c>
      <c r="F506" s="11" t="n">
        <v>43.0612</v>
      </c>
    </row>
    <row r="507">
      <c r="A507" s="9" t="n">
        <v>45597</v>
      </c>
      <c r="B507" s="11" t="n">
        <v>16.6668</v>
      </c>
      <c r="C507" s="11" t="n">
        <v>11.1926</v>
      </c>
      <c r="D507" s="11" t="n">
        <v>22.5281</v>
      </c>
      <c r="E507" s="11" t="n">
        <v>5.1713</v>
      </c>
      <c r="F507" s="11" t="n">
        <v>44.4412</v>
      </c>
    </row>
    <row r="508">
      <c r="A508" s="9" t="n">
        <v>45627</v>
      </c>
      <c r="B508" s="11" t="n">
        <v>18.2119</v>
      </c>
      <c r="C508" s="11" t="n">
        <v>10.3825</v>
      </c>
      <c r="D508" s="11" t="n">
        <v>23.0102</v>
      </c>
      <c r="E508" s="11" t="n">
        <v>4.9982</v>
      </c>
      <c r="F508" s="11" t="n">
        <v>43.3972</v>
      </c>
    </row>
    <row r="509">
      <c r="A509" s="9" t="n">
        <v>45658</v>
      </c>
      <c r="B509" s="11" t="n">
        <v>16.4589</v>
      </c>
      <c r="C509" s="11" t="n">
        <v>12.4031</v>
      </c>
      <c r="D509" s="11" t="n">
        <v>24.728</v>
      </c>
      <c r="E509" s="11" t="n">
        <v>6.038</v>
      </c>
      <c r="F509" s="11" t="n">
        <v>40.372</v>
      </c>
    </row>
    <row r="510">
      <c r="A510" s="9" t="n">
        <v>45689</v>
      </c>
      <c r="B510" s="11" t="n">
        <v>12.2988</v>
      </c>
      <c r="C510" s="11" t="n">
        <v>8.7037</v>
      </c>
      <c r="D510" s="11" t="n">
        <v>25.8099</v>
      </c>
      <c r="E510" s="11" t="n">
        <v>5.2913</v>
      </c>
      <c r="F510" s="11" t="n">
        <v>47.8963</v>
      </c>
    </row>
    <row r="511">
      <c r="A511" s="9" t="n">
        <v>45717</v>
      </c>
      <c r="B511" s="11" t="n">
        <v>12.63</v>
      </c>
      <c r="C511" s="11" t="n">
        <v>9.2507</v>
      </c>
      <c r="D511" s="11" t="n">
        <v>23.1774</v>
      </c>
      <c r="E511" s="11" t="n">
        <v>8.4498</v>
      </c>
      <c r="F511" s="11" t="n">
        <v>46.4922</v>
      </c>
    </row>
    <row r="512">
      <c r="A512" s="9" t="n">
        <v>45748</v>
      </c>
      <c r="B512" s="11" t="n">
        <v>13.9237</v>
      </c>
      <c r="C512" s="11" t="n">
        <v>11.8682</v>
      </c>
      <c r="D512" s="11" t="n">
        <v>20.5358</v>
      </c>
      <c r="E512" s="11" t="n">
        <v>5.2963</v>
      </c>
      <c r="F512" s="11" t="n">
        <v>48.3761</v>
      </c>
    </row>
    <row r="513">
      <c r="A513" s="9" t="n">
        <v>45778</v>
      </c>
      <c r="B513" s="11" t="n">
        <v>10.445</v>
      </c>
      <c r="C513" s="11" t="n">
        <v>11.6474</v>
      </c>
      <c r="D513" s="11" t="n">
        <v>21.4952</v>
      </c>
      <c r="E513" s="11" t="n">
        <v>8.656499999999999</v>
      </c>
      <c r="F513" s="11" t="n">
        <v>47.7558</v>
      </c>
    </row>
    <row r="514">
      <c r="A514" s="9" t="n">
        <v>45809</v>
      </c>
      <c r="B514" s="11" t="n">
        <v>12.3981</v>
      </c>
      <c r="C514" s="11" t="n">
        <v>10.6909</v>
      </c>
      <c r="D514" s="11" t="n">
        <v>22.8913</v>
      </c>
      <c r="E514" s="11" t="n">
        <v>5.2019</v>
      </c>
      <c r="F514" s="11" t="n">
        <v>48.8177</v>
      </c>
    </row>
    <row r="515">
      <c r="A515" s="9" t="n">
        <v>45839</v>
      </c>
      <c r="B515" s="11" t="n">
        <v>10.3236</v>
      </c>
      <c r="C515" s="11" t="n">
        <v>9.524699999999999</v>
      </c>
      <c r="D515" s="11" t="n">
        <v>28.6824</v>
      </c>
      <c r="E515" s="11" t="n">
        <v>5.5643</v>
      </c>
      <c r="F515" s="11" t="n">
        <v>45.9051</v>
      </c>
    </row>
    <row r="516">
      <c r="A516" s="9" t="n">
        <v>45870</v>
      </c>
      <c r="B516" s="11" t="n">
        <v>9.353999999999999</v>
      </c>
      <c r="C516" s="11" t="n">
        <v>11.1385</v>
      </c>
      <c r="D516" s="11" t="n">
        <v>17.5449</v>
      </c>
      <c r="E516" s="11" t="n">
        <v>11.0412</v>
      </c>
      <c r="F516" s="11" t="n">
        <v>50.9214</v>
      </c>
    </row>
    <row r="517">
      <c r="A517" s="9" t="n">
        <v>45901</v>
      </c>
      <c r="B517" s="11" t="n">
        <v>7.3638</v>
      </c>
      <c r="C517" s="11" t="n">
        <v>10.1389</v>
      </c>
      <c r="D517" s="11" t="n">
        <v>24.8123</v>
      </c>
      <c r="E517" s="11" t="n">
        <v>8.432700000000001</v>
      </c>
      <c r="F517" s="11" t="n">
        <v>49.2523</v>
      </c>
    </row>
    <row r="518">
      <c r="A518" s="9" t="n">
        <v>45931</v>
      </c>
      <c r="B518" s="11" t="n">
        <v>6.3371</v>
      </c>
      <c r="C518" s="11" t="n">
        <v>11.9043</v>
      </c>
      <c r="D518" s="11" t="n">
        <v>25.1295</v>
      </c>
      <c r="E518" s="11" t="n">
        <v>4.8035</v>
      </c>
      <c r="F518" s="11" t="n">
        <v>51.8256</v>
      </c>
    </row>
    <row r="519">
      <c r="A519" s="9" t="n">
        <v>45962</v>
      </c>
      <c r="B519" s="11" t="n">
        <v>7.6147</v>
      </c>
      <c r="C519" s="11" t="n">
        <v>5.486</v>
      </c>
      <c r="D519" s="11" t="n">
        <v>27.9919</v>
      </c>
      <c r="E519" s="11" t="n">
        <v>5.4619</v>
      </c>
      <c r="F519" s="11" t="n">
        <v>53.4455</v>
      </c>
    </row>
    <row r="520">
      <c r="A520" s="9" t="n">
        <v>45992</v>
      </c>
      <c r="B520" s="11" t="n">
        <v>5.9195</v>
      </c>
      <c r="C520" s="11" t="n">
        <v>4.4254</v>
      </c>
      <c r="D520" s="11" t="n">
        <v>31.0535</v>
      </c>
      <c r="E520" s="11" t="n">
        <v>5.4854</v>
      </c>
      <c r="F520" s="11" t="n">
        <v>53.1162</v>
      </c>
    </row>
    <row r="521">
      <c r="A521" s="9" t="n">
        <v>46023</v>
      </c>
      <c r="B521" s="11" t="n">
        <v>5.9336</v>
      </c>
      <c r="C521" s="11" t="n">
        <v>6.5424</v>
      </c>
      <c r="D521" s="11" t="n">
        <v>29.8085</v>
      </c>
      <c r="E521" s="11" t="n">
        <v>4.3852</v>
      </c>
      <c r="F521" s="11" t="n">
        <v>53.3304</v>
      </c>
    </row>
    <row r="522">
      <c r="A522" s="9" t="n">
        <v>46054</v>
      </c>
      <c r="B522" s="11" t="n">
        <v>5.3015</v>
      </c>
      <c r="C522" s="11" t="n">
        <v>8.039199999999999</v>
      </c>
      <c r="D522" s="11" t="n">
        <v>18.7079</v>
      </c>
      <c r="E522" s="11" t="n">
        <v>10.7951</v>
      </c>
      <c r="F522" s="11" t="n">
        <v>57.1563</v>
      </c>
    </row>
    <row r="523">
      <c r="A523" s="9" t="n">
        <v>46082</v>
      </c>
      <c r="B523" s="11" t="n">
        <v>8.6379</v>
      </c>
      <c r="C523" s="11" t="n">
        <v>9.732200000000001</v>
      </c>
      <c r="D523" s="11" t="n">
        <v>19.7223</v>
      </c>
      <c r="E523" s="11" t="n">
        <v>12.1432</v>
      </c>
      <c r="F523" s="11" t="n">
        <v>49.7644</v>
      </c>
    </row>
    <row r="524">
      <c r="A524" s="9" t="n">
        <v>46113</v>
      </c>
      <c r="B524" s="11" t="n">
        <v>11.2128</v>
      </c>
      <c r="C524" s="11" t="n">
        <v>9.214399999999999</v>
      </c>
      <c r="D524" s="11" t="n">
        <v>15.4837</v>
      </c>
      <c r="E524" s="11" t="n">
        <v>14.5846</v>
      </c>
      <c r="F524" s="11" t="n">
        <v>49.5044</v>
      </c>
    </row>
    <row r="525">
      <c r="A525" s="9" t="n">
        <v>46143</v>
      </c>
      <c r="B525" s="11" t="n">
        <v>14.0183</v>
      </c>
      <c r="C525" s="11" t="n">
        <v>4.1273</v>
      </c>
      <c r="D525" s="11" t="n">
        <v>18.4318</v>
      </c>
      <c r="E525" s="11" t="n">
        <v>11.6871</v>
      </c>
      <c r="F525" s="11" t="n">
        <v>51.7355</v>
      </c>
    </row>
    <row r="526">
      <c r="A526" s="9" t="n">
        <v>46174</v>
      </c>
      <c r="B526" s="11" t="n">
        <v>11.3969</v>
      </c>
      <c r="C526" s="11" t="n">
        <v>6.2552</v>
      </c>
      <c r="D526" s="11" t="n">
        <v>15.7244</v>
      </c>
      <c r="E526" s="11" t="n">
        <v>16.2645</v>
      </c>
      <c r="F526" s="11" t="n">
        <v>50.359</v>
      </c>
    </row>
    <row r="527">
      <c r="A527" s="9" t="n">
        <v>46204</v>
      </c>
      <c r="B527" s="11" t="n">
        <v>11.2007</v>
      </c>
      <c r="C527" s="11" t="n">
        <v>8.491300000000001</v>
      </c>
      <c r="D527" s="11" t="n">
        <v>22.7664</v>
      </c>
      <c r="E527" s="11" t="n">
        <v>9.6938</v>
      </c>
      <c r="F527" s="11" t="n">
        <v>47.8479</v>
      </c>
    </row>
    <row r="528">
      <c r="A528" s="9" t="n">
        <v>46235</v>
      </c>
      <c r="B528" s="11" t="n">
        <v>11.0014</v>
      </c>
      <c r="C528" s="11" t="n">
        <v>5.1983</v>
      </c>
      <c r="D528" s="11" t="n">
        <v>19.0548</v>
      </c>
      <c r="E528" s="11" t="n">
        <v>13.551</v>
      </c>
      <c r="F528" s="11" t="n">
        <v>51.1944</v>
      </c>
    </row>
    <row r="529">
      <c r="A529" s="9" t="n">
        <v>46266</v>
      </c>
      <c r="B529" s="11" t="n">
        <v>12.8512</v>
      </c>
      <c r="C529" s="11" t="n">
        <v>9.221500000000001</v>
      </c>
      <c r="D529" s="11" t="n">
        <v>18.4146</v>
      </c>
      <c r="E529" s="11" t="n">
        <v>15.4584</v>
      </c>
      <c r="F529" s="11" t="n">
        <v>44.0543</v>
      </c>
    </row>
    <row r="532">
      <c r="A532" s="13" t="inlineStr">
        <is>
          <t>Spagna - 2026-09 - quota % delle voci per fascia, per peso</t>
        </is>
      </c>
    </row>
    <row r="533">
      <c r="A533" s="5" t="inlineStr">
        <is>
          <t>Gruppo</t>
        </is>
      </c>
      <c r="B533" s="5" t="inlineStr">
        <is>
          <t>oltre 5%</t>
        </is>
      </c>
      <c r="C533" s="5" t="inlineStr">
        <is>
          <t>3-5%</t>
        </is>
      </c>
      <c r="D533" s="5" t="inlineStr">
        <is>
          <t>2-3%</t>
        </is>
      </c>
      <c r="E533" s="5" t="inlineStr">
        <is>
          <t>1,5-2%</t>
        </is>
      </c>
      <c r="F533" s="5" t="inlineStr">
        <is>
          <t>sotto 1,5%</t>
        </is>
      </c>
    </row>
    <row r="534">
      <c r="A534" s="3" t="inlineStr">
        <is>
          <t>Totale</t>
        </is>
      </c>
      <c r="B534" s="11" t="n">
        <v>19.6361</v>
      </c>
      <c r="C534" s="11" t="n">
        <v>30.3065</v>
      </c>
      <c r="D534" s="11" t="n">
        <v>26.5719</v>
      </c>
      <c r="E534" s="11" t="n">
        <v>5.5646</v>
      </c>
      <c r="F534" s="11" t="n">
        <v>17.921</v>
      </c>
    </row>
    <row r="535">
      <c r="A535" s="3" t="inlineStr">
        <is>
          <t>Alimentari</t>
        </is>
      </c>
      <c r="B535" s="11" t="n">
        <v>16.1463</v>
      </c>
      <c r="C535" s="11" t="n">
        <v>18.6738</v>
      </c>
      <c r="D535" s="11" t="n">
        <v>29.0118</v>
      </c>
      <c r="E535" s="11" t="n">
        <v>14.5555</v>
      </c>
      <c r="F535" s="11" t="n">
        <v>21.6126</v>
      </c>
    </row>
    <row r="536">
      <c r="A536" s="3" t="inlineStr">
        <is>
          <t>Beni industriali</t>
        </is>
      </c>
      <c r="B536" s="11" t="n">
        <v>5.3115</v>
      </c>
      <c r="C536" s="11" t="n">
        <v>3.2434</v>
      </c>
      <c r="D536" s="11" t="n">
        <v>32.1513</v>
      </c>
      <c r="E536" s="11" t="n">
        <v>4.2338</v>
      </c>
      <c r="F536" s="11" t="n">
        <v>55.06</v>
      </c>
    </row>
    <row r="537">
      <c r="A537" s="3" t="inlineStr">
        <is>
          <t>Energia</t>
        </is>
      </c>
      <c r="B537" s="11" t="n">
        <v>100</v>
      </c>
      <c r="C537" s="11" t="n">
        <v>0</v>
      </c>
      <c r="D537" s="11" t="n">
        <v>0</v>
      </c>
      <c r="E537" s="11" t="n">
        <v>0</v>
      </c>
      <c r="F537" s="11" t="n">
        <v>0</v>
      </c>
    </row>
    <row r="538">
      <c r="A538" s="3" t="inlineStr">
        <is>
          <t>Servizi</t>
        </is>
      </c>
      <c r="B538" s="11" t="n">
        <v>12.1299</v>
      </c>
      <c r="C538" s="11" t="n">
        <v>51.7386</v>
      </c>
      <c r="D538" s="11" t="n">
        <v>28.1719</v>
      </c>
      <c r="E538" s="11" t="n">
        <v>3.3524</v>
      </c>
      <c r="F538" s="11" t="n">
        <v>4.6072</v>
      </c>
    </row>
    <row r="541">
      <c r="A541" s="13" t="inlineStr">
        <is>
          <t>Spagna - 2026-09 - quota % delle voci per fascia, per numero di voci</t>
        </is>
      </c>
    </row>
    <row r="542">
      <c r="A542" s="5" t="inlineStr">
        <is>
          <t>Gruppo</t>
        </is>
      </c>
      <c r="B542" s="5" t="inlineStr">
        <is>
          <t>oltre 5%</t>
        </is>
      </c>
      <c r="C542" s="5" t="inlineStr">
        <is>
          <t>3-5%</t>
        </is>
      </c>
      <c r="D542" s="5" t="inlineStr">
        <is>
          <t>2-3%</t>
        </is>
      </c>
      <c r="E542" s="5" t="inlineStr">
        <is>
          <t>1,5-2%</t>
        </is>
      </c>
      <c r="F542" s="5" t="inlineStr">
        <is>
          <t>sotto 1,5%</t>
        </is>
      </c>
    </row>
    <row r="543">
      <c r="A543" s="3" t="inlineStr">
        <is>
          <t>Totale</t>
        </is>
      </c>
      <c r="B543" s="11" t="n">
        <v>17.3469</v>
      </c>
      <c r="C543" s="11" t="n">
        <v>17.3469</v>
      </c>
      <c r="D543" s="11" t="n">
        <v>22.449</v>
      </c>
      <c r="E543" s="11" t="n">
        <v>6.1224</v>
      </c>
      <c r="F543" s="11" t="n">
        <v>36.7347</v>
      </c>
    </row>
    <row r="544">
      <c r="A544" s="3" t="inlineStr">
        <is>
          <t>Alimentari</t>
        </is>
      </c>
      <c r="B544" s="11" t="n">
        <v>10.5263</v>
      </c>
      <c r="C544" s="11" t="n">
        <v>15.7895</v>
      </c>
      <c r="D544" s="11" t="n">
        <v>26.3158</v>
      </c>
      <c r="E544" s="11" t="n">
        <v>10.5263</v>
      </c>
      <c r="F544" s="11" t="n">
        <v>36.8421</v>
      </c>
    </row>
    <row r="545">
      <c r="A545" s="3" t="inlineStr">
        <is>
          <t>Beni industriali</t>
        </is>
      </c>
      <c r="B545" s="11" t="n">
        <v>12.1212</v>
      </c>
      <c r="C545" s="11" t="n">
        <v>6.0606</v>
      </c>
      <c r="D545" s="11" t="n">
        <v>12.1212</v>
      </c>
      <c r="E545" s="11" t="n">
        <v>3.0303</v>
      </c>
      <c r="F545" s="11" t="n">
        <v>66.66670000000001</v>
      </c>
    </row>
    <row r="546">
      <c r="A546" s="3" t="inlineStr">
        <is>
          <t>Energia</t>
        </is>
      </c>
      <c r="B546" s="11" t="n">
        <v>100</v>
      </c>
      <c r="C546" s="11" t="n">
        <v>0</v>
      </c>
      <c r="D546" s="11" t="n">
        <v>0</v>
      </c>
      <c r="E546" s="11" t="n">
        <v>0</v>
      </c>
      <c r="F546" s="11" t="n">
        <v>0</v>
      </c>
    </row>
    <row r="547">
      <c r="A547" s="3" t="inlineStr">
        <is>
          <t>Servizi</t>
        </is>
      </c>
      <c r="B547" s="11" t="n">
        <v>16.6667</v>
      </c>
      <c r="C547" s="11" t="n">
        <v>28.5714</v>
      </c>
      <c r="D547" s="11" t="n">
        <v>30.9524</v>
      </c>
      <c r="E547" s="11" t="n">
        <v>7.1429</v>
      </c>
      <c r="F547" s="11" t="n">
        <v>16.6667</v>
      </c>
    </row>
    <row r="550">
      <c r="A550" s="13" t="inlineStr">
        <is>
          <t>Spagna - per divisione ECOICOP, quota % per peso</t>
        </is>
      </c>
    </row>
    <row r="551">
      <c r="A551" s="5" t="inlineStr">
        <is>
          <t>Divisione</t>
        </is>
      </c>
      <c r="B551" s="5" t="inlineStr">
        <is>
          <t>oltre 5%</t>
        </is>
      </c>
      <c r="C551" s="5" t="inlineStr">
        <is>
          <t>3-5%</t>
        </is>
      </c>
      <c r="D551" s="5" t="inlineStr">
        <is>
          <t>2-3%</t>
        </is>
      </c>
      <c r="E551" s="5" t="inlineStr">
        <is>
          <t>1,5-2%</t>
        </is>
      </c>
      <c r="F551" s="5" t="inlineStr">
        <is>
          <t>sotto 1,5%</t>
        </is>
      </c>
    </row>
    <row r="552">
      <c r="A552" s="3" t="inlineStr">
        <is>
          <t>Abbigliamento e calzature</t>
        </is>
      </c>
      <c r="B552" s="11" t="n">
        <v>0</v>
      </c>
      <c r="C552" s="11" t="n">
        <v>0</v>
      </c>
      <c r="D552" s="11" t="n">
        <v>0</v>
      </c>
      <c r="E552" s="11" t="n">
        <v>0</v>
      </c>
      <c r="F552" s="11" t="n">
        <v>100</v>
      </c>
    </row>
    <row r="553">
      <c r="A553" s="3" t="inlineStr">
        <is>
          <t>Abitazione e utenze</t>
        </is>
      </c>
      <c r="B553" s="11" t="n">
        <v>41.9275</v>
      </c>
      <c r="C553" s="11" t="n">
        <v>11.2064</v>
      </c>
      <c r="D553" s="11" t="n">
        <v>43.145</v>
      </c>
      <c r="E553" s="11" t="n">
        <v>0</v>
      </c>
      <c r="F553" s="11" t="n">
        <v>3.7212</v>
      </c>
    </row>
    <row r="554">
      <c r="A554" s="3" t="inlineStr">
        <is>
          <t>Alcolici e tabacchi</t>
        </is>
      </c>
      <c r="B554" s="11" t="n">
        <v>0</v>
      </c>
      <c r="C554" s="11" t="n">
        <v>58.5139</v>
      </c>
      <c r="D554" s="11" t="n">
        <v>12.7554</v>
      </c>
      <c r="E554" s="11" t="n">
        <v>0</v>
      </c>
      <c r="F554" s="11" t="n">
        <v>28.7307</v>
      </c>
    </row>
    <row r="555">
      <c r="A555" s="3" t="inlineStr">
        <is>
          <t>Alimentari e bevande analcoliche</t>
        </is>
      </c>
      <c r="B555" s="11" t="n">
        <v>19.2235</v>
      </c>
      <c r="C555" s="11" t="n">
        <v>11.081</v>
      </c>
      <c r="D555" s="11" t="n">
        <v>32.11</v>
      </c>
      <c r="E555" s="11" t="n">
        <v>17.3295</v>
      </c>
      <c r="F555" s="11" t="n">
        <v>20.2561</v>
      </c>
    </row>
    <row r="556">
      <c r="A556" s="3" t="inlineStr">
        <is>
          <t>Assicurazioni e servizi finanziari</t>
        </is>
      </c>
      <c r="B556" s="11" t="n">
        <v>27.6584</v>
      </c>
      <c r="C556" s="11" t="n">
        <v>28.7603</v>
      </c>
      <c r="D556" s="11" t="n">
        <v>0</v>
      </c>
      <c r="E556" s="11" t="n">
        <v>0</v>
      </c>
      <c r="F556" s="11" t="n">
        <v>43.5813</v>
      </c>
    </row>
    <row r="557">
      <c r="A557" s="3" t="inlineStr">
        <is>
          <t>Cura della persona e altri</t>
        </is>
      </c>
      <c r="B557" s="11" t="n">
        <v>4.9068</v>
      </c>
      <c r="C557" s="11" t="n">
        <v>44.9179</v>
      </c>
      <c r="D557" s="11" t="n">
        <v>0</v>
      </c>
      <c r="E557" s="11" t="n">
        <v>15.6244</v>
      </c>
      <c r="F557" s="11" t="n">
        <v>34.5508</v>
      </c>
    </row>
    <row r="558">
      <c r="A558" s="3" t="inlineStr">
        <is>
          <t>Informazione e comunicazione</t>
        </is>
      </c>
      <c r="B558" s="11" t="n">
        <v>26.1111</v>
      </c>
      <c r="C558" s="11" t="n">
        <v>0</v>
      </c>
      <c r="D558" s="11" t="n">
        <v>58.2222</v>
      </c>
      <c r="E558" s="11" t="n">
        <v>0</v>
      </c>
      <c r="F558" s="11" t="n">
        <v>15.6667</v>
      </c>
    </row>
    <row r="559">
      <c r="A559" s="3" t="inlineStr">
        <is>
          <t>Istruzione</t>
        </is>
      </c>
      <c r="B559" s="11" t="n">
        <v>0</v>
      </c>
      <c r="C559" s="11" t="n">
        <v>0</v>
      </c>
      <c r="D559" s="11" t="n">
        <v>70.0611</v>
      </c>
      <c r="E559" s="11" t="n">
        <v>0</v>
      </c>
      <c r="F559" s="11" t="n">
        <v>29.9389</v>
      </c>
    </row>
    <row r="560">
      <c r="A560" s="3" t="inlineStr">
        <is>
          <t>Mobili e articoli per la casa</t>
        </is>
      </c>
      <c r="B560" s="11" t="n">
        <v>0</v>
      </c>
      <c r="C560" s="11" t="n">
        <v>0</v>
      </c>
      <c r="D560" s="11" t="n">
        <v>55.5184</v>
      </c>
      <c r="E560" s="11" t="n">
        <v>17.245</v>
      </c>
      <c r="F560" s="11" t="n">
        <v>27.2366</v>
      </c>
    </row>
    <row r="561">
      <c r="A561" s="3" t="inlineStr">
        <is>
          <t>Ricreazione, sport e cultura</t>
        </is>
      </c>
      <c r="B561" s="11" t="n">
        <v>25.7439</v>
      </c>
      <c r="C561" s="11" t="n">
        <v>18.0042</v>
      </c>
      <c r="D561" s="11" t="n">
        <v>39.9158</v>
      </c>
      <c r="E561" s="11" t="n">
        <v>0</v>
      </c>
      <c r="F561" s="11" t="n">
        <v>16.336</v>
      </c>
    </row>
    <row r="562">
      <c r="A562" s="3" t="inlineStr">
        <is>
          <t>Ristorazione e alloggio</t>
        </is>
      </c>
      <c r="B562" s="11" t="n">
        <v>12.3005</v>
      </c>
      <c r="C562" s="11" t="n">
        <v>87.6995</v>
      </c>
      <c r="D562" s="11" t="n">
        <v>0</v>
      </c>
      <c r="E562" s="11" t="n">
        <v>0</v>
      </c>
      <c r="F562" s="11" t="n">
        <v>0</v>
      </c>
    </row>
    <row r="563">
      <c r="A563" s="3" t="inlineStr">
        <is>
          <t>Salute</t>
        </is>
      </c>
      <c r="B563" s="11" t="n">
        <v>0</v>
      </c>
      <c r="C563" s="11" t="n">
        <v>34.2105</v>
      </c>
      <c r="D563" s="11" t="n">
        <v>35.5376</v>
      </c>
      <c r="E563" s="11" t="n">
        <v>3.8911</v>
      </c>
      <c r="F563" s="11" t="n">
        <v>26.3608</v>
      </c>
    </row>
    <row r="564">
      <c r="A564" s="3" t="inlineStr">
        <is>
          <t>Trasporti</t>
        </is>
      </c>
      <c r="B564" s="11" t="n">
        <v>35.4573</v>
      </c>
      <c r="C564" s="11" t="n">
        <v>18.0857</v>
      </c>
      <c r="D564" s="11" t="n">
        <v>32.6215</v>
      </c>
      <c r="E564" s="11" t="n">
        <v>4.058</v>
      </c>
      <c r="F564" s="11" t="n">
        <v>9.7775</v>
      </c>
    </row>
    <row r="567">
      <c r="A567" s="13" t="inlineStr">
        <is>
          <t>Spagna - storico quota % del paniere per fascia (per peso)</t>
        </is>
      </c>
    </row>
    <row r="568">
      <c r="A568" s="5" t="inlineStr">
        <is>
          <t>Mese</t>
        </is>
      </c>
      <c r="B568" s="5" t="inlineStr">
        <is>
          <t>oltre 5%</t>
        </is>
      </c>
      <c r="C568" s="5" t="inlineStr">
        <is>
          <t>3-5%</t>
        </is>
      </c>
      <c r="D568" s="5" t="inlineStr">
        <is>
          <t>2-3%</t>
        </is>
      </c>
      <c r="E568" s="5" t="inlineStr">
        <is>
          <t>1,5-2%</t>
        </is>
      </c>
      <c r="F568" s="5" t="inlineStr">
        <is>
          <t>sotto 1,5%</t>
        </is>
      </c>
    </row>
    <row r="569">
      <c r="A569" s="9" t="n">
        <v>43466</v>
      </c>
      <c r="B569" s="11" t="n">
        <v>4.0758</v>
      </c>
      <c r="C569" s="11" t="n">
        <v>6.2363</v>
      </c>
      <c r="D569" s="11" t="n">
        <v>8.4603</v>
      </c>
      <c r="E569" s="11" t="n">
        <v>20.4236</v>
      </c>
      <c r="F569" s="11" t="n">
        <v>60.8039</v>
      </c>
    </row>
    <row r="570">
      <c r="A570" s="9" t="n">
        <v>43497</v>
      </c>
      <c r="B570" s="11" t="n">
        <v>2.5306</v>
      </c>
      <c r="C570" s="11" t="n">
        <v>10.0096</v>
      </c>
      <c r="D570" s="11" t="n">
        <v>9.3177</v>
      </c>
      <c r="E570" s="11" t="n">
        <v>21.0742</v>
      </c>
      <c r="F570" s="11" t="n">
        <v>57.0679</v>
      </c>
    </row>
    <row r="571">
      <c r="A571" s="9" t="n">
        <v>43525</v>
      </c>
      <c r="B571" s="11" t="n">
        <v>8.771000000000001</v>
      </c>
      <c r="C571" s="11" t="n">
        <v>6.0598</v>
      </c>
      <c r="D571" s="11" t="n">
        <v>7.7835</v>
      </c>
      <c r="E571" s="11" t="n">
        <v>24.211</v>
      </c>
      <c r="F571" s="11" t="n">
        <v>53.1746</v>
      </c>
    </row>
    <row r="572">
      <c r="A572" s="9" t="n">
        <v>43556</v>
      </c>
      <c r="B572" s="11" t="n">
        <v>10.8457</v>
      </c>
      <c r="C572" s="11" t="n">
        <v>6.201</v>
      </c>
      <c r="D572" s="11" t="n">
        <v>4.3502</v>
      </c>
      <c r="E572" s="11" t="n">
        <v>31.0293</v>
      </c>
      <c r="F572" s="11" t="n">
        <v>47.5738</v>
      </c>
    </row>
    <row r="573">
      <c r="A573" s="9" t="n">
        <v>43586</v>
      </c>
      <c r="B573" s="11" t="n">
        <v>0.7323</v>
      </c>
      <c r="C573" s="11" t="n">
        <v>11.0515</v>
      </c>
      <c r="D573" s="11" t="n">
        <v>4.8848</v>
      </c>
      <c r="E573" s="11" t="n">
        <v>34.7743</v>
      </c>
      <c r="F573" s="11" t="n">
        <v>48.5572</v>
      </c>
    </row>
    <row r="574">
      <c r="A574" s="9" t="n">
        <v>43617</v>
      </c>
      <c r="B574" s="11" t="n">
        <v>1.9981</v>
      </c>
      <c r="C574" s="11" t="n">
        <v>3.2286</v>
      </c>
      <c r="D574" s="11" t="n">
        <v>4.6689</v>
      </c>
      <c r="E574" s="11" t="n">
        <v>33.2009</v>
      </c>
      <c r="F574" s="11" t="n">
        <v>56.9035</v>
      </c>
    </row>
    <row r="575">
      <c r="A575" s="9" t="n">
        <v>43647</v>
      </c>
      <c r="B575" s="11" t="n">
        <v>1.9981</v>
      </c>
      <c r="C575" s="11" t="n">
        <v>3.9205</v>
      </c>
      <c r="D575" s="11" t="n">
        <v>9.2773</v>
      </c>
      <c r="E575" s="11" t="n">
        <v>30.5754</v>
      </c>
      <c r="F575" s="11" t="n">
        <v>54.2287</v>
      </c>
    </row>
    <row r="576">
      <c r="A576" s="9" t="n">
        <v>43678</v>
      </c>
      <c r="B576" s="11" t="n">
        <v>1.9981</v>
      </c>
      <c r="C576" s="11" t="n">
        <v>0.7655</v>
      </c>
      <c r="D576" s="11" t="n">
        <v>12.2608</v>
      </c>
      <c r="E576" s="11" t="n">
        <v>25.8954</v>
      </c>
      <c r="F576" s="11" t="n">
        <v>59.0801</v>
      </c>
    </row>
    <row r="577">
      <c r="A577" s="9" t="n">
        <v>43709</v>
      </c>
      <c r="B577" s="11" t="n">
        <v>0.7645</v>
      </c>
      <c r="C577" s="11" t="n">
        <v>3.4555</v>
      </c>
      <c r="D577" s="11" t="n">
        <v>9.8401</v>
      </c>
      <c r="E577" s="11" t="n">
        <v>28.8557</v>
      </c>
      <c r="F577" s="11" t="n">
        <v>57.0841</v>
      </c>
    </row>
    <row r="578">
      <c r="A578" s="9" t="n">
        <v>43739</v>
      </c>
      <c r="B578" s="11" t="n">
        <v>0.5225</v>
      </c>
      <c r="C578" s="11" t="n">
        <v>0.5164</v>
      </c>
      <c r="D578" s="11" t="n">
        <v>13.2069</v>
      </c>
      <c r="E578" s="11" t="n">
        <v>16.022</v>
      </c>
      <c r="F578" s="11" t="n">
        <v>69.73220000000001</v>
      </c>
    </row>
    <row r="579">
      <c r="A579" s="9" t="n">
        <v>43770</v>
      </c>
      <c r="B579" s="11" t="n">
        <v>0.5225</v>
      </c>
      <c r="C579" s="11" t="n">
        <v>5.2983</v>
      </c>
      <c r="D579" s="11" t="n">
        <v>10.3727</v>
      </c>
      <c r="E579" s="11" t="n">
        <v>15.4481</v>
      </c>
      <c r="F579" s="11" t="n">
        <v>68.35850000000001</v>
      </c>
    </row>
    <row r="580">
      <c r="A580" s="9" t="n">
        <v>43800</v>
      </c>
      <c r="B580" s="11" t="n">
        <v>7.3277</v>
      </c>
      <c r="C580" s="11" t="n">
        <v>7.6716</v>
      </c>
      <c r="D580" s="11" t="n">
        <v>9.3873</v>
      </c>
      <c r="E580" s="11" t="n">
        <v>13.5952</v>
      </c>
      <c r="F580" s="11" t="n">
        <v>62.0183</v>
      </c>
    </row>
    <row r="581">
      <c r="A581" s="9" t="n">
        <v>43831</v>
      </c>
      <c r="B581" s="11" t="n">
        <v>7.8196</v>
      </c>
      <c r="C581" s="11" t="n">
        <v>9.666499999999999</v>
      </c>
      <c r="D581" s="11" t="n">
        <v>10.3847</v>
      </c>
      <c r="E581" s="11" t="n">
        <v>12.9085</v>
      </c>
      <c r="F581" s="11" t="n">
        <v>59.2207</v>
      </c>
    </row>
    <row r="582">
      <c r="A582" s="9" t="n">
        <v>43862</v>
      </c>
      <c r="B582" s="11" t="n">
        <v>0.926</v>
      </c>
      <c r="C582" s="11" t="n">
        <v>10.3323</v>
      </c>
      <c r="D582" s="11" t="n">
        <v>18.5019</v>
      </c>
      <c r="E582" s="11" t="n">
        <v>17.8997</v>
      </c>
      <c r="F582" s="11" t="n">
        <v>52.3402</v>
      </c>
    </row>
    <row r="583">
      <c r="A583" s="9" t="n">
        <v>43891</v>
      </c>
      <c r="B583" s="11" t="n">
        <v>0.3228</v>
      </c>
      <c r="C583" s="11" t="n">
        <v>13.1647</v>
      </c>
      <c r="D583" s="11" t="n">
        <v>5.4582</v>
      </c>
      <c r="E583" s="11" t="n">
        <v>22.3773</v>
      </c>
      <c r="F583" s="11" t="n">
        <v>58.677</v>
      </c>
    </row>
    <row r="584">
      <c r="A584" s="9" t="n">
        <v>43922</v>
      </c>
      <c r="B584" s="11" t="n">
        <v>9.573700000000001</v>
      </c>
      <c r="C584" s="11" t="n">
        <v>6.014</v>
      </c>
      <c r="D584" s="11" t="n">
        <v>6.2298</v>
      </c>
      <c r="E584" s="11" t="n">
        <v>19.2977</v>
      </c>
      <c r="F584" s="11" t="n">
        <v>58.8848</v>
      </c>
    </row>
    <row r="585">
      <c r="A585" s="9" t="n">
        <v>43952</v>
      </c>
      <c r="B585" s="11" t="n">
        <v>2.1526</v>
      </c>
      <c r="C585" s="11" t="n">
        <v>9.2096</v>
      </c>
      <c r="D585" s="11" t="n">
        <v>9.311500000000001</v>
      </c>
      <c r="E585" s="11" t="n">
        <v>21.5492</v>
      </c>
      <c r="F585" s="11" t="n">
        <v>57.7772</v>
      </c>
    </row>
    <row r="586">
      <c r="A586" s="9" t="n">
        <v>43983</v>
      </c>
      <c r="B586" s="11" t="n">
        <v>2.2111</v>
      </c>
      <c r="C586" s="11" t="n">
        <v>8.2896</v>
      </c>
      <c r="D586" s="11" t="n">
        <v>9.951000000000001</v>
      </c>
      <c r="E586" s="11" t="n">
        <v>16.5742</v>
      </c>
      <c r="F586" s="11" t="n">
        <v>62.9741</v>
      </c>
    </row>
    <row r="587">
      <c r="A587" s="9" t="n">
        <v>44013</v>
      </c>
      <c r="B587" s="11" t="n">
        <v>2.2111</v>
      </c>
      <c r="C587" s="11" t="n">
        <v>5.671</v>
      </c>
      <c r="D587" s="11" t="n">
        <v>4.8529</v>
      </c>
      <c r="E587" s="11" t="n">
        <v>19.208</v>
      </c>
      <c r="F587" s="11" t="n">
        <v>68.057</v>
      </c>
    </row>
    <row r="588">
      <c r="A588" s="9" t="n">
        <v>44044</v>
      </c>
      <c r="B588" s="11" t="n">
        <v>2.2111</v>
      </c>
      <c r="C588" s="11" t="n">
        <v>5.8758</v>
      </c>
      <c r="D588" s="11" t="n">
        <v>3.8351</v>
      </c>
      <c r="E588" s="11" t="n">
        <v>17.8916</v>
      </c>
      <c r="F588" s="11" t="n">
        <v>70.18640000000001</v>
      </c>
    </row>
    <row r="589">
      <c r="A589" s="9" t="n">
        <v>44075</v>
      </c>
      <c r="B589" s="11" t="n">
        <v>2.2111</v>
      </c>
      <c r="C589" s="11" t="n">
        <v>1.3577</v>
      </c>
      <c r="D589" s="11" t="n">
        <v>12.2519</v>
      </c>
      <c r="E589" s="11" t="n">
        <v>13.7276</v>
      </c>
      <c r="F589" s="11" t="n">
        <v>70.4517</v>
      </c>
    </row>
    <row r="590">
      <c r="A590" s="9" t="n">
        <v>44105</v>
      </c>
      <c r="B590" s="11" t="n">
        <v>2.2111</v>
      </c>
      <c r="C590" s="11" t="n">
        <v>2.9021</v>
      </c>
      <c r="D590" s="11" t="n">
        <v>10.4402</v>
      </c>
      <c r="E590" s="11" t="n">
        <v>14.9714</v>
      </c>
      <c r="F590" s="11" t="n">
        <v>69.4753</v>
      </c>
    </row>
    <row r="591">
      <c r="A591" s="9" t="n">
        <v>44136</v>
      </c>
      <c r="B591" s="11" t="n">
        <v>0.3813</v>
      </c>
      <c r="C591" s="11" t="n">
        <v>5.0718</v>
      </c>
      <c r="D591" s="11" t="n">
        <v>9.7654</v>
      </c>
      <c r="E591" s="11" t="n">
        <v>3.0968</v>
      </c>
      <c r="F591" s="11" t="n">
        <v>81.6848</v>
      </c>
    </row>
    <row r="592">
      <c r="A592" s="9" t="n">
        <v>44166</v>
      </c>
      <c r="B592" s="11" t="n">
        <v>3.7542</v>
      </c>
      <c r="C592" s="11" t="n">
        <v>0.2088</v>
      </c>
      <c r="D592" s="11" t="n">
        <v>8.090400000000001</v>
      </c>
      <c r="E592" s="11" t="n">
        <v>10.5697</v>
      </c>
      <c r="F592" s="11" t="n">
        <v>77.37690000000001</v>
      </c>
    </row>
    <row r="593">
      <c r="A593" s="9" t="n">
        <v>44197</v>
      </c>
      <c r="B593" s="11" t="n">
        <v>4.6674</v>
      </c>
      <c r="C593" s="11" t="n">
        <v>5.8867</v>
      </c>
      <c r="D593" s="11" t="n">
        <v>5.7183</v>
      </c>
      <c r="E593" s="11" t="n">
        <v>10.9504</v>
      </c>
      <c r="F593" s="11" t="n">
        <v>72.77719999999999</v>
      </c>
    </row>
    <row r="594">
      <c r="A594" s="9" t="n">
        <v>44228</v>
      </c>
      <c r="B594" s="11" t="n">
        <v>3.4874</v>
      </c>
      <c r="C594" s="11" t="n">
        <v>1.2808</v>
      </c>
      <c r="D594" s="11" t="n">
        <v>6.7237</v>
      </c>
      <c r="E594" s="11" t="n">
        <v>2.365</v>
      </c>
      <c r="F594" s="11" t="n">
        <v>86.143</v>
      </c>
    </row>
    <row r="595">
      <c r="A595" s="9" t="n">
        <v>44256</v>
      </c>
      <c r="B595" s="11" t="n">
        <v>13.032</v>
      </c>
      <c r="C595" s="11" t="n">
        <v>0.7645</v>
      </c>
      <c r="D595" s="11" t="n">
        <v>3.2535</v>
      </c>
      <c r="E595" s="11" t="n">
        <v>8.355499999999999</v>
      </c>
      <c r="F595" s="11" t="n">
        <v>74.5946</v>
      </c>
    </row>
    <row r="596">
      <c r="A596" s="9" t="n">
        <v>44287</v>
      </c>
      <c r="B596" s="11" t="n">
        <v>10.4956</v>
      </c>
      <c r="C596" s="11" t="n">
        <v>1.4986</v>
      </c>
      <c r="D596" s="11" t="n">
        <v>4.98</v>
      </c>
      <c r="E596" s="11" t="n">
        <v>5.3703</v>
      </c>
      <c r="F596" s="11" t="n">
        <v>77.6554</v>
      </c>
    </row>
    <row r="597">
      <c r="A597" s="9" t="n">
        <v>44317</v>
      </c>
      <c r="B597" s="11" t="n">
        <v>11.0593</v>
      </c>
      <c r="C597" s="11" t="n">
        <v>0.8693</v>
      </c>
      <c r="D597" s="11" t="n">
        <v>5.2896</v>
      </c>
      <c r="E597" s="11" t="n">
        <v>6.3869</v>
      </c>
      <c r="F597" s="11" t="n">
        <v>76.3948</v>
      </c>
    </row>
    <row r="598">
      <c r="A598" s="9" t="n">
        <v>44348</v>
      </c>
      <c r="B598" s="11" t="n">
        <v>11.024</v>
      </c>
      <c r="C598" s="11" t="n">
        <v>1.2052</v>
      </c>
      <c r="D598" s="11" t="n">
        <v>9.754300000000001</v>
      </c>
      <c r="E598" s="11" t="n">
        <v>1.4412</v>
      </c>
      <c r="F598" s="11" t="n">
        <v>76.5753</v>
      </c>
    </row>
    <row r="599">
      <c r="A599" s="9" t="n">
        <v>44378</v>
      </c>
      <c r="B599" s="11" t="n">
        <v>13.7057</v>
      </c>
      <c r="C599" s="11" t="n">
        <v>2.2994</v>
      </c>
      <c r="D599" s="11" t="n">
        <v>9.391299999999999</v>
      </c>
      <c r="E599" s="11" t="n">
        <v>4.1399</v>
      </c>
      <c r="F599" s="11" t="n">
        <v>70.4637</v>
      </c>
    </row>
    <row r="600">
      <c r="A600" s="9" t="n">
        <v>44409</v>
      </c>
      <c r="B600" s="11" t="n">
        <v>14.0042</v>
      </c>
      <c r="C600" s="11" t="n">
        <v>3.2131</v>
      </c>
      <c r="D600" s="11" t="n">
        <v>7.6849</v>
      </c>
      <c r="E600" s="11" t="n">
        <v>6.3688</v>
      </c>
      <c r="F600" s="11" t="n">
        <v>68.7291</v>
      </c>
    </row>
    <row r="601">
      <c r="A601" s="9" t="n">
        <v>44440</v>
      </c>
      <c r="B601" s="11" t="n">
        <v>14.0042</v>
      </c>
      <c r="C601" s="11" t="n">
        <v>0.6364</v>
      </c>
      <c r="D601" s="11" t="n">
        <v>11.1279</v>
      </c>
      <c r="E601" s="11" t="n">
        <v>10.2071</v>
      </c>
      <c r="F601" s="11" t="n">
        <v>64.0244</v>
      </c>
    </row>
    <row r="602">
      <c r="A602" s="9" t="n">
        <v>44470</v>
      </c>
      <c r="B602" s="11" t="n">
        <v>13.7057</v>
      </c>
      <c r="C602" s="11" t="n">
        <v>2.958</v>
      </c>
      <c r="D602" s="11" t="n">
        <v>11.5555</v>
      </c>
      <c r="E602" s="11" t="n">
        <v>21.1697</v>
      </c>
      <c r="F602" s="11" t="n">
        <v>50.6112</v>
      </c>
    </row>
    <row r="603">
      <c r="A603" s="9" t="n">
        <v>44501</v>
      </c>
      <c r="B603" s="11" t="n">
        <v>16.5446</v>
      </c>
      <c r="C603" s="11" t="n">
        <v>5.4823</v>
      </c>
      <c r="D603" s="11" t="n">
        <v>23.3773</v>
      </c>
      <c r="E603" s="11" t="n">
        <v>14.7989</v>
      </c>
      <c r="F603" s="11" t="n">
        <v>39.7969</v>
      </c>
    </row>
    <row r="604">
      <c r="A604" s="9" t="n">
        <v>44531</v>
      </c>
      <c r="B604" s="11" t="n">
        <v>19.781</v>
      </c>
      <c r="C604" s="11" t="n">
        <v>17.3061</v>
      </c>
      <c r="D604" s="11" t="n">
        <v>23.3692</v>
      </c>
      <c r="E604" s="11" t="n">
        <v>4.0351</v>
      </c>
      <c r="F604" s="11" t="n">
        <v>35.5087</v>
      </c>
    </row>
    <row r="605">
      <c r="A605" s="9" t="n">
        <v>44562</v>
      </c>
      <c r="B605" s="11" t="n">
        <v>26.6192</v>
      </c>
      <c r="C605" s="11" t="n">
        <v>17.5229</v>
      </c>
      <c r="D605" s="11" t="n">
        <v>24.0796</v>
      </c>
      <c r="E605" s="11" t="n">
        <v>5.7869</v>
      </c>
      <c r="F605" s="11" t="n">
        <v>25.9915</v>
      </c>
    </row>
    <row r="606">
      <c r="A606" s="9" t="n">
        <v>44593</v>
      </c>
      <c r="B606" s="11" t="n">
        <v>27.9195</v>
      </c>
      <c r="C606" s="11" t="n">
        <v>37.9437</v>
      </c>
      <c r="D606" s="11" t="n">
        <v>12.0923</v>
      </c>
      <c r="E606" s="11" t="n">
        <v>4.1122</v>
      </c>
      <c r="F606" s="11" t="n">
        <v>17.9323</v>
      </c>
    </row>
    <row r="607">
      <c r="A607" s="9" t="n">
        <v>44621</v>
      </c>
      <c r="B607" s="11" t="n">
        <v>35.1609</v>
      </c>
      <c r="C607" s="11" t="n">
        <v>34.1699</v>
      </c>
      <c r="D607" s="11" t="n">
        <v>10.3385</v>
      </c>
      <c r="E607" s="11" t="n">
        <v>1.974</v>
      </c>
      <c r="F607" s="11" t="n">
        <v>18.3567</v>
      </c>
    </row>
    <row r="608">
      <c r="A608" s="9" t="n">
        <v>44652</v>
      </c>
      <c r="B608" s="11" t="n">
        <v>45.3352</v>
      </c>
      <c r="C608" s="11" t="n">
        <v>24.555</v>
      </c>
      <c r="D608" s="11" t="n">
        <v>6.901</v>
      </c>
      <c r="E608" s="11" t="n">
        <v>1.4535</v>
      </c>
      <c r="F608" s="11" t="n">
        <v>21.7552</v>
      </c>
    </row>
    <row r="609">
      <c r="A609" s="9" t="n">
        <v>44682</v>
      </c>
      <c r="B609" s="11" t="n">
        <v>45.7877</v>
      </c>
      <c r="C609" s="11" t="n">
        <v>24.3518</v>
      </c>
      <c r="D609" s="11" t="n">
        <v>6.0121</v>
      </c>
      <c r="E609" s="11" t="n">
        <v>0.8599</v>
      </c>
      <c r="F609" s="11" t="n">
        <v>22.9884</v>
      </c>
    </row>
    <row r="610">
      <c r="A610" s="9" t="n">
        <v>44713</v>
      </c>
      <c r="B610" s="11" t="n">
        <v>60.8881</v>
      </c>
      <c r="C610" s="11" t="n">
        <v>9.295500000000001</v>
      </c>
      <c r="D610" s="11" t="n">
        <v>5.896</v>
      </c>
      <c r="E610" s="11" t="n">
        <v>4.0712</v>
      </c>
      <c r="F610" s="11" t="n">
        <v>19.8492</v>
      </c>
    </row>
    <row r="611">
      <c r="A611" s="9" t="n">
        <v>44743</v>
      </c>
      <c r="B611" s="11" t="n">
        <v>61.3476</v>
      </c>
      <c r="C611" s="11" t="n">
        <v>8.836</v>
      </c>
      <c r="D611" s="11" t="n">
        <v>6.837</v>
      </c>
      <c r="E611" s="11" t="n">
        <v>3.4475</v>
      </c>
      <c r="F611" s="11" t="n">
        <v>19.5319</v>
      </c>
    </row>
    <row r="612">
      <c r="A612" s="9" t="n">
        <v>44774</v>
      </c>
      <c r="B612" s="11" t="n">
        <v>61.8721</v>
      </c>
      <c r="C612" s="11" t="n">
        <v>9.748900000000001</v>
      </c>
      <c r="D612" s="11" t="n">
        <v>5.4105</v>
      </c>
      <c r="E612" s="11" t="n">
        <v>4.1212</v>
      </c>
      <c r="F612" s="11" t="n">
        <v>18.8472</v>
      </c>
    </row>
    <row r="613">
      <c r="A613" s="9" t="n">
        <v>44805</v>
      </c>
      <c r="B613" s="11" t="n">
        <v>61.9742</v>
      </c>
      <c r="C613" s="11" t="n">
        <v>15.7941</v>
      </c>
      <c r="D613" s="11" t="n">
        <v>4.0762</v>
      </c>
      <c r="E613" s="11" t="n">
        <v>6.9541</v>
      </c>
      <c r="F613" s="11" t="n">
        <v>11.2014</v>
      </c>
    </row>
    <row r="614">
      <c r="A614" s="9" t="n">
        <v>44835</v>
      </c>
      <c r="B614" s="11" t="n">
        <v>60.6078</v>
      </c>
      <c r="C614" s="11" t="n">
        <v>7.3255</v>
      </c>
      <c r="D614" s="11" t="n">
        <v>4.4205</v>
      </c>
      <c r="E614" s="11" t="n">
        <v>6.8099</v>
      </c>
      <c r="F614" s="11" t="n">
        <v>20.8363</v>
      </c>
    </row>
    <row r="615">
      <c r="A615" s="9" t="n">
        <v>44866</v>
      </c>
      <c r="B615" s="11" t="n">
        <v>60.3786</v>
      </c>
      <c r="C615" s="11" t="n">
        <v>7.6208</v>
      </c>
      <c r="D615" s="11" t="n">
        <v>4.5456</v>
      </c>
      <c r="E615" s="11" t="n">
        <v>5.1713</v>
      </c>
      <c r="F615" s="11" t="n">
        <v>22.2837</v>
      </c>
    </row>
    <row r="616">
      <c r="A616" s="9" t="n">
        <v>44896</v>
      </c>
      <c r="B616" s="11" t="n">
        <v>57.0061</v>
      </c>
      <c r="C616" s="11" t="n">
        <v>6.7179</v>
      </c>
      <c r="D616" s="11" t="n">
        <v>7.0902</v>
      </c>
      <c r="E616" s="11" t="n">
        <v>3.2233</v>
      </c>
      <c r="F616" s="11" t="n">
        <v>25.9625</v>
      </c>
    </row>
    <row r="617">
      <c r="A617" s="9" t="n">
        <v>44927</v>
      </c>
      <c r="B617" s="11" t="n">
        <v>60.7984</v>
      </c>
      <c r="C617" s="11" t="n">
        <v>11.8617</v>
      </c>
      <c r="D617" s="11" t="n">
        <v>8.7204</v>
      </c>
      <c r="E617" s="11" t="n">
        <v>4.3071</v>
      </c>
      <c r="F617" s="11" t="n">
        <v>14.3124</v>
      </c>
    </row>
    <row r="618">
      <c r="A618" s="9" t="n">
        <v>44958</v>
      </c>
      <c r="B618" s="11" t="n">
        <v>57.545</v>
      </c>
      <c r="C618" s="11" t="n">
        <v>10.1044</v>
      </c>
      <c r="D618" s="11" t="n">
        <v>10.973</v>
      </c>
      <c r="E618" s="11" t="n">
        <v>1.6412</v>
      </c>
      <c r="F618" s="11" t="n">
        <v>19.7364</v>
      </c>
    </row>
    <row r="619">
      <c r="A619" s="9" t="n">
        <v>44986</v>
      </c>
      <c r="B619" s="11" t="n">
        <v>57.53</v>
      </c>
      <c r="C619" s="11" t="n">
        <v>11.8797</v>
      </c>
      <c r="D619" s="11" t="n">
        <v>9.2658</v>
      </c>
      <c r="E619" s="11" t="n">
        <v>1.2969</v>
      </c>
      <c r="F619" s="11" t="n">
        <v>20.0276</v>
      </c>
    </row>
    <row r="620">
      <c r="A620" s="9" t="n">
        <v>45017</v>
      </c>
      <c r="B620" s="11" t="n">
        <v>51.7378</v>
      </c>
      <c r="C620" s="11" t="n">
        <v>13.5559</v>
      </c>
      <c r="D620" s="11" t="n">
        <v>13.2397</v>
      </c>
      <c r="E620" s="11" t="n">
        <v>0.1291</v>
      </c>
      <c r="F620" s="11" t="n">
        <v>21.3376</v>
      </c>
    </row>
    <row r="621">
      <c r="A621" s="9" t="n">
        <v>45047</v>
      </c>
      <c r="B621" s="11" t="n">
        <v>52.4193</v>
      </c>
      <c r="C621" s="11" t="n">
        <v>14.7908</v>
      </c>
      <c r="D621" s="11" t="n">
        <v>8.7174</v>
      </c>
      <c r="E621" s="11" t="n">
        <v>2.69</v>
      </c>
      <c r="F621" s="11" t="n">
        <v>21.3826</v>
      </c>
    </row>
    <row r="622">
      <c r="A622" s="9" t="n">
        <v>45078</v>
      </c>
      <c r="B622" s="11" t="n">
        <v>52.8055</v>
      </c>
      <c r="C622" s="11" t="n">
        <v>13.0986</v>
      </c>
      <c r="D622" s="11" t="n">
        <v>8.4612</v>
      </c>
      <c r="E622" s="11" t="n">
        <v>2.1005</v>
      </c>
      <c r="F622" s="11" t="n">
        <v>23.5342</v>
      </c>
    </row>
    <row r="623">
      <c r="A623" s="9" t="n">
        <v>45108</v>
      </c>
      <c r="B623" s="11" t="n">
        <v>55.7877</v>
      </c>
      <c r="C623" s="11" t="n">
        <v>10.4466</v>
      </c>
      <c r="D623" s="11" t="n">
        <v>10.2935</v>
      </c>
      <c r="E623" s="11" t="n">
        <v>0.9897</v>
      </c>
      <c r="F623" s="11" t="n">
        <v>22.4824</v>
      </c>
    </row>
    <row r="624">
      <c r="A624" s="9" t="n">
        <v>45139</v>
      </c>
      <c r="B624" s="11" t="n">
        <v>55.5946</v>
      </c>
      <c r="C624" s="11" t="n">
        <v>9.4399</v>
      </c>
      <c r="D624" s="11" t="n">
        <v>9.617000000000001</v>
      </c>
      <c r="E624" s="11" t="n">
        <v>2.2627</v>
      </c>
      <c r="F624" s="11" t="n">
        <v>23.0859</v>
      </c>
    </row>
    <row r="625">
      <c r="A625" s="9" t="n">
        <v>45170</v>
      </c>
      <c r="B625" s="11" t="n">
        <v>59.5395</v>
      </c>
      <c r="C625" s="11" t="n">
        <v>9.462899999999999</v>
      </c>
      <c r="D625" s="11" t="n">
        <v>10.3686</v>
      </c>
      <c r="E625" s="11" t="n">
        <v>2.2066</v>
      </c>
      <c r="F625" s="11" t="n">
        <v>18.4224</v>
      </c>
    </row>
    <row r="626">
      <c r="A626" s="9" t="n">
        <v>45200</v>
      </c>
      <c r="B626" s="11" t="n">
        <v>50.1466</v>
      </c>
      <c r="C626" s="11" t="n">
        <v>14.5456</v>
      </c>
      <c r="D626" s="11" t="n">
        <v>15.2021</v>
      </c>
      <c r="E626" s="11" t="n">
        <v>2.699</v>
      </c>
      <c r="F626" s="11" t="n">
        <v>17.4067</v>
      </c>
    </row>
    <row r="627">
      <c r="A627" s="9" t="n">
        <v>45231</v>
      </c>
      <c r="B627" s="11" t="n">
        <v>44.7767</v>
      </c>
      <c r="C627" s="11" t="n">
        <v>18.9578</v>
      </c>
      <c r="D627" s="11" t="n">
        <v>13.7811</v>
      </c>
      <c r="E627" s="11" t="n">
        <v>0</v>
      </c>
      <c r="F627" s="11" t="n">
        <v>22.4844</v>
      </c>
    </row>
    <row r="628">
      <c r="A628" s="9" t="n">
        <v>45261</v>
      </c>
      <c r="B628" s="11" t="n">
        <v>40.5866</v>
      </c>
      <c r="C628" s="11" t="n">
        <v>25.6637</v>
      </c>
      <c r="D628" s="11" t="n">
        <v>9.277799999999999</v>
      </c>
      <c r="E628" s="11" t="n">
        <v>7.6276</v>
      </c>
      <c r="F628" s="11" t="n">
        <v>16.8443</v>
      </c>
    </row>
    <row r="629">
      <c r="A629" s="9" t="n">
        <v>45292</v>
      </c>
      <c r="B629" s="11" t="n">
        <v>42.3563</v>
      </c>
      <c r="C629" s="11" t="n">
        <v>20.4611</v>
      </c>
      <c r="D629" s="11" t="n">
        <v>11.9809</v>
      </c>
      <c r="E629" s="11" t="n">
        <v>3.8549</v>
      </c>
      <c r="F629" s="11" t="n">
        <v>21.3468</v>
      </c>
    </row>
    <row r="630">
      <c r="A630" s="9" t="n">
        <v>45323</v>
      </c>
      <c r="B630" s="11" t="n">
        <v>25.71</v>
      </c>
      <c r="C630" s="11" t="n">
        <v>26.8559</v>
      </c>
      <c r="D630" s="11" t="n">
        <v>17.6741</v>
      </c>
      <c r="E630" s="11" t="n">
        <v>6.4938</v>
      </c>
      <c r="F630" s="11" t="n">
        <v>23.2662</v>
      </c>
    </row>
    <row r="631">
      <c r="A631" s="9" t="n">
        <v>45352</v>
      </c>
      <c r="B631" s="11" t="n">
        <v>27.3062</v>
      </c>
      <c r="C631" s="11" t="n">
        <v>24.3921</v>
      </c>
      <c r="D631" s="11" t="n">
        <v>15.3333</v>
      </c>
      <c r="E631" s="11" t="n">
        <v>7.8338</v>
      </c>
      <c r="F631" s="11" t="n">
        <v>25.1346</v>
      </c>
    </row>
    <row r="632">
      <c r="A632" s="9" t="n">
        <v>45383</v>
      </c>
      <c r="B632" s="11" t="n">
        <v>24.0788</v>
      </c>
      <c r="C632" s="11" t="n">
        <v>26.4946</v>
      </c>
      <c r="D632" s="11" t="n">
        <v>14.5338</v>
      </c>
      <c r="E632" s="11" t="n">
        <v>8.935600000000001</v>
      </c>
      <c r="F632" s="11" t="n">
        <v>25.9572</v>
      </c>
    </row>
    <row r="633">
      <c r="A633" s="9" t="n">
        <v>45413</v>
      </c>
      <c r="B633" s="11" t="n">
        <v>19.3503</v>
      </c>
      <c r="C633" s="11" t="n">
        <v>27.5724</v>
      </c>
      <c r="D633" s="11" t="n">
        <v>22.0353</v>
      </c>
      <c r="E633" s="11" t="n">
        <v>8.6944</v>
      </c>
      <c r="F633" s="11" t="n">
        <v>22.3475</v>
      </c>
    </row>
    <row r="634">
      <c r="A634" s="9" t="n">
        <v>45444</v>
      </c>
      <c r="B634" s="11" t="n">
        <v>14.9371</v>
      </c>
      <c r="C634" s="11" t="n">
        <v>32.2299</v>
      </c>
      <c r="D634" s="11" t="n">
        <v>16.0118</v>
      </c>
      <c r="E634" s="11" t="n">
        <v>9.6952</v>
      </c>
      <c r="F634" s="11" t="n">
        <v>27.1261</v>
      </c>
    </row>
    <row r="635">
      <c r="A635" s="9" t="n">
        <v>45474</v>
      </c>
      <c r="B635" s="11" t="n">
        <v>11.3984</v>
      </c>
      <c r="C635" s="11" t="n">
        <v>27.9927</v>
      </c>
      <c r="D635" s="11" t="n">
        <v>24.7003</v>
      </c>
      <c r="E635" s="11" t="n">
        <v>9.235799999999999</v>
      </c>
      <c r="F635" s="11" t="n">
        <v>26.6727</v>
      </c>
    </row>
    <row r="636">
      <c r="A636" s="9" t="n">
        <v>45505</v>
      </c>
      <c r="B636" s="11" t="n">
        <v>13.523</v>
      </c>
      <c r="C636" s="11" t="n">
        <v>22.7949</v>
      </c>
      <c r="D636" s="11" t="n">
        <v>21.7171</v>
      </c>
      <c r="E636" s="11" t="n">
        <v>5.7182</v>
      </c>
      <c r="F636" s="11" t="n">
        <v>36.2468</v>
      </c>
    </row>
    <row r="637">
      <c r="A637" s="9" t="n">
        <v>45536</v>
      </c>
      <c r="B637" s="11" t="n">
        <v>14.4457</v>
      </c>
      <c r="C637" s="11" t="n">
        <v>22.5167</v>
      </c>
      <c r="D637" s="11" t="n">
        <v>24.263</v>
      </c>
      <c r="E637" s="11" t="n">
        <v>2.701</v>
      </c>
      <c r="F637" s="11" t="n">
        <v>36.0737</v>
      </c>
    </row>
    <row r="638">
      <c r="A638" s="9" t="n">
        <v>45566</v>
      </c>
      <c r="B638" s="11" t="n">
        <v>11.7367</v>
      </c>
      <c r="C638" s="11" t="n">
        <v>27.1561</v>
      </c>
      <c r="D638" s="11" t="n">
        <v>20.6293</v>
      </c>
      <c r="E638" s="11" t="n">
        <v>4.9477</v>
      </c>
      <c r="F638" s="11" t="n">
        <v>35.5303</v>
      </c>
    </row>
    <row r="639">
      <c r="A639" s="9" t="n">
        <v>45597</v>
      </c>
      <c r="B639" s="11" t="n">
        <v>14.1064</v>
      </c>
      <c r="C639" s="11" t="n">
        <v>22.6798</v>
      </c>
      <c r="D639" s="11" t="n">
        <v>21.578</v>
      </c>
      <c r="E639" s="11" t="n">
        <v>6.5128</v>
      </c>
      <c r="F639" s="11" t="n">
        <v>35.123</v>
      </c>
    </row>
    <row r="640">
      <c r="A640" s="9" t="n">
        <v>45627</v>
      </c>
      <c r="B640" s="11" t="n">
        <v>12.3161</v>
      </c>
      <c r="C640" s="11" t="n">
        <v>27.4013</v>
      </c>
      <c r="D640" s="11" t="n">
        <v>19.2002</v>
      </c>
      <c r="E640" s="11" t="n">
        <v>0.1691</v>
      </c>
      <c r="F640" s="11" t="n">
        <v>40.9133</v>
      </c>
    </row>
    <row r="641">
      <c r="A641" s="9" t="n">
        <v>45658</v>
      </c>
      <c r="B641" s="11" t="n">
        <v>15.8727</v>
      </c>
      <c r="C641" s="11" t="n">
        <v>24.8134</v>
      </c>
      <c r="D641" s="11" t="n">
        <v>21.566</v>
      </c>
      <c r="E641" s="11" t="n">
        <v>7.1643</v>
      </c>
      <c r="F641" s="11" t="n">
        <v>30.5836</v>
      </c>
    </row>
    <row r="642">
      <c r="A642" s="9" t="n">
        <v>45689</v>
      </c>
      <c r="B642" s="11" t="n">
        <v>9.901300000000001</v>
      </c>
      <c r="C642" s="11" t="n">
        <v>39.9406</v>
      </c>
      <c r="D642" s="11" t="n">
        <v>13.8813</v>
      </c>
      <c r="E642" s="11" t="n">
        <v>5.417</v>
      </c>
      <c r="F642" s="11" t="n">
        <v>30.8598</v>
      </c>
    </row>
    <row r="643">
      <c r="A643" s="9" t="n">
        <v>45717</v>
      </c>
      <c r="B643" s="11" t="n">
        <v>12.6554</v>
      </c>
      <c r="C643" s="11" t="n">
        <v>32.3259</v>
      </c>
      <c r="D643" s="11" t="n">
        <v>15.9698</v>
      </c>
      <c r="E643" s="11" t="n">
        <v>7.0622</v>
      </c>
      <c r="F643" s="11" t="n">
        <v>31.9867</v>
      </c>
    </row>
    <row r="644">
      <c r="A644" s="9" t="n">
        <v>45748</v>
      </c>
      <c r="B644" s="11" t="n">
        <v>12.5093</v>
      </c>
      <c r="C644" s="11" t="n">
        <v>35.9046</v>
      </c>
      <c r="D644" s="11" t="n">
        <v>12.0189</v>
      </c>
      <c r="E644" s="11" t="n">
        <v>6.9261</v>
      </c>
      <c r="F644" s="11" t="n">
        <v>32.6412</v>
      </c>
    </row>
    <row r="645">
      <c r="A645" s="9" t="n">
        <v>45778</v>
      </c>
      <c r="B645" s="11" t="n">
        <v>12.0199</v>
      </c>
      <c r="C645" s="11" t="n">
        <v>34.2153</v>
      </c>
      <c r="D645" s="11" t="n">
        <v>16.178</v>
      </c>
      <c r="E645" s="11" t="n">
        <v>5.2779</v>
      </c>
      <c r="F645" s="11" t="n">
        <v>32.3089</v>
      </c>
    </row>
    <row r="646">
      <c r="A646" s="9" t="n">
        <v>45809</v>
      </c>
      <c r="B646" s="11" t="n">
        <v>15.0792</v>
      </c>
      <c r="C646" s="11" t="n">
        <v>35.5923</v>
      </c>
      <c r="D646" s="11" t="n">
        <v>14.2676</v>
      </c>
      <c r="E646" s="11" t="n">
        <v>4.7035</v>
      </c>
      <c r="F646" s="11" t="n">
        <v>30.3575</v>
      </c>
    </row>
    <row r="647">
      <c r="A647" s="9" t="n">
        <v>45839</v>
      </c>
      <c r="B647" s="11" t="n">
        <v>16.9756</v>
      </c>
      <c r="C647" s="11" t="n">
        <v>31.3832</v>
      </c>
      <c r="D647" s="11" t="n">
        <v>13.8833</v>
      </c>
      <c r="E647" s="11" t="n">
        <v>7.1723</v>
      </c>
      <c r="F647" s="11" t="n">
        <v>30.5856</v>
      </c>
    </row>
    <row r="648">
      <c r="A648" s="9" t="n">
        <v>45870</v>
      </c>
      <c r="B648" s="11" t="n">
        <v>16.9045</v>
      </c>
      <c r="C648" s="11" t="n">
        <v>30.2184</v>
      </c>
      <c r="D648" s="11" t="n">
        <v>14.7409</v>
      </c>
      <c r="E648" s="11" t="n">
        <v>7.8008</v>
      </c>
      <c r="F648" s="11" t="n">
        <v>30.3354</v>
      </c>
    </row>
    <row r="649">
      <c r="A649" s="9" t="n">
        <v>45901</v>
      </c>
      <c r="B649" s="11" t="n">
        <v>14.9871</v>
      </c>
      <c r="C649" s="11" t="n">
        <v>31.2501</v>
      </c>
      <c r="D649" s="11" t="n">
        <v>15.0061</v>
      </c>
      <c r="E649" s="11" t="n">
        <v>8.437200000000001</v>
      </c>
      <c r="F649" s="11" t="n">
        <v>30.3194</v>
      </c>
    </row>
    <row r="650">
      <c r="A650" s="9" t="n">
        <v>45931</v>
      </c>
      <c r="B650" s="11" t="n">
        <v>18.0744</v>
      </c>
      <c r="C650" s="11" t="n">
        <v>26.8849</v>
      </c>
      <c r="D650" s="11" t="n">
        <v>17.3178</v>
      </c>
      <c r="E650" s="11" t="n">
        <v>2.4938</v>
      </c>
      <c r="F650" s="11" t="n">
        <v>35.2291</v>
      </c>
    </row>
    <row r="651">
      <c r="A651" s="9" t="n">
        <v>45962</v>
      </c>
      <c r="B651" s="11" t="n">
        <v>19.4484</v>
      </c>
      <c r="C651" s="11" t="n">
        <v>26.2895</v>
      </c>
      <c r="D651" s="11" t="n">
        <v>18.3296</v>
      </c>
      <c r="E651" s="11" t="n">
        <v>4.3882</v>
      </c>
      <c r="F651" s="11" t="n">
        <v>31.5443</v>
      </c>
    </row>
    <row r="652">
      <c r="A652" s="9" t="n">
        <v>45992</v>
      </c>
      <c r="B652" s="11" t="n">
        <v>19.9718</v>
      </c>
      <c r="C652" s="11" t="n">
        <v>24.8964</v>
      </c>
      <c r="D652" s="11" t="n">
        <v>18.3816</v>
      </c>
      <c r="E652" s="11" t="n">
        <v>5.9644</v>
      </c>
      <c r="F652" s="11" t="n">
        <v>30.7858</v>
      </c>
    </row>
    <row r="653">
      <c r="A653" s="9" t="n">
        <v>46023</v>
      </c>
      <c r="B653" s="11" t="n">
        <v>16.0993</v>
      </c>
      <c r="C653" s="11" t="n">
        <v>34.9048</v>
      </c>
      <c r="D653" s="11" t="n">
        <v>16.7745</v>
      </c>
      <c r="E653" s="11" t="n">
        <v>1.5338</v>
      </c>
      <c r="F653" s="11" t="n">
        <v>30.6876</v>
      </c>
    </row>
    <row r="654">
      <c r="A654" s="9" t="n">
        <v>46054</v>
      </c>
      <c r="B654" s="11" t="n">
        <v>15.2863</v>
      </c>
      <c r="C654" s="11" t="n">
        <v>32.3436</v>
      </c>
      <c r="D654" s="11" t="n">
        <v>14.7581</v>
      </c>
      <c r="E654" s="11" t="n">
        <v>1.1786</v>
      </c>
      <c r="F654" s="11" t="n">
        <v>36.4334</v>
      </c>
    </row>
    <row r="655">
      <c r="A655" s="9" t="n">
        <v>46082</v>
      </c>
      <c r="B655" s="11" t="n">
        <v>12.5791</v>
      </c>
      <c r="C655" s="11" t="n">
        <v>40.7687</v>
      </c>
      <c r="D655" s="11" t="n">
        <v>17.9407</v>
      </c>
      <c r="E655" s="11" t="n">
        <v>0.8772</v>
      </c>
      <c r="F655" s="11" t="n">
        <v>27.8343</v>
      </c>
    </row>
    <row r="656">
      <c r="A656" s="9" t="n">
        <v>46113</v>
      </c>
      <c r="B656" s="11" t="n">
        <v>20.2823</v>
      </c>
      <c r="C656" s="11" t="n">
        <v>37.5944</v>
      </c>
      <c r="D656" s="11" t="n">
        <v>13.1974</v>
      </c>
      <c r="E656" s="11" t="n">
        <v>2.2111</v>
      </c>
      <c r="F656" s="11" t="n">
        <v>26.7148</v>
      </c>
    </row>
    <row r="657">
      <c r="A657" s="9" t="n">
        <v>46143</v>
      </c>
      <c r="B657" s="11" t="n">
        <v>19.0199</v>
      </c>
      <c r="C657" s="11" t="n">
        <v>34.4045</v>
      </c>
      <c r="D657" s="11" t="n">
        <v>18.8262</v>
      </c>
      <c r="E657" s="11" t="n">
        <v>3.0272</v>
      </c>
      <c r="F657" s="11" t="n">
        <v>24.7222</v>
      </c>
    </row>
    <row r="658">
      <c r="A658" s="9" t="n">
        <v>46174</v>
      </c>
      <c r="B658" s="11" t="n">
        <v>19.3129</v>
      </c>
      <c r="C658" s="11" t="n">
        <v>35.7923</v>
      </c>
      <c r="D658" s="11" t="n">
        <v>19.4755</v>
      </c>
      <c r="E658" s="11" t="n">
        <v>1.9439</v>
      </c>
      <c r="F658" s="11" t="n">
        <v>23.4753</v>
      </c>
    </row>
    <row r="659">
      <c r="A659" s="9" t="n">
        <v>46204</v>
      </c>
      <c r="B659" s="11" t="n">
        <v>15.1796</v>
      </c>
      <c r="C659" s="11" t="n">
        <v>36.7948</v>
      </c>
      <c r="D659" s="11" t="n">
        <v>23.6865</v>
      </c>
      <c r="E659" s="11" t="n">
        <v>2.0817</v>
      </c>
      <c r="F659" s="11" t="n">
        <v>22.2573</v>
      </c>
    </row>
    <row r="660">
      <c r="A660" s="9" t="n">
        <v>46235</v>
      </c>
      <c r="B660" s="11" t="n">
        <v>14.3925</v>
      </c>
      <c r="C660" s="11" t="n">
        <v>31.5917</v>
      </c>
      <c r="D660" s="11" t="n">
        <v>31.6942</v>
      </c>
      <c r="E660" s="11" t="n">
        <v>2.3499</v>
      </c>
      <c r="F660" s="11" t="n">
        <v>19.9716</v>
      </c>
    </row>
    <row r="661">
      <c r="A661" s="9" t="n">
        <v>46266</v>
      </c>
      <c r="B661" s="11" t="n">
        <v>19.6361</v>
      </c>
      <c r="C661" s="11" t="n">
        <v>30.3065</v>
      </c>
      <c r="D661" s="11" t="n">
        <v>26.5719</v>
      </c>
      <c r="E661" s="11" t="n">
        <v>5.5646</v>
      </c>
      <c r="F661" s="11" t="n">
        <v>17.921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6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Sottostanti</t>
        </is>
      </c>
    </row>
    <row r="2">
      <c r="A2" s="4" t="inlineStr">
        <is>
          <t>Domestica/Supercore con i flag del BCE Statistics Paper 54; troncate e mediana sulle variazioni annue delle voci.</t>
        </is>
      </c>
    </row>
    <row r="4">
      <c r="A4" s="13" t="inlineStr">
        <is>
          <t>Area euro - misure sottostanti, a/a %</t>
        </is>
      </c>
    </row>
    <row r="5">
      <c r="A5" s="5" t="inlineStr">
        <is>
          <t>Mese</t>
        </is>
      </c>
      <c r="B5" s="5" t="inlineStr">
        <is>
          <t>Domestica (voci HICPX a basso import, flag BCE)</t>
        </is>
      </c>
      <c r="C5" s="5" t="inlineStr">
        <is>
          <t>Importata (voci HICPX non domestiche)</t>
        </is>
      </c>
      <c r="D5" s="5" t="inlineStr">
        <is>
          <t>Supercore (voci cicliche, flag BCE)</t>
        </is>
      </c>
      <c r="E5" s="5" t="inlineStr">
        <is>
          <t>Non Supercore (voci HICPX acicliche)</t>
        </is>
      </c>
      <c r="F5" s="5" t="inlineStr">
        <is>
          <t>Media troncata 10%</t>
        </is>
      </c>
      <c r="G5" s="5" t="inlineStr">
        <is>
          <t>Media troncata 25%</t>
        </is>
      </c>
      <c r="H5" s="5" t="inlineStr">
        <is>
          <t>Media troncata 30%</t>
        </is>
      </c>
      <c r="I5" s="5" t="inlineStr">
        <is>
          <t>Media troncata 50%</t>
        </is>
      </c>
      <c r="J5" s="5" t="inlineStr">
        <is>
          <t>Media troncata 75%</t>
        </is>
      </c>
      <c r="K5" s="5" t="inlineStr">
        <is>
          <t>Mediana ponderata</t>
        </is>
      </c>
      <c r="L5" s="5" t="inlineStr">
        <is>
          <t>BCE pubblicata: bce_domestica</t>
        </is>
      </c>
      <c r="M5" s="5" t="inlineStr">
        <is>
          <t>BCE pubblicata: bce_mediana</t>
        </is>
      </c>
      <c r="N5" s="5" t="inlineStr">
        <is>
          <t>BCE pubblicata: bce_pcci</t>
        </is>
      </c>
      <c r="O5" s="5" t="inlineStr">
        <is>
          <t>BCE pubblicata: bce_pcci_core</t>
        </is>
      </c>
      <c r="P5" s="5" t="inlineStr">
        <is>
          <t>BCE pubblicata: bce_supercore</t>
        </is>
      </c>
      <c r="Q5" s="5" t="inlineStr">
        <is>
          <t>BCE pubblicata: bce_troncata10</t>
        </is>
      </c>
      <c r="R5" s="5" t="inlineStr">
        <is>
          <t>BCE pubblicata: bce_troncata25</t>
        </is>
      </c>
      <c r="S5" s="5" t="inlineStr">
        <is>
          <t>BCE pubblicata: bce_troncata30</t>
        </is>
      </c>
      <c r="T5" s="5" t="inlineStr">
        <is>
          <t>BCE pubblicata: bce_troncata50</t>
        </is>
      </c>
    </row>
    <row r="6">
      <c r="A6" s="9" t="n">
        <v>42370</v>
      </c>
      <c r="B6" s="11" t="n">
        <v>1.183</v>
      </c>
      <c r="C6" s="11" t="n">
        <v>0.764</v>
      </c>
      <c r="D6" s="11" t="n">
        <v>1.0781</v>
      </c>
      <c r="E6" s="11" t="n">
        <v>0.9697</v>
      </c>
      <c r="F6" s="11" t="n">
        <v>0.6268</v>
      </c>
      <c r="G6" s="11" t="n">
        <v>0.7361</v>
      </c>
      <c r="H6" s="11" t="n">
        <v>0.7554999999999999</v>
      </c>
      <c r="I6" s="11" t="n">
        <v>0.8016</v>
      </c>
      <c r="J6" s="11" t="n">
        <v>0.8268</v>
      </c>
      <c r="K6" s="11" t="n">
        <v>0.8776</v>
      </c>
      <c r="L6" s="11" t="n">
        <v>79.31999999999999</v>
      </c>
      <c r="M6" s="11" t="n">
        <v>0.9</v>
      </c>
      <c r="N6" s="11" t="n">
        <v>1.2565</v>
      </c>
      <c r="O6" s="11" t="n">
        <v>1.1358</v>
      </c>
      <c r="P6" s="11" t="n">
        <v>1.1</v>
      </c>
      <c r="Q6" s="11" t="n">
        <v>0.6</v>
      </c>
      <c r="R6" s="11" t="n">
        <v>0.7</v>
      </c>
      <c r="S6" s="11" t="n">
        <v>0.8</v>
      </c>
      <c r="T6" s="11" t="n">
        <v>0.8</v>
      </c>
    </row>
    <row r="7">
      <c r="A7" s="9" t="n">
        <v>42401</v>
      </c>
      <c r="B7" s="11" t="n">
        <v>1.1347</v>
      </c>
      <c r="C7" s="11" t="n">
        <v>0.5561</v>
      </c>
      <c r="D7" s="11" t="n">
        <v>1.0957</v>
      </c>
      <c r="E7" s="11" t="n">
        <v>0.7665</v>
      </c>
      <c r="F7" s="11" t="n">
        <v>0.465</v>
      </c>
      <c r="G7" s="11" t="n">
        <v>0.6367</v>
      </c>
      <c r="H7" s="11" t="n">
        <v>0.6661</v>
      </c>
      <c r="I7" s="11" t="n">
        <v>0.7453</v>
      </c>
      <c r="J7" s="11" t="n">
        <v>0.8078</v>
      </c>
      <c r="K7" s="11" t="n">
        <v>0.8701</v>
      </c>
      <c r="L7" s="11" t="n">
        <v>79.48999999999999</v>
      </c>
      <c r="M7" s="11" t="n">
        <v>0.9</v>
      </c>
      <c r="N7" s="11" t="n">
        <v>1.2116</v>
      </c>
      <c r="O7" s="11" t="n">
        <v>1.1388</v>
      </c>
      <c r="P7" s="11" t="n">
        <v>1.1</v>
      </c>
      <c r="Q7" s="11" t="n">
        <v>0.5</v>
      </c>
      <c r="R7" s="11" t="n">
        <v>0.6</v>
      </c>
      <c r="S7" s="11" t="n">
        <v>0.7</v>
      </c>
      <c r="T7" s="11" t="n">
        <v>0.7</v>
      </c>
    </row>
    <row r="8">
      <c r="A8" s="9" t="n">
        <v>42430</v>
      </c>
      <c r="B8" s="11" t="n">
        <v>1.218</v>
      </c>
      <c r="C8" s="11" t="n">
        <v>0.8080000000000001</v>
      </c>
      <c r="D8" s="11" t="n">
        <v>1.0206</v>
      </c>
      <c r="E8" s="11" t="n">
        <v>1.0416</v>
      </c>
      <c r="F8" s="11" t="n">
        <v>0.6311</v>
      </c>
      <c r="G8" s="11" t="n">
        <v>0.7344000000000001</v>
      </c>
      <c r="H8" s="11" t="n">
        <v>0.7464</v>
      </c>
      <c r="I8" s="11" t="n">
        <v>0.7842</v>
      </c>
      <c r="J8" s="11" t="n">
        <v>0.8343</v>
      </c>
      <c r="K8" s="11" t="n">
        <v>0.9835</v>
      </c>
      <c r="L8" s="11" t="n">
        <v>79.65000000000001</v>
      </c>
      <c r="M8" s="11" t="n">
        <v>0.9</v>
      </c>
      <c r="N8" s="11" t="n">
        <v>1.2338</v>
      </c>
      <c r="O8" s="11" t="n">
        <v>1.1224</v>
      </c>
      <c r="P8" s="11" t="n">
        <v>1</v>
      </c>
      <c r="Q8" s="11" t="n">
        <v>0.6</v>
      </c>
      <c r="R8" s="11" t="n">
        <v>0.7</v>
      </c>
      <c r="S8" s="11" t="n">
        <v>0.7</v>
      </c>
      <c r="T8" s="11" t="n">
        <v>0.8</v>
      </c>
    </row>
    <row r="9">
      <c r="A9" s="9" t="n">
        <v>42461</v>
      </c>
      <c r="B9" s="11" t="n">
        <v>1.2599</v>
      </c>
      <c r="C9" s="11" t="n">
        <v>0.0688</v>
      </c>
      <c r="D9" s="11" t="n">
        <v>0.9796</v>
      </c>
      <c r="E9" s="11" t="n">
        <v>0.5721000000000001</v>
      </c>
      <c r="F9" s="11" t="n">
        <v>0.3861</v>
      </c>
      <c r="G9" s="11" t="n">
        <v>0.6564</v>
      </c>
      <c r="H9" s="11" t="n">
        <v>0.6898</v>
      </c>
      <c r="I9" s="11" t="n">
        <v>0.7864</v>
      </c>
      <c r="J9" s="11" t="n">
        <v>0.8257</v>
      </c>
      <c r="K9" s="11" t="n">
        <v>0.9064</v>
      </c>
      <c r="L9" s="11" t="n">
        <v>79.84</v>
      </c>
      <c r="M9" s="11" t="n">
        <v>0.9</v>
      </c>
      <c r="N9" s="11" t="n">
        <v>1.381</v>
      </c>
      <c r="O9" s="11" t="n">
        <v>1.1755</v>
      </c>
      <c r="P9" s="11" t="n">
        <v>1</v>
      </c>
      <c r="Q9" s="11" t="n">
        <v>0.4</v>
      </c>
      <c r="R9" s="11" t="n">
        <v>0.7</v>
      </c>
      <c r="S9" s="11" t="n">
        <v>0.7</v>
      </c>
      <c r="T9" s="11" t="n">
        <v>0.8</v>
      </c>
    </row>
    <row r="10">
      <c r="A10" s="9" t="n">
        <v>42491</v>
      </c>
      <c r="B10" s="11" t="n">
        <v>1.2527</v>
      </c>
      <c r="C10" s="11" t="n">
        <v>0.2484</v>
      </c>
      <c r="D10" s="11" t="n">
        <v>0.9829</v>
      </c>
      <c r="E10" s="11" t="n">
        <v>0.6889999999999999</v>
      </c>
      <c r="F10" s="11" t="n">
        <v>0.4648</v>
      </c>
      <c r="G10" s="11" t="n">
        <v>0.6811</v>
      </c>
      <c r="H10" s="11" t="n">
        <v>0.7064</v>
      </c>
      <c r="I10" s="11" t="n">
        <v>0.7905</v>
      </c>
      <c r="J10" s="11" t="n">
        <v>0.848</v>
      </c>
      <c r="K10" s="11" t="n">
        <v>0.7944</v>
      </c>
      <c r="L10" s="11" t="n">
        <v>79.98</v>
      </c>
      <c r="M10" s="11" t="n">
        <v>0.8</v>
      </c>
      <c r="N10" s="11" t="n">
        <v>1.4251</v>
      </c>
      <c r="O10" s="11" t="n">
        <v>1.1682</v>
      </c>
      <c r="P10" s="11" t="n">
        <v>1</v>
      </c>
      <c r="Q10" s="11" t="n">
        <v>0.5</v>
      </c>
      <c r="R10" s="11" t="n">
        <v>0.7</v>
      </c>
      <c r="S10" s="11" t="n">
        <v>0.7</v>
      </c>
      <c r="T10" s="11" t="n">
        <v>0.8</v>
      </c>
    </row>
    <row r="11">
      <c r="A11" s="9" t="n">
        <v>42522</v>
      </c>
      <c r="B11" s="11" t="n">
        <v>1.2693</v>
      </c>
      <c r="C11" s="11" t="n">
        <v>0.2249</v>
      </c>
      <c r="D11" s="11" t="n">
        <v>0.9812</v>
      </c>
      <c r="E11" s="11" t="n">
        <v>0.6878</v>
      </c>
      <c r="F11" s="11" t="n">
        <v>0.4858</v>
      </c>
      <c r="G11" s="11" t="n">
        <v>0.6767</v>
      </c>
      <c r="H11" s="11" t="n">
        <v>0.6933</v>
      </c>
      <c r="I11" s="11" t="n">
        <v>0.7474</v>
      </c>
      <c r="J11" s="11" t="n">
        <v>0.7628</v>
      </c>
      <c r="K11" s="11" t="n">
        <v>0.8552</v>
      </c>
      <c r="L11" s="11" t="n">
        <v>80.09999999999999</v>
      </c>
      <c r="M11" s="11" t="n">
        <v>0.9</v>
      </c>
      <c r="N11" s="11" t="n">
        <v>1.4817</v>
      </c>
      <c r="O11" s="11" t="n">
        <v>1.2024</v>
      </c>
      <c r="P11" s="11" t="n">
        <v>1</v>
      </c>
      <c r="Q11" s="11" t="n">
        <v>0.5</v>
      </c>
      <c r="R11" s="11" t="n">
        <v>0.7</v>
      </c>
      <c r="S11" s="11" t="n">
        <v>0.7</v>
      </c>
      <c r="T11" s="11" t="n">
        <v>0.7</v>
      </c>
    </row>
    <row r="12">
      <c r="A12" s="9" t="n">
        <v>42552</v>
      </c>
      <c r="B12" s="11" t="n">
        <v>1.2829</v>
      </c>
      <c r="C12" s="11" t="n">
        <v>0.3628</v>
      </c>
      <c r="D12" s="11" t="n">
        <v>0.9873</v>
      </c>
      <c r="E12" s="11" t="n">
        <v>0.8025</v>
      </c>
      <c r="F12" s="11" t="n">
        <v>0.5345</v>
      </c>
      <c r="G12" s="11" t="n">
        <v>0.6807</v>
      </c>
      <c r="H12" s="11" t="n">
        <v>0.6915</v>
      </c>
      <c r="I12" s="11" t="n">
        <v>0.737</v>
      </c>
      <c r="J12" s="11" t="n">
        <v>0.7544999999999999</v>
      </c>
      <c r="K12" s="11" t="n">
        <v>0.7332</v>
      </c>
      <c r="L12" s="11" t="n">
        <v>80.37</v>
      </c>
      <c r="M12" s="11" t="n">
        <v>0.7</v>
      </c>
      <c r="N12" s="11" t="n">
        <v>1.3862</v>
      </c>
      <c r="O12" s="11" t="n">
        <v>1.1552</v>
      </c>
      <c r="P12" s="11" t="n">
        <v>1</v>
      </c>
      <c r="Q12" s="11" t="n">
        <v>0.5</v>
      </c>
      <c r="R12" s="11" t="n">
        <v>0.7</v>
      </c>
      <c r="S12" s="11" t="n">
        <v>0.7</v>
      </c>
      <c r="T12" s="11" t="n">
        <v>0.7</v>
      </c>
    </row>
    <row r="13">
      <c r="A13" s="9" t="n">
        <v>42583</v>
      </c>
      <c r="B13" s="11" t="n">
        <v>1.2608</v>
      </c>
      <c r="C13" s="11" t="n">
        <v>0.2276</v>
      </c>
      <c r="D13" s="11" t="n">
        <v>0.8809</v>
      </c>
      <c r="E13" s="11" t="n">
        <v>0.7464</v>
      </c>
      <c r="F13" s="11" t="n">
        <v>0.4736</v>
      </c>
      <c r="G13" s="11" t="n">
        <v>0.6323</v>
      </c>
      <c r="H13" s="11" t="n">
        <v>0.6461</v>
      </c>
      <c r="I13" s="11" t="n">
        <v>0.7049</v>
      </c>
      <c r="J13" s="11" t="n">
        <v>0.7909</v>
      </c>
      <c r="K13" s="11" t="n">
        <v>0.9055</v>
      </c>
      <c r="L13" s="11" t="n">
        <v>80.47</v>
      </c>
      <c r="M13" s="11" t="n">
        <v>0.9</v>
      </c>
      <c r="N13" s="11" t="n">
        <v>1.3697</v>
      </c>
      <c r="O13" s="11" t="n">
        <v>1.1935</v>
      </c>
      <c r="P13" s="11" t="n">
        <v>0.9</v>
      </c>
      <c r="Q13" s="11" t="n">
        <v>0.5</v>
      </c>
      <c r="R13" s="11" t="n">
        <v>0.6</v>
      </c>
      <c r="S13" s="11" t="n">
        <v>0.6</v>
      </c>
      <c r="T13" s="11" t="n">
        <v>0.7</v>
      </c>
    </row>
    <row r="14">
      <c r="A14" s="9" t="n">
        <v>42614</v>
      </c>
      <c r="B14" s="11" t="n">
        <v>1.3122</v>
      </c>
      <c r="C14" s="11" t="n">
        <v>0.1649</v>
      </c>
      <c r="D14" s="11" t="n">
        <v>0.8586</v>
      </c>
      <c r="E14" s="11" t="n">
        <v>0.7517</v>
      </c>
      <c r="F14" s="11" t="n">
        <v>0.5551</v>
      </c>
      <c r="G14" s="11" t="n">
        <v>0.6248</v>
      </c>
      <c r="H14" s="11" t="n">
        <v>0.6361</v>
      </c>
      <c r="I14" s="11" t="n">
        <v>0.6649</v>
      </c>
      <c r="J14" s="11" t="n">
        <v>0.7272999999999999</v>
      </c>
      <c r="K14" s="11" t="n">
        <v>0.8178</v>
      </c>
      <c r="L14" s="11" t="n">
        <v>80.33</v>
      </c>
      <c r="M14" s="11" t="n">
        <v>0.8</v>
      </c>
      <c r="N14" s="11" t="n">
        <v>1.3686</v>
      </c>
      <c r="O14" s="11" t="n">
        <v>1.2144</v>
      </c>
      <c r="P14" s="11" t="n">
        <v>0.9</v>
      </c>
      <c r="Q14" s="11" t="n">
        <v>0.6</v>
      </c>
      <c r="R14" s="11" t="n">
        <v>0.6</v>
      </c>
      <c r="S14" s="11" t="n">
        <v>0.6</v>
      </c>
      <c r="T14" s="11" t="n">
        <v>0.7</v>
      </c>
    </row>
    <row r="15">
      <c r="A15" s="9" t="n">
        <v>42644</v>
      </c>
      <c r="B15" s="11" t="n">
        <v>1.2442</v>
      </c>
      <c r="C15" s="11" t="n">
        <v>0.1412</v>
      </c>
      <c r="D15" s="11" t="n">
        <v>0.8309</v>
      </c>
      <c r="E15" s="11" t="n">
        <v>0.6914</v>
      </c>
      <c r="F15" s="11" t="n">
        <v>0.653</v>
      </c>
      <c r="G15" s="11" t="n">
        <v>0.7455000000000001</v>
      </c>
      <c r="H15" s="11" t="n">
        <v>0.7617</v>
      </c>
      <c r="I15" s="11" t="n">
        <v>0.787</v>
      </c>
      <c r="J15" s="11" t="n">
        <v>0.7934</v>
      </c>
      <c r="K15" s="11" t="n">
        <v>0.7833</v>
      </c>
      <c r="L15" s="11" t="n">
        <v>80.28</v>
      </c>
      <c r="M15" s="11" t="n">
        <v>0.8</v>
      </c>
      <c r="N15" s="11" t="n">
        <v>1.4549</v>
      </c>
      <c r="O15" s="11" t="n">
        <v>1.23</v>
      </c>
      <c r="P15" s="11" t="n">
        <v>0.8</v>
      </c>
      <c r="Q15" s="11" t="n">
        <v>0.7</v>
      </c>
      <c r="R15" s="11" t="n">
        <v>0.8</v>
      </c>
      <c r="S15" s="11" t="n">
        <v>0.8</v>
      </c>
      <c r="T15" s="11" t="n">
        <v>0.8</v>
      </c>
    </row>
    <row r="16">
      <c r="A16" s="9" t="n">
        <v>42675</v>
      </c>
      <c r="B16" s="11" t="n">
        <v>1.2699</v>
      </c>
      <c r="C16" s="11" t="n">
        <v>0.2154</v>
      </c>
      <c r="D16" s="11" t="n">
        <v>0.8114</v>
      </c>
      <c r="E16" s="11" t="n">
        <v>0.7896</v>
      </c>
      <c r="F16" s="11" t="n">
        <v>0.7105</v>
      </c>
      <c r="G16" s="11" t="n">
        <v>0.7349</v>
      </c>
      <c r="H16" s="11" t="n">
        <v>0.752</v>
      </c>
      <c r="I16" s="11" t="n">
        <v>0.7692</v>
      </c>
      <c r="J16" s="11" t="n">
        <v>0.7227</v>
      </c>
      <c r="K16" s="11" t="n">
        <v>0.6221</v>
      </c>
      <c r="L16" s="11" t="n">
        <v>80.13</v>
      </c>
      <c r="M16" s="11" t="n">
        <v>0.6</v>
      </c>
      <c r="N16" s="11" t="n">
        <v>1.4903</v>
      </c>
      <c r="O16" s="11" t="n">
        <v>1.2193</v>
      </c>
      <c r="P16" s="11" t="n">
        <v>0.8</v>
      </c>
      <c r="Q16" s="11" t="n">
        <v>0.7</v>
      </c>
      <c r="R16" s="11" t="n">
        <v>0.7</v>
      </c>
      <c r="S16" s="11" t="n">
        <v>0.7</v>
      </c>
      <c r="T16" s="11" t="n">
        <v>0.8</v>
      </c>
    </row>
    <row r="17">
      <c r="A17" s="9" t="n">
        <v>42705</v>
      </c>
      <c r="B17" s="11" t="n">
        <v>1.2504</v>
      </c>
      <c r="C17" s="11" t="n">
        <v>0.3771</v>
      </c>
      <c r="D17" s="11" t="n">
        <v>0.8485</v>
      </c>
      <c r="E17" s="11" t="n">
        <v>0.8598</v>
      </c>
      <c r="F17" s="11" t="n">
        <v>1.0631</v>
      </c>
      <c r="G17" s="11" t="n">
        <v>0.9908</v>
      </c>
      <c r="H17" s="11" t="n">
        <v>0.9919</v>
      </c>
      <c r="I17" s="11" t="n">
        <v>1.0092</v>
      </c>
      <c r="J17" s="11" t="n">
        <v>1.0312</v>
      </c>
      <c r="K17" s="11" t="n">
        <v>1.0408</v>
      </c>
      <c r="L17" s="11" t="n">
        <v>80.22</v>
      </c>
      <c r="M17" s="11" t="n">
        <v>1</v>
      </c>
      <c r="N17" s="11" t="n">
        <v>1.5189</v>
      </c>
      <c r="O17" s="11" t="n">
        <v>1.2231</v>
      </c>
      <c r="P17" s="11" t="n">
        <v>0.8</v>
      </c>
      <c r="Q17" s="11" t="n">
        <v>1.1</v>
      </c>
      <c r="R17" s="11" t="n">
        <v>1</v>
      </c>
      <c r="S17" s="11" t="n">
        <v>1</v>
      </c>
      <c r="T17" s="11" t="n">
        <v>1</v>
      </c>
    </row>
    <row r="18">
      <c r="A18" s="9" t="n">
        <v>42736</v>
      </c>
      <c r="B18" s="11" t="n">
        <v>1.153</v>
      </c>
      <c r="C18" s="11" t="n">
        <v>0.514</v>
      </c>
      <c r="D18" s="11" t="n">
        <v>0.864</v>
      </c>
      <c r="E18" s="11" t="n">
        <v>0.8841</v>
      </c>
      <c r="F18" s="11" t="n">
        <v>1.3128</v>
      </c>
      <c r="G18" s="11" t="n">
        <v>1.1501</v>
      </c>
      <c r="H18" s="11" t="n">
        <v>1.1284</v>
      </c>
      <c r="I18" s="11" t="n">
        <v>1.1168</v>
      </c>
      <c r="J18" s="11" t="n">
        <v>1.1854</v>
      </c>
      <c r="K18" s="11" t="n">
        <v>1.2678</v>
      </c>
      <c r="L18" s="11" t="n">
        <v>80.23</v>
      </c>
      <c r="M18" s="11" t="n">
        <v>1.2</v>
      </c>
      <c r="N18" s="11" t="n">
        <v>1.5816</v>
      </c>
      <c r="O18" s="11" t="n">
        <v>1.2404</v>
      </c>
      <c r="P18" s="11" t="n">
        <v>0.9</v>
      </c>
      <c r="Q18" s="11" t="n">
        <v>1.3</v>
      </c>
      <c r="R18" s="11" t="n">
        <v>1.1</v>
      </c>
      <c r="S18" s="11" t="n">
        <v>1.1</v>
      </c>
      <c r="T18" s="11" t="n">
        <v>1.1</v>
      </c>
    </row>
    <row r="19">
      <c r="A19" s="9" t="n">
        <v>42767</v>
      </c>
      <c r="B19" s="11" t="n">
        <v>1.2125</v>
      </c>
      <c r="C19" s="11" t="n">
        <v>0.3441</v>
      </c>
      <c r="D19" s="11" t="n">
        <v>0.8426</v>
      </c>
      <c r="E19" s="11" t="n">
        <v>0.8279</v>
      </c>
      <c r="F19" s="11" t="n">
        <v>1.3724</v>
      </c>
      <c r="G19" s="11" t="n">
        <v>1.0813</v>
      </c>
      <c r="H19" s="11" t="n">
        <v>1.0571</v>
      </c>
      <c r="I19" s="11" t="n">
        <v>1.0293</v>
      </c>
      <c r="J19" s="11" t="n">
        <v>1.0613</v>
      </c>
      <c r="K19" s="11" t="n">
        <v>1.1522</v>
      </c>
      <c r="L19" s="11" t="n">
        <v>80.45</v>
      </c>
      <c r="M19" s="11" t="n">
        <v>1.2</v>
      </c>
      <c r="N19" s="11" t="n">
        <v>1.6191</v>
      </c>
      <c r="O19" s="11" t="n">
        <v>1.265</v>
      </c>
      <c r="P19" s="11" t="n">
        <v>0.8</v>
      </c>
      <c r="Q19" s="11" t="n">
        <v>1.4</v>
      </c>
      <c r="R19" s="11" t="n">
        <v>1.1</v>
      </c>
      <c r="S19" s="11" t="n">
        <v>1.1</v>
      </c>
      <c r="T19" s="11" t="n">
        <v>1</v>
      </c>
    </row>
    <row r="20">
      <c r="A20" s="9" t="n">
        <v>42795</v>
      </c>
      <c r="B20" s="11" t="n">
        <v>1.1725</v>
      </c>
      <c r="C20" s="11" t="n">
        <v>0.1128</v>
      </c>
      <c r="D20" s="11" t="n">
        <v>0.8881</v>
      </c>
      <c r="E20" s="11" t="n">
        <v>0.5886</v>
      </c>
      <c r="F20" s="11" t="n">
        <v>1.1847</v>
      </c>
      <c r="G20" s="11" t="n">
        <v>1.0616</v>
      </c>
      <c r="H20" s="11" t="n">
        <v>1.0416</v>
      </c>
      <c r="I20" s="11" t="n">
        <v>1.0297</v>
      </c>
      <c r="J20" s="11" t="n">
        <v>1.0659</v>
      </c>
      <c r="K20" s="11" t="n">
        <v>1.1572</v>
      </c>
      <c r="L20" s="11" t="n">
        <v>80.58</v>
      </c>
      <c r="M20" s="11" t="n">
        <v>1.1</v>
      </c>
      <c r="N20" s="11" t="n">
        <v>1.5552</v>
      </c>
      <c r="O20" s="11" t="n">
        <v>1.2446</v>
      </c>
      <c r="P20" s="11" t="n">
        <v>0.9</v>
      </c>
      <c r="Q20" s="11" t="n">
        <v>1.2</v>
      </c>
      <c r="R20" s="11" t="n">
        <v>1.1</v>
      </c>
      <c r="S20" s="11" t="n">
        <v>1</v>
      </c>
      <c r="T20" s="11" t="n">
        <v>1</v>
      </c>
    </row>
    <row r="21">
      <c r="A21" s="9" t="n">
        <v>42826</v>
      </c>
      <c r="B21" s="11" t="n">
        <v>1.3265</v>
      </c>
      <c r="C21" s="11" t="n">
        <v>1.1729</v>
      </c>
      <c r="D21" s="11" t="n">
        <v>0.928</v>
      </c>
      <c r="E21" s="11" t="n">
        <v>1.4409</v>
      </c>
      <c r="F21" s="11" t="n">
        <v>1.5522</v>
      </c>
      <c r="G21" s="11" t="n">
        <v>1.292</v>
      </c>
      <c r="H21" s="11" t="n">
        <v>1.2703</v>
      </c>
      <c r="I21" s="11" t="n">
        <v>1.1855</v>
      </c>
      <c r="J21" s="11" t="n">
        <v>1.213</v>
      </c>
      <c r="K21" s="11" t="n">
        <v>1.2724</v>
      </c>
      <c r="L21" s="11" t="n">
        <v>80.90000000000001</v>
      </c>
      <c r="M21" s="11" t="n">
        <v>1.3</v>
      </c>
      <c r="N21" s="11" t="n">
        <v>1.4525</v>
      </c>
      <c r="O21" s="11" t="n">
        <v>1.226</v>
      </c>
      <c r="P21" s="11" t="n">
        <v>0.9</v>
      </c>
      <c r="Q21" s="11" t="n">
        <v>1.5</v>
      </c>
      <c r="R21" s="11" t="n">
        <v>1.3</v>
      </c>
      <c r="S21" s="11" t="n">
        <v>1.3</v>
      </c>
      <c r="T21" s="11" t="n">
        <v>1.2</v>
      </c>
    </row>
    <row r="22">
      <c r="A22" s="9" t="n">
        <v>42856</v>
      </c>
      <c r="B22" s="11" t="n">
        <v>1.3272</v>
      </c>
      <c r="C22" s="11" t="n">
        <v>0.4203</v>
      </c>
      <c r="D22" s="11" t="n">
        <v>0.9127</v>
      </c>
      <c r="E22" s="11" t="n">
        <v>0.9205</v>
      </c>
      <c r="F22" s="11" t="n">
        <v>1.3113</v>
      </c>
      <c r="G22" s="11" t="n">
        <v>1.2377</v>
      </c>
      <c r="H22" s="11" t="n">
        <v>1.2238</v>
      </c>
      <c r="I22" s="11" t="n">
        <v>1.209</v>
      </c>
      <c r="J22" s="11" t="n">
        <v>1.2527</v>
      </c>
      <c r="K22" s="11" t="n">
        <v>1.2716</v>
      </c>
      <c r="L22" s="11" t="n">
        <v>81.05</v>
      </c>
      <c r="M22" s="11" t="n">
        <v>1.3</v>
      </c>
      <c r="N22" s="11" t="n">
        <v>1.4972</v>
      </c>
      <c r="O22" s="11" t="n">
        <v>1.2648</v>
      </c>
      <c r="P22" s="11" t="n">
        <v>0.9</v>
      </c>
      <c r="Q22" s="11" t="n">
        <v>1.3</v>
      </c>
      <c r="R22" s="11" t="n">
        <v>1.2</v>
      </c>
      <c r="S22" s="11" t="n">
        <v>1.2</v>
      </c>
      <c r="T22" s="11" t="n">
        <v>1.2</v>
      </c>
    </row>
    <row r="23">
      <c r="A23" s="9" t="n">
        <v>42887</v>
      </c>
      <c r="B23" s="11" t="n">
        <v>1.3635</v>
      </c>
      <c r="C23" s="11" t="n">
        <v>0.9809</v>
      </c>
      <c r="D23" s="11" t="n">
        <v>0.9668</v>
      </c>
      <c r="E23" s="11" t="n">
        <v>1.3147</v>
      </c>
      <c r="F23" s="11" t="n">
        <v>1.2206</v>
      </c>
      <c r="G23" s="11" t="n">
        <v>1.2068</v>
      </c>
      <c r="H23" s="11" t="n">
        <v>1.194</v>
      </c>
      <c r="I23" s="11" t="n">
        <v>1.2152</v>
      </c>
      <c r="J23" s="11" t="n">
        <v>1.2527</v>
      </c>
      <c r="K23" s="11" t="n">
        <v>1.263</v>
      </c>
      <c r="L23" s="11" t="n">
        <v>81.19</v>
      </c>
      <c r="M23" s="11" t="n">
        <v>1.3</v>
      </c>
      <c r="N23" s="11" t="n">
        <v>1.5002</v>
      </c>
      <c r="O23" s="11" t="n">
        <v>1.2867</v>
      </c>
      <c r="P23" s="11" t="n">
        <v>1</v>
      </c>
      <c r="Q23" s="11" t="n">
        <v>1.2</v>
      </c>
      <c r="R23" s="11" t="n">
        <v>1.2</v>
      </c>
      <c r="S23" s="11" t="n">
        <v>1.2</v>
      </c>
      <c r="T23" s="11" t="n">
        <v>1.2</v>
      </c>
    </row>
    <row r="24">
      <c r="A24" s="9" t="n">
        <v>42917</v>
      </c>
      <c r="B24" s="11" t="n">
        <v>1.3648</v>
      </c>
      <c r="C24" s="11" t="n">
        <v>1.0048</v>
      </c>
      <c r="D24" s="11" t="n">
        <v>0.9932</v>
      </c>
      <c r="E24" s="11" t="n">
        <v>1.3228</v>
      </c>
      <c r="F24" s="11" t="n">
        <v>1.2489</v>
      </c>
      <c r="G24" s="11" t="n">
        <v>1.2472</v>
      </c>
      <c r="H24" s="11" t="n">
        <v>1.2497</v>
      </c>
      <c r="I24" s="11" t="n">
        <v>1.2764</v>
      </c>
      <c r="J24" s="11" t="n">
        <v>1.3414</v>
      </c>
      <c r="K24" s="11" t="n">
        <v>1.2829</v>
      </c>
      <c r="L24" s="11" t="n">
        <v>81.47</v>
      </c>
      <c r="M24" s="11" t="n">
        <v>1.3</v>
      </c>
      <c r="N24" s="11" t="n">
        <v>1.5705</v>
      </c>
      <c r="O24" s="11" t="n">
        <v>1.3345</v>
      </c>
      <c r="P24" s="11" t="n">
        <v>1</v>
      </c>
      <c r="Q24" s="11" t="n">
        <v>1.2</v>
      </c>
      <c r="R24" s="11" t="n">
        <v>1.2</v>
      </c>
      <c r="S24" s="11" t="n">
        <v>1.2</v>
      </c>
      <c r="T24" s="11" t="n">
        <v>1.3</v>
      </c>
    </row>
    <row r="25">
      <c r="A25" s="9" t="n">
        <v>42948</v>
      </c>
      <c r="B25" s="11" t="n">
        <v>1.4191</v>
      </c>
      <c r="C25" s="11" t="n">
        <v>1.0006</v>
      </c>
      <c r="D25" s="11" t="n">
        <v>1.0416</v>
      </c>
      <c r="E25" s="11" t="n">
        <v>1.3384</v>
      </c>
      <c r="F25" s="11" t="n">
        <v>1.4154</v>
      </c>
      <c r="G25" s="11" t="n">
        <v>1.3402</v>
      </c>
      <c r="H25" s="11" t="n">
        <v>1.3224</v>
      </c>
      <c r="I25" s="11" t="n">
        <v>1.2983</v>
      </c>
      <c r="J25" s="11" t="n">
        <v>1.3135</v>
      </c>
      <c r="K25" s="11" t="n">
        <v>1.2288</v>
      </c>
      <c r="L25" s="11" t="n">
        <v>81.61</v>
      </c>
      <c r="M25" s="11" t="n">
        <v>1.2</v>
      </c>
      <c r="N25" s="11" t="n">
        <v>1.5892</v>
      </c>
      <c r="O25" s="11" t="n">
        <v>1.3337</v>
      </c>
      <c r="P25" s="11" t="n">
        <v>1</v>
      </c>
      <c r="Q25" s="11" t="n">
        <v>1.4</v>
      </c>
      <c r="R25" s="11" t="n">
        <v>1.3</v>
      </c>
      <c r="S25" s="11" t="n">
        <v>1.3</v>
      </c>
      <c r="T25" s="11" t="n">
        <v>1.3</v>
      </c>
    </row>
    <row r="26">
      <c r="A26" s="9" t="n">
        <v>42979</v>
      </c>
      <c r="B26" s="11" t="n">
        <v>1.3702</v>
      </c>
      <c r="C26" s="11" t="n">
        <v>0.8885999999999999</v>
      </c>
      <c r="D26" s="11" t="n">
        <v>1.0571</v>
      </c>
      <c r="E26" s="11" t="n">
        <v>1.2054</v>
      </c>
      <c r="F26" s="11" t="n">
        <v>1.4635</v>
      </c>
      <c r="G26" s="11" t="n">
        <v>1.3419</v>
      </c>
      <c r="H26" s="11" t="n">
        <v>1.3158</v>
      </c>
      <c r="I26" s="11" t="n">
        <v>1.2814</v>
      </c>
      <c r="J26" s="11" t="n">
        <v>1.2913</v>
      </c>
      <c r="K26" s="11" t="n">
        <v>1.1863</v>
      </c>
      <c r="L26" s="11" t="n">
        <v>81.43000000000001</v>
      </c>
      <c r="M26" s="11" t="n">
        <v>1.2</v>
      </c>
      <c r="N26" s="11" t="n">
        <v>1.6745</v>
      </c>
      <c r="O26" s="11" t="n">
        <v>1.3459</v>
      </c>
      <c r="P26" s="11" t="n">
        <v>1.1</v>
      </c>
      <c r="Q26" s="11" t="n">
        <v>1.5</v>
      </c>
      <c r="R26" s="11" t="n">
        <v>1.3</v>
      </c>
      <c r="S26" s="11" t="n">
        <v>1.3</v>
      </c>
      <c r="T26" s="11" t="n">
        <v>1.3</v>
      </c>
    </row>
    <row r="27">
      <c r="A27" s="9" t="n">
        <v>43009</v>
      </c>
      <c r="B27" s="11" t="n">
        <v>1.2266</v>
      </c>
      <c r="C27" s="11" t="n">
        <v>0.4676</v>
      </c>
      <c r="D27" s="11" t="n">
        <v>0.9303</v>
      </c>
      <c r="E27" s="11" t="n">
        <v>0.8579</v>
      </c>
      <c r="F27" s="11" t="n">
        <v>1.3729</v>
      </c>
      <c r="G27" s="11" t="n">
        <v>1.3277</v>
      </c>
      <c r="H27" s="11" t="n">
        <v>1.3039</v>
      </c>
      <c r="I27" s="11" t="n">
        <v>1.2967</v>
      </c>
      <c r="J27" s="11" t="n">
        <v>1.2973</v>
      </c>
      <c r="K27" s="11" t="n">
        <v>1.1974</v>
      </c>
      <c r="L27" s="11" t="n">
        <v>81.26000000000001</v>
      </c>
      <c r="M27" s="11" t="n">
        <v>1.2</v>
      </c>
      <c r="N27" s="11" t="n">
        <v>1.7001</v>
      </c>
      <c r="O27" s="11" t="n">
        <v>1.345</v>
      </c>
      <c r="P27" s="11" t="n">
        <v>0.9</v>
      </c>
      <c r="Q27" s="11" t="n">
        <v>1.4</v>
      </c>
      <c r="R27" s="11" t="n">
        <v>1.3</v>
      </c>
      <c r="S27" s="11" t="n">
        <v>1.3</v>
      </c>
      <c r="T27" s="11" t="n">
        <v>1.3</v>
      </c>
    </row>
    <row r="28">
      <c r="A28" s="9" t="n">
        <v>43040</v>
      </c>
      <c r="B28" s="11" t="n">
        <v>1.0966</v>
      </c>
      <c r="C28" s="11" t="n">
        <v>0.6978</v>
      </c>
      <c r="D28" s="11" t="n">
        <v>0.9853</v>
      </c>
      <c r="E28" s="11" t="n">
        <v>0.8819</v>
      </c>
      <c r="F28" s="11" t="n">
        <v>1.4538</v>
      </c>
      <c r="G28" s="11" t="n">
        <v>1.3656</v>
      </c>
      <c r="H28" s="11" t="n">
        <v>1.3387</v>
      </c>
      <c r="I28" s="11" t="n">
        <v>1.3189</v>
      </c>
      <c r="J28" s="11" t="n">
        <v>1.3023</v>
      </c>
      <c r="K28" s="11" t="n">
        <v>1.216</v>
      </c>
      <c r="L28" s="11" t="n">
        <v>81.01000000000001</v>
      </c>
      <c r="M28" s="11" t="n">
        <v>1.2</v>
      </c>
      <c r="N28" s="11" t="n">
        <v>1.7023</v>
      </c>
      <c r="O28" s="11" t="n">
        <v>1.3313</v>
      </c>
      <c r="P28" s="11" t="n">
        <v>1</v>
      </c>
      <c r="Q28" s="11" t="n">
        <v>1.5</v>
      </c>
      <c r="R28" s="11" t="n">
        <v>1.4</v>
      </c>
      <c r="S28" s="11" t="n">
        <v>1.3</v>
      </c>
      <c r="T28" s="11" t="n">
        <v>1.3</v>
      </c>
    </row>
    <row r="29">
      <c r="A29" s="9" t="n">
        <v>43070</v>
      </c>
      <c r="B29" s="11" t="n">
        <v>1.0926</v>
      </c>
      <c r="C29" s="11" t="n">
        <v>0.7119</v>
      </c>
      <c r="D29" s="11" t="n">
        <v>0.9908</v>
      </c>
      <c r="E29" s="11" t="n">
        <v>0.8826000000000001</v>
      </c>
      <c r="F29" s="11" t="n">
        <v>1.3464</v>
      </c>
      <c r="G29" s="11" t="n">
        <v>1.2943</v>
      </c>
      <c r="H29" s="11" t="n">
        <v>1.2848</v>
      </c>
      <c r="I29" s="11" t="n">
        <v>1.2848</v>
      </c>
      <c r="J29" s="11" t="n">
        <v>1.2804</v>
      </c>
      <c r="K29" s="11" t="n">
        <v>1.1948</v>
      </c>
      <c r="L29" s="11" t="n">
        <v>81.09</v>
      </c>
      <c r="M29" s="11" t="n">
        <v>1.2</v>
      </c>
      <c r="N29" s="11" t="n">
        <v>1.6716</v>
      </c>
      <c r="O29" s="11" t="n">
        <v>1.3261</v>
      </c>
      <c r="P29" s="11" t="n">
        <v>1</v>
      </c>
      <c r="Q29" s="11" t="n">
        <v>1.4</v>
      </c>
      <c r="R29" s="11" t="n">
        <v>1.3</v>
      </c>
      <c r="S29" s="11" t="n">
        <v>1.3</v>
      </c>
      <c r="T29" s="11" t="n">
        <v>1.3</v>
      </c>
    </row>
    <row r="30">
      <c r="A30" s="9" t="n">
        <v>43101</v>
      </c>
      <c r="B30" s="11" t="n">
        <v>1.3209</v>
      </c>
      <c r="C30" s="11" t="n">
        <v>0.5845</v>
      </c>
      <c r="D30" s="11" t="n">
        <v>1.0792</v>
      </c>
      <c r="E30" s="11" t="n">
        <v>0.9244</v>
      </c>
      <c r="F30" s="11" t="n">
        <v>1.3271</v>
      </c>
      <c r="G30" s="11" t="n">
        <v>1.2892</v>
      </c>
      <c r="H30" s="11" t="n">
        <v>1.2947</v>
      </c>
      <c r="I30" s="11" t="n">
        <v>1.2956</v>
      </c>
      <c r="J30" s="11" t="n">
        <v>1.302</v>
      </c>
      <c r="K30" s="11" t="n">
        <v>1.2285</v>
      </c>
      <c r="L30" s="11" t="n">
        <v>81.29000000000001</v>
      </c>
      <c r="M30" s="11" t="n">
        <v>1.2</v>
      </c>
      <c r="N30" s="11" t="n">
        <v>1.6735</v>
      </c>
      <c r="O30" s="11" t="n">
        <v>1.3506</v>
      </c>
      <c r="P30" s="11" t="n">
        <v>1.1</v>
      </c>
      <c r="Q30" s="11" t="n">
        <v>1.3</v>
      </c>
      <c r="R30" s="11" t="n">
        <v>1.3</v>
      </c>
      <c r="S30" s="11" t="n">
        <v>1.3</v>
      </c>
      <c r="T30" s="11" t="n">
        <v>1.3</v>
      </c>
    </row>
    <row r="31">
      <c r="A31" s="9" t="n">
        <v>43132</v>
      </c>
      <c r="B31" s="11" t="n">
        <v>1.3011</v>
      </c>
      <c r="C31" s="11" t="n">
        <v>0.6604</v>
      </c>
      <c r="D31" s="11" t="n">
        <v>1.0547</v>
      </c>
      <c r="E31" s="11" t="n">
        <v>0.9748</v>
      </c>
      <c r="F31" s="11" t="n">
        <v>1.3536</v>
      </c>
      <c r="G31" s="11" t="n">
        <v>1.3273</v>
      </c>
      <c r="H31" s="11" t="n">
        <v>1.3167</v>
      </c>
      <c r="I31" s="11" t="n">
        <v>1.3338</v>
      </c>
      <c r="J31" s="11" t="n">
        <v>1.3469</v>
      </c>
      <c r="K31" s="11" t="n">
        <v>1.2741</v>
      </c>
      <c r="L31" s="11" t="n">
        <v>81.5</v>
      </c>
      <c r="M31" s="11" t="n">
        <v>1.3</v>
      </c>
      <c r="N31" s="11" t="n">
        <v>1.5226</v>
      </c>
      <c r="O31" s="11" t="n">
        <v>1.287</v>
      </c>
      <c r="P31" s="11" t="n">
        <v>1.1</v>
      </c>
      <c r="Q31" s="11" t="n">
        <v>1.4</v>
      </c>
      <c r="R31" s="11" t="n">
        <v>1.3</v>
      </c>
      <c r="S31" s="11" t="n">
        <v>1.3</v>
      </c>
      <c r="T31" s="11" t="n">
        <v>1.3</v>
      </c>
    </row>
    <row r="32">
      <c r="A32" s="9" t="n">
        <v>43160</v>
      </c>
      <c r="B32" s="11" t="n">
        <v>1.4448</v>
      </c>
      <c r="C32" s="11" t="n">
        <v>0.7113</v>
      </c>
      <c r="D32" s="11" t="n">
        <v>1.104</v>
      </c>
      <c r="E32" s="11" t="n">
        <v>1.1159</v>
      </c>
      <c r="F32" s="11" t="n">
        <v>1.4283</v>
      </c>
      <c r="G32" s="11" t="n">
        <v>1.3352</v>
      </c>
      <c r="H32" s="11" t="n">
        <v>1.3335</v>
      </c>
      <c r="I32" s="11" t="n">
        <v>1.3624</v>
      </c>
      <c r="J32" s="11" t="n">
        <v>1.3834</v>
      </c>
      <c r="K32" s="11" t="n">
        <v>1.2966</v>
      </c>
      <c r="L32" s="11" t="n">
        <v>81.75</v>
      </c>
      <c r="M32" s="11" t="n">
        <v>1.3</v>
      </c>
      <c r="N32" s="11" t="n">
        <v>1.5157</v>
      </c>
      <c r="O32" s="11" t="n">
        <v>1.293</v>
      </c>
      <c r="P32" s="11" t="n">
        <v>1.1</v>
      </c>
      <c r="Q32" s="11" t="n">
        <v>1.4</v>
      </c>
      <c r="R32" s="11" t="n">
        <v>1.3</v>
      </c>
      <c r="S32" s="11" t="n">
        <v>1.3</v>
      </c>
      <c r="T32" s="11" t="n">
        <v>1.4</v>
      </c>
    </row>
    <row r="33">
      <c r="A33" s="9" t="n">
        <v>43191</v>
      </c>
      <c r="B33" s="11" t="n">
        <v>1.3144</v>
      </c>
      <c r="C33" s="11" t="n">
        <v>0.0217</v>
      </c>
      <c r="D33" s="11" t="n">
        <v>1.0833</v>
      </c>
      <c r="E33" s="11" t="n">
        <v>0.5332</v>
      </c>
      <c r="F33" s="11" t="n">
        <v>1.2593</v>
      </c>
      <c r="G33" s="11" t="n">
        <v>1.2156</v>
      </c>
      <c r="H33" s="11" t="n">
        <v>1.1974</v>
      </c>
      <c r="I33" s="11" t="n">
        <v>1.2279</v>
      </c>
      <c r="J33" s="11" t="n">
        <v>1.2547</v>
      </c>
      <c r="K33" s="11" t="n">
        <v>1.2717</v>
      </c>
      <c r="L33" s="11" t="n">
        <v>81.95999999999999</v>
      </c>
      <c r="M33" s="11" t="n">
        <v>1.3</v>
      </c>
      <c r="N33" s="11" t="n">
        <v>1.541</v>
      </c>
      <c r="O33" s="11" t="n">
        <v>1.2929</v>
      </c>
      <c r="P33" s="11" t="n">
        <v>1.1</v>
      </c>
      <c r="Q33" s="11" t="n">
        <v>1.3</v>
      </c>
      <c r="R33" s="11" t="n">
        <v>1.2</v>
      </c>
      <c r="S33" s="11" t="n">
        <v>1.2</v>
      </c>
      <c r="T33" s="11" t="n">
        <v>1.2</v>
      </c>
    </row>
    <row r="34">
      <c r="A34" s="9" t="n">
        <v>43221</v>
      </c>
      <c r="B34" s="11" t="n">
        <v>1.4468</v>
      </c>
      <c r="C34" s="11" t="n">
        <v>0.9822</v>
      </c>
      <c r="D34" s="11" t="n">
        <v>1.0989</v>
      </c>
      <c r="E34" s="11" t="n">
        <v>1.3122</v>
      </c>
      <c r="F34" s="11" t="n">
        <v>1.7165</v>
      </c>
      <c r="G34" s="11" t="n">
        <v>1.4044</v>
      </c>
      <c r="H34" s="11" t="n">
        <v>1.3667</v>
      </c>
      <c r="I34" s="11" t="n">
        <v>1.3595</v>
      </c>
      <c r="J34" s="11" t="n">
        <v>1.3769</v>
      </c>
      <c r="K34" s="11" t="n">
        <v>1.3057</v>
      </c>
      <c r="L34" s="11" t="n">
        <v>82.22</v>
      </c>
      <c r="M34" s="11" t="n">
        <v>1.3</v>
      </c>
      <c r="N34" s="11" t="n">
        <v>1.6722</v>
      </c>
      <c r="O34" s="11" t="n">
        <v>1.3485</v>
      </c>
      <c r="P34" s="11" t="n">
        <v>1.1</v>
      </c>
      <c r="Q34" s="11" t="n">
        <v>1.7</v>
      </c>
      <c r="R34" s="11" t="n">
        <v>1.4</v>
      </c>
      <c r="S34" s="11" t="n">
        <v>1.4</v>
      </c>
      <c r="T34" s="11" t="n">
        <v>1.4</v>
      </c>
    </row>
    <row r="35">
      <c r="A35" s="9" t="n">
        <v>43252</v>
      </c>
      <c r="B35" s="11" t="n">
        <v>1.3348</v>
      </c>
      <c r="C35" s="11" t="n">
        <v>0.5082</v>
      </c>
      <c r="D35" s="11" t="n">
        <v>1.1018</v>
      </c>
      <c r="E35" s="11" t="n">
        <v>0.8828</v>
      </c>
      <c r="F35" s="11" t="n">
        <v>1.5465</v>
      </c>
      <c r="G35" s="11" t="n">
        <v>1.3573</v>
      </c>
      <c r="H35" s="11" t="n">
        <v>1.3415</v>
      </c>
      <c r="I35" s="11" t="n">
        <v>1.3005</v>
      </c>
      <c r="J35" s="11" t="n">
        <v>1.2659</v>
      </c>
      <c r="K35" s="11" t="n">
        <v>1.2332</v>
      </c>
      <c r="L35" s="11" t="n">
        <v>82.27</v>
      </c>
      <c r="M35" s="11" t="n">
        <v>1.2</v>
      </c>
      <c r="N35" s="11" t="n">
        <v>1.7044</v>
      </c>
      <c r="O35" s="11" t="n">
        <v>1.3354</v>
      </c>
      <c r="P35" s="11" t="n">
        <v>1.1</v>
      </c>
      <c r="Q35" s="11" t="n">
        <v>1.5</v>
      </c>
      <c r="R35" s="11" t="n">
        <v>1.3</v>
      </c>
      <c r="S35" s="11" t="n">
        <v>1.3</v>
      </c>
      <c r="T35" s="11" t="n">
        <v>1.3</v>
      </c>
    </row>
    <row r="36">
      <c r="A36" s="9" t="n">
        <v>43282</v>
      </c>
      <c r="B36" s="11" t="n">
        <v>1.4365</v>
      </c>
      <c r="C36" s="11" t="n">
        <v>0.8047</v>
      </c>
      <c r="D36" s="11" t="n">
        <v>1.1102</v>
      </c>
      <c r="E36" s="11" t="n">
        <v>1.1668</v>
      </c>
      <c r="F36" s="11" t="n">
        <v>1.7327</v>
      </c>
      <c r="G36" s="11" t="n">
        <v>1.5402</v>
      </c>
      <c r="H36" s="11" t="n">
        <v>1.5037</v>
      </c>
      <c r="I36" s="11" t="n">
        <v>1.4284</v>
      </c>
      <c r="J36" s="11" t="n">
        <v>1.3772</v>
      </c>
      <c r="K36" s="11" t="n">
        <v>1.2296</v>
      </c>
      <c r="L36" s="11" t="n">
        <v>82.64</v>
      </c>
      <c r="M36" s="11" t="n">
        <v>1.2</v>
      </c>
      <c r="N36" s="11" t="n">
        <v>1.6853</v>
      </c>
      <c r="O36" s="11" t="n">
        <v>1.3476</v>
      </c>
      <c r="P36" s="11" t="n">
        <v>1.1</v>
      </c>
      <c r="Q36" s="11" t="n">
        <v>1.7</v>
      </c>
      <c r="R36" s="11" t="n">
        <v>1.5</v>
      </c>
      <c r="S36" s="11" t="n">
        <v>1.5</v>
      </c>
      <c r="T36" s="11" t="n">
        <v>1.4</v>
      </c>
    </row>
    <row r="37">
      <c r="A37" s="9" t="n">
        <v>43313</v>
      </c>
      <c r="B37" s="11" t="n">
        <v>1.326</v>
      </c>
      <c r="C37" s="11" t="n">
        <v>0.702</v>
      </c>
      <c r="D37" s="11" t="n">
        <v>1.0772</v>
      </c>
      <c r="E37" s="11" t="n">
        <v>1.0194</v>
      </c>
      <c r="F37" s="11" t="n">
        <v>1.6441</v>
      </c>
      <c r="G37" s="11" t="n">
        <v>1.4853</v>
      </c>
      <c r="H37" s="11" t="n">
        <v>1.4806</v>
      </c>
      <c r="I37" s="11" t="n">
        <v>1.4117</v>
      </c>
      <c r="J37" s="11" t="n">
        <v>1.3503</v>
      </c>
      <c r="K37" s="11" t="n">
        <v>1.2641</v>
      </c>
      <c r="L37" s="11" t="n">
        <v>82.69</v>
      </c>
      <c r="M37" s="11" t="n">
        <v>1.3</v>
      </c>
      <c r="N37" s="11" t="n">
        <v>1.6555</v>
      </c>
      <c r="O37" s="11" t="n">
        <v>1.3397</v>
      </c>
      <c r="P37" s="11" t="n">
        <v>1.1</v>
      </c>
      <c r="Q37" s="11" t="n">
        <v>1.6</v>
      </c>
      <c r="R37" s="11" t="n">
        <v>1.5</v>
      </c>
      <c r="S37" s="11" t="n">
        <v>1.5</v>
      </c>
      <c r="T37" s="11" t="n">
        <v>1.4</v>
      </c>
    </row>
    <row r="38">
      <c r="A38" s="9" t="n">
        <v>43344</v>
      </c>
      <c r="B38" s="11" t="n">
        <v>1.3534</v>
      </c>
      <c r="C38" s="11" t="n">
        <v>0.4657</v>
      </c>
      <c r="D38" s="11" t="n">
        <v>1.1222</v>
      </c>
      <c r="E38" s="11" t="n">
        <v>0.8564000000000001</v>
      </c>
      <c r="F38" s="11" t="n">
        <v>1.698</v>
      </c>
      <c r="G38" s="11" t="n">
        <v>1.4691</v>
      </c>
      <c r="H38" s="11" t="n">
        <v>1.4463</v>
      </c>
      <c r="I38" s="11" t="n">
        <v>1.384</v>
      </c>
      <c r="J38" s="11" t="n">
        <v>1.3786</v>
      </c>
      <c r="K38" s="11" t="n">
        <v>1.2638</v>
      </c>
      <c r="L38" s="11" t="n">
        <v>82.52</v>
      </c>
      <c r="M38" s="11" t="n">
        <v>1.3</v>
      </c>
      <c r="N38" s="11" t="n">
        <v>1.6588</v>
      </c>
      <c r="O38" s="11" t="n">
        <v>1.3562</v>
      </c>
      <c r="P38" s="11" t="n">
        <v>1.1</v>
      </c>
      <c r="Q38" s="11" t="n">
        <v>1.7</v>
      </c>
      <c r="R38" s="11" t="n">
        <v>1.5</v>
      </c>
      <c r="S38" s="11" t="n">
        <v>1.4</v>
      </c>
      <c r="T38" s="11" t="n">
        <v>1.4</v>
      </c>
    </row>
    <row r="39">
      <c r="A39" s="9" t="n">
        <v>43374</v>
      </c>
      <c r="B39" s="11" t="n">
        <v>1.4281</v>
      </c>
      <c r="C39" s="11" t="n">
        <v>0.8833</v>
      </c>
      <c r="D39" s="11" t="n">
        <v>1.2886</v>
      </c>
      <c r="E39" s="11" t="n">
        <v>1.1213</v>
      </c>
      <c r="F39" s="11" t="n">
        <v>1.819</v>
      </c>
      <c r="G39" s="11" t="n">
        <v>1.522</v>
      </c>
      <c r="H39" s="11" t="n">
        <v>1.4789</v>
      </c>
      <c r="I39" s="11" t="n">
        <v>1.4342</v>
      </c>
      <c r="J39" s="11" t="n">
        <v>1.4345</v>
      </c>
      <c r="K39" s="11" t="n">
        <v>1.4009</v>
      </c>
      <c r="L39" s="11" t="n">
        <v>82.42</v>
      </c>
      <c r="M39" s="11" t="n">
        <v>1.4</v>
      </c>
      <c r="N39" s="11" t="n">
        <v>1.6868</v>
      </c>
      <c r="O39" s="11" t="n">
        <v>1.3555</v>
      </c>
      <c r="P39" s="11" t="n">
        <v>1.3</v>
      </c>
      <c r="Q39" s="11" t="n">
        <v>1.8</v>
      </c>
      <c r="R39" s="11" t="n">
        <v>1.5</v>
      </c>
      <c r="S39" s="11" t="n">
        <v>1.5</v>
      </c>
      <c r="T39" s="11" t="n">
        <v>1.4</v>
      </c>
    </row>
    <row r="40">
      <c r="A40" s="9" t="n">
        <v>43405</v>
      </c>
      <c r="B40" s="11" t="n">
        <v>1.437</v>
      </c>
      <c r="C40" s="11" t="n">
        <v>0.3384</v>
      </c>
      <c r="D40" s="11" t="n">
        <v>1.3101</v>
      </c>
      <c r="E40" s="11" t="n">
        <v>0.7309</v>
      </c>
      <c r="F40" s="11" t="n">
        <v>1.6242</v>
      </c>
      <c r="G40" s="11" t="n">
        <v>1.3838</v>
      </c>
      <c r="H40" s="11" t="n">
        <v>1.3635</v>
      </c>
      <c r="I40" s="11" t="n">
        <v>1.3019</v>
      </c>
      <c r="J40" s="11" t="n">
        <v>1.2874</v>
      </c>
      <c r="K40" s="11" t="n">
        <v>1.3072</v>
      </c>
      <c r="L40" s="11" t="n">
        <v>82.17</v>
      </c>
      <c r="M40" s="11" t="n">
        <v>1.2</v>
      </c>
      <c r="N40" s="11" t="n">
        <v>1.69</v>
      </c>
      <c r="O40" s="11" t="n">
        <v>1.3842</v>
      </c>
      <c r="P40" s="11" t="n">
        <v>1.3</v>
      </c>
      <c r="Q40" s="11" t="n">
        <v>1.6</v>
      </c>
      <c r="R40" s="11" t="n">
        <v>1.4</v>
      </c>
      <c r="S40" s="11" t="n">
        <v>1.4</v>
      </c>
      <c r="T40" s="11" t="n">
        <v>1.3</v>
      </c>
    </row>
    <row r="41">
      <c r="A41" s="9" t="n">
        <v>43435</v>
      </c>
      <c r="B41" s="11" t="n">
        <v>1.4175</v>
      </c>
      <c r="C41" s="11" t="n">
        <v>0.3387</v>
      </c>
      <c r="D41" s="11" t="n">
        <v>1.3405</v>
      </c>
      <c r="E41" s="11" t="n">
        <v>0.6999</v>
      </c>
      <c r="F41" s="11" t="n">
        <v>1.4667</v>
      </c>
      <c r="G41" s="11" t="n">
        <v>1.329</v>
      </c>
      <c r="H41" s="11" t="n">
        <v>1.3109</v>
      </c>
      <c r="I41" s="11" t="n">
        <v>1.2797</v>
      </c>
      <c r="J41" s="11" t="n">
        <v>1.2893</v>
      </c>
      <c r="K41" s="11" t="n">
        <v>1.2682</v>
      </c>
      <c r="L41" s="11" t="n">
        <v>82.23999999999999</v>
      </c>
      <c r="M41" s="11" t="n">
        <v>1.3</v>
      </c>
      <c r="N41" s="11" t="n">
        <v>1.5469</v>
      </c>
      <c r="O41" s="11" t="n">
        <v>1.3492</v>
      </c>
      <c r="P41" s="11" t="n">
        <v>1.3</v>
      </c>
      <c r="Q41" s="11" t="n">
        <v>1.5</v>
      </c>
      <c r="R41" s="11" t="n">
        <v>1.3</v>
      </c>
      <c r="S41" s="11" t="n">
        <v>1.3</v>
      </c>
      <c r="T41" s="11" t="n">
        <v>1.3</v>
      </c>
    </row>
    <row r="42">
      <c r="A42" s="9" t="n">
        <v>43466</v>
      </c>
      <c r="B42" s="11" t="n">
        <v>1.4249</v>
      </c>
      <c r="C42" s="11" t="n">
        <v>0.681</v>
      </c>
      <c r="D42" s="11" t="n">
        <v>1.3945</v>
      </c>
      <c r="E42" s="11" t="n">
        <v>0.9478</v>
      </c>
      <c r="F42" s="11" t="n">
        <v>1.3674</v>
      </c>
      <c r="G42" s="11" t="n">
        <v>1.2956</v>
      </c>
      <c r="H42" s="11" t="n">
        <v>1.2996</v>
      </c>
      <c r="I42" s="11" t="n">
        <v>1.3055</v>
      </c>
      <c r="J42" s="11" t="n">
        <v>1.2887</v>
      </c>
      <c r="K42" s="11" t="n">
        <v>1.2873</v>
      </c>
      <c r="L42" s="11" t="n">
        <v>82.45</v>
      </c>
      <c r="M42" s="11" t="n">
        <v>1.3</v>
      </c>
      <c r="N42" s="11" t="n">
        <v>1.5003</v>
      </c>
      <c r="O42" s="11" t="n">
        <v>1.3919</v>
      </c>
      <c r="P42" s="11" t="n">
        <v>1.4</v>
      </c>
      <c r="Q42" s="11" t="n">
        <v>1.4</v>
      </c>
      <c r="R42" s="11" t="n">
        <v>1.3</v>
      </c>
      <c r="S42" s="11" t="n">
        <v>1.3</v>
      </c>
      <c r="T42" s="11" t="n">
        <v>1.3</v>
      </c>
    </row>
    <row r="43">
      <c r="A43" s="9" t="n">
        <v>43497</v>
      </c>
      <c r="B43" s="11" t="n">
        <v>1.4095</v>
      </c>
      <c r="C43" s="11" t="n">
        <v>0.427</v>
      </c>
      <c r="D43" s="11" t="n">
        <v>1.4328</v>
      </c>
      <c r="E43" s="11" t="n">
        <v>0.7355</v>
      </c>
      <c r="F43" s="11" t="n">
        <v>1.4227</v>
      </c>
      <c r="G43" s="11" t="n">
        <v>1.3582</v>
      </c>
      <c r="H43" s="11" t="n">
        <v>1.3478</v>
      </c>
      <c r="I43" s="11" t="n">
        <v>1.3512</v>
      </c>
      <c r="J43" s="11" t="n">
        <v>1.2939</v>
      </c>
      <c r="K43" s="11" t="n">
        <v>1.2503</v>
      </c>
      <c r="L43" s="11" t="n">
        <v>82.65000000000001</v>
      </c>
      <c r="M43" s="11" t="n">
        <v>1.3</v>
      </c>
      <c r="N43" s="11" t="n">
        <v>1.5735</v>
      </c>
      <c r="O43" s="11" t="n">
        <v>1.4253</v>
      </c>
      <c r="P43" s="11" t="n">
        <v>1.4</v>
      </c>
      <c r="Q43" s="11" t="n">
        <v>1.4</v>
      </c>
      <c r="R43" s="11" t="n">
        <v>1.4</v>
      </c>
      <c r="S43" s="11" t="n">
        <v>1.3</v>
      </c>
      <c r="T43" s="11" t="n">
        <v>1.3</v>
      </c>
    </row>
    <row r="44">
      <c r="A44" s="9" t="n">
        <v>43525</v>
      </c>
      <c r="B44" s="11" t="n">
        <v>1.3281</v>
      </c>
      <c r="C44" s="11" t="n">
        <v>0.0688</v>
      </c>
      <c r="D44" s="11" t="n">
        <v>1.3722</v>
      </c>
      <c r="E44" s="11" t="n">
        <v>0.4295</v>
      </c>
      <c r="F44" s="11" t="n">
        <v>1.426</v>
      </c>
      <c r="G44" s="11" t="n">
        <v>1.3447</v>
      </c>
      <c r="H44" s="11" t="n">
        <v>1.3108</v>
      </c>
      <c r="I44" s="11" t="n">
        <v>1.3071</v>
      </c>
      <c r="J44" s="11" t="n">
        <v>1.3205</v>
      </c>
      <c r="K44" s="11" t="n">
        <v>1.195</v>
      </c>
      <c r="L44" s="11" t="n">
        <v>82.83</v>
      </c>
      <c r="M44" s="11" t="n">
        <v>1.2</v>
      </c>
      <c r="N44" s="11" t="n">
        <v>1.6665</v>
      </c>
      <c r="O44" s="11" t="n">
        <v>1.4401</v>
      </c>
      <c r="P44" s="11" t="n">
        <v>1.4</v>
      </c>
      <c r="Q44" s="11" t="n">
        <v>1.4</v>
      </c>
      <c r="R44" s="11" t="n">
        <v>1.3</v>
      </c>
      <c r="S44" s="11" t="n">
        <v>1.3</v>
      </c>
      <c r="T44" s="11" t="n">
        <v>1.3</v>
      </c>
    </row>
    <row r="45">
      <c r="A45" s="9" t="n">
        <v>43556</v>
      </c>
      <c r="B45" s="11" t="n">
        <v>1.5525</v>
      </c>
      <c r="C45" s="11" t="n">
        <v>0.9809</v>
      </c>
      <c r="D45" s="11" t="n">
        <v>1.4771</v>
      </c>
      <c r="E45" s="11" t="n">
        <v>1.1987</v>
      </c>
      <c r="F45" s="11" t="n">
        <v>1.7535</v>
      </c>
      <c r="G45" s="11" t="n">
        <v>1.6169</v>
      </c>
      <c r="H45" s="11" t="n">
        <v>1.574</v>
      </c>
      <c r="I45" s="11" t="n">
        <v>1.4576</v>
      </c>
      <c r="J45" s="11" t="n">
        <v>1.4297</v>
      </c>
      <c r="K45" s="11" t="n">
        <v>1.3476</v>
      </c>
      <c r="L45" s="11" t="n">
        <v>83.23</v>
      </c>
      <c r="M45" s="11" t="n">
        <v>1.3</v>
      </c>
      <c r="N45" s="11" t="n">
        <v>1.6936</v>
      </c>
      <c r="O45" s="11" t="n">
        <v>1.4331</v>
      </c>
      <c r="P45" s="11" t="n">
        <v>1.5</v>
      </c>
      <c r="Q45" s="11" t="n">
        <v>1.8</v>
      </c>
      <c r="R45" s="11" t="n">
        <v>1.6</v>
      </c>
      <c r="S45" s="11" t="n">
        <v>1.6</v>
      </c>
      <c r="T45" s="11" t="n">
        <v>1.5</v>
      </c>
    </row>
    <row r="46">
      <c r="A46" s="9" t="n">
        <v>43586</v>
      </c>
      <c r="B46" s="11" t="n">
        <v>1.4145</v>
      </c>
      <c r="C46" s="11" t="n">
        <v>-0.0098</v>
      </c>
      <c r="D46" s="11" t="n">
        <v>1.4771</v>
      </c>
      <c r="E46" s="11" t="n">
        <v>0.3894</v>
      </c>
      <c r="F46" s="11" t="n">
        <v>1.4322</v>
      </c>
      <c r="G46" s="11" t="n">
        <v>1.4355</v>
      </c>
      <c r="H46" s="11" t="n">
        <v>1.4262</v>
      </c>
      <c r="I46" s="11" t="n">
        <v>1.4422</v>
      </c>
      <c r="J46" s="11" t="n">
        <v>1.4274</v>
      </c>
      <c r="K46" s="11" t="n">
        <v>1.4898</v>
      </c>
      <c r="L46" s="11" t="n">
        <v>83.38</v>
      </c>
      <c r="M46" s="11" t="n">
        <v>1.4</v>
      </c>
      <c r="N46" s="11" t="n">
        <v>1.6539</v>
      </c>
      <c r="O46" s="11" t="n">
        <v>1.4001</v>
      </c>
      <c r="P46" s="11" t="n">
        <v>1.5</v>
      </c>
      <c r="Q46" s="11" t="n">
        <v>1.4</v>
      </c>
      <c r="R46" s="11" t="n">
        <v>1.4</v>
      </c>
      <c r="S46" s="11" t="n">
        <v>1.4</v>
      </c>
      <c r="T46" s="11" t="n">
        <v>1.4</v>
      </c>
    </row>
    <row r="47">
      <c r="A47" s="9" t="n">
        <v>43617</v>
      </c>
      <c r="B47" s="11" t="n">
        <v>1.5934</v>
      </c>
      <c r="C47" s="11" t="n">
        <v>0.5375</v>
      </c>
      <c r="D47" s="11" t="n">
        <v>1.462</v>
      </c>
      <c r="E47" s="11" t="n">
        <v>0.9333</v>
      </c>
      <c r="F47" s="11" t="n">
        <v>1.4262</v>
      </c>
      <c r="G47" s="11" t="n">
        <v>1.4095</v>
      </c>
      <c r="H47" s="11" t="n">
        <v>1.4031</v>
      </c>
      <c r="I47" s="11" t="n">
        <v>1.4095</v>
      </c>
      <c r="J47" s="11" t="n">
        <v>1.4481</v>
      </c>
      <c r="K47" s="11" t="n">
        <v>1.4408</v>
      </c>
      <c r="L47" s="11" t="n">
        <v>83.58</v>
      </c>
      <c r="M47" s="11" t="n">
        <v>1.4</v>
      </c>
      <c r="N47" s="11" t="n">
        <v>1.6047</v>
      </c>
      <c r="O47" s="11" t="n">
        <v>1.4004</v>
      </c>
      <c r="P47" s="11" t="n">
        <v>1.5</v>
      </c>
      <c r="Q47" s="11" t="n">
        <v>1.4</v>
      </c>
      <c r="R47" s="11" t="n">
        <v>1.4</v>
      </c>
      <c r="S47" s="11" t="n">
        <v>1.4</v>
      </c>
      <c r="T47" s="11" t="n">
        <v>1.4</v>
      </c>
    </row>
    <row r="48">
      <c r="A48" s="9" t="n">
        <v>43647</v>
      </c>
      <c r="B48" s="11" t="n">
        <v>1.4666</v>
      </c>
      <c r="C48" s="11" t="n">
        <v>0.0853</v>
      </c>
      <c r="D48" s="11" t="n">
        <v>1.4638</v>
      </c>
      <c r="E48" s="11" t="n">
        <v>0.5291</v>
      </c>
      <c r="F48" s="11" t="n">
        <v>1.2536</v>
      </c>
      <c r="G48" s="11" t="n">
        <v>1.3216</v>
      </c>
      <c r="H48" s="11" t="n">
        <v>1.3409</v>
      </c>
      <c r="I48" s="11" t="n">
        <v>1.3966</v>
      </c>
      <c r="J48" s="11" t="n">
        <v>1.416</v>
      </c>
      <c r="K48" s="11" t="n">
        <v>1.4806</v>
      </c>
      <c r="L48" s="11" t="n">
        <v>83.84999999999999</v>
      </c>
      <c r="M48" s="11" t="n">
        <v>1.4</v>
      </c>
      <c r="N48" s="11" t="n">
        <v>1.5785</v>
      </c>
      <c r="O48" s="11" t="n">
        <v>1.3738</v>
      </c>
      <c r="P48" s="11" t="n">
        <v>1.5</v>
      </c>
      <c r="Q48" s="11" t="n">
        <v>1.2</v>
      </c>
      <c r="R48" s="11" t="n">
        <v>1.3</v>
      </c>
      <c r="S48" s="11" t="n">
        <v>1.3</v>
      </c>
      <c r="T48" s="11" t="n">
        <v>1.4</v>
      </c>
    </row>
    <row r="49">
      <c r="A49" s="9" t="n">
        <v>43678</v>
      </c>
      <c r="B49" s="11" t="n">
        <v>1.5606</v>
      </c>
      <c r="C49" s="11" t="n">
        <v>0.1602</v>
      </c>
      <c r="D49" s="11" t="n">
        <v>1.5099</v>
      </c>
      <c r="E49" s="11" t="n">
        <v>0.6346000000000001</v>
      </c>
      <c r="F49" s="11" t="n">
        <v>1.1926</v>
      </c>
      <c r="G49" s="11" t="n">
        <v>1.3062</v>
      </c>
      <c r="H49" s="11" t="n">
        <v>1.3313</v>
      </c>
      <c r="I49" s="11" t="n">
        <v>1.3911</v>
      </c>
      <c r="J49" s="11" t="n">
        <v>1.408</v>
      </c>
      <c r="K49" s="11" t="n">
        <v>1.4356</v>
      </c>
      <c r="L49" s="11" t="n">
        <v>83.98</v>
      </c>
      <c r="M49" s="11" t="n">
        <v>1.4</v>
      </c>
      <c r="N49" s="11" t="n">
        <v>1.5929</v>
      </c>
      <c r="O49" s="11" t="n">
        <v>1.4042</v>
      </c>
      <c r="P49" s="11" t="n">
        <v>1.5</v>
      </c>
      <c r="Q49" s="11" t="n">
        <v>1.2</v>
      </c>
      <c r="R49" s="11" t="n">
        <v>1.3</v>
      </c>
      <c r="S49" s="11" t="n">
        <v>1.3</v>
      </c>
      <c r="T49" s="11" t="n">
        <v>1.4</v>
      </c>
    </row>
    <row r="50">
      <c r="A50" s="9" t="n">
        <v>43709</v>
      </c>
      <c r="B50" s="11" t="n">
        <v>1.5563</v>
      </c>
      <c r="C50" s="11" t="n">
        <v>0.3374</v>
      </c>
      <c r="D50" s="11" t="n">
        <v>1.4502</v>
      </c>
      <c r="E50" s="11" t="n">
        <v>0.7737000000000001</v>
      </c>
      <c r="F50" s="11" t="n">
        <v>1.055</v>
      </c>
      <c r="G50" s="11" t="n">
        <v>1.2015</v>
      </c>
      <c r="H50" s="11" t="n">
        <v>1.2217</v>
      </c>
      <c r="I50" s="11" t="n">
        <v>1.2582</v>
      </c>
      <c r="J50" s="11" t="n">
        <v>1.2853</v>
      </c>
      <c r="K50" s="11" t="n">
        <v>1.2262</v>
      </c>
      <c r="L50" s="11" t="n">
        <v>83.81</v>
      </c>
      <c r="M50" s="11" t="n">
        <v>1.2</v>
      </c>
      <c r="N50" s="11" t="n">
        <v>1.6651</v>
      </c>
      <c r="O50" s="11" t="n">
        <v>1.4316</v>
      </c>
      <c r="P50" s="11" t="n">
        <v>1.5</v>
      </c>
      <c r="Q50" s="11" t="n">
        <v>1.1</v>
      </c>
      <c r="R50" s="11" t="n">
        <v>1.2</v>
      </c>
      <c r="S50" s="11" t="n">
        <v>1.2</v>
      </c>
      <c r="T50" s="11" t="n">
        <v>1.3</v>
      </c>
    </row>
    <row r="51">
      <c r="A51" s="9" t="n">
        <v>43739</v>
      </c>
      <c r="B51" s="11" t="n">
        <v>1.5701</v>
      </c>
      <c r="C51" s="11" t="n">
        <v>0.4531</v>
      </c>
      <c r="D51" s="11" t="n">
        <v>1.4902</v>
      </c>
      <c r="E51" s="11" t="n">
        <v>0.8378</v>
      </c>
      <c r="F51" s="11" t="n">
        <v>0.9761</v>
      </c>
      <c r="G51" s="11" t="n">
        <v>1.1651</v>
      </c>
      <c r="H51" s="11" t="n">
        <v>1.178</v>
      </c>
      <c r="I51" s="11" t="n">
        <v>1.2052</v>
      </c>
      <c r="J51" s="11" t="n">
        <v>1.211</v>
      </c>
      <c r="K51" s="11" t="n">
        <v>1.1842</v>
      </c>
      <c r="L51" s="11" t="n">
        <v>83.72</v>
      </c>
      <c r="M51" s="11" t="n">
        <v>1.2</v>
      </c>
      <c r="N51" s="11" t="n">
        <v>1.7173</v>
      </c>
      <c r="O51" s="11" t="n">
        <v>1.4611</v>
      </c>
      <c r="P51" s="11" t="n">
        <v>1.5</v>
      </c>
      <c r="Q51" s="11" t="n">
        <v>1</v>
      </c>
      <c r="R51" s="11" t="n">
        <v>1.2</v>
      </c>
      <c r="S51" s="11" t="n">
        <v>1.2</v>
      </c>
      <c r="T51" s="11" t="n">
        <v>1.2</v>
      </c>
    </row>
    <row r="52">
      <c r="A52" s="9" t="n">
        <v>43770</v>
      </c>
      <c r="B52" s="11" t="n">
        <v>1.5763</v>
      </c>
      <c r="C52" s="11" t="n">
        <v>0.9492</v>
      </c>
      <c r="D52" s="11" t="n">
        <v>1.5162</v>
      </c>
      <c r="E52" s="11" t="n">
        <v>1.1781</v>
      </c>
      <c r="F52" s="11" t="n">
        <v>1.1072</v>
      </c>
      <c r="G52" s="11" t="n">
        <v>1.2717</v>
      </c>
      <c r="H52" s="11" t="n">
        <v>1.2727</v>
      </c>
      <c r="I52" s="11" t="n">
        <v>1.2781</v>
      </c>
      <c r="J52" s="11" t="n">
        <v>1.2437</v>
      </c>
      <c r="K52" s="11" t="n">
        <v>1.1947</v>
      </c>
      <c r="L52" s="11" t="n">
        <v>83.45999999999999</v>
      </c>
      <c r="M52" s="11" t="n">
        <v>1.2</v>
      </c>
      <c r="N52" s="11" t="n">
        <v>1.7644</v>
      </c>
      <c r="O52" s="11" t="n">
        <v>1.4839</v>
      </c>
      <c r="P52" s="11" t="n">
        <v>1.5</v>
      </c>
      <c r="Q52" s="11" t="n">
        <v>1.1</v>
      </c>
      <c r="R52" s="11" t="n">
        <v>1.3</v>
      </c>
      <c r="S52" s="11" t="n">
        <v>1.3</v>
      </c>
      <c r="T52" s="11" t="n">
        <v>1.3</v>
      </c>
    </row>
    <row r="53">
      <c r="A53" s="9" t="n">
        <v>43800</v>
      </c>
      <c r="B53" s="11" t="n">
        <v>1.6135</v>
      </c>
      <c r="C53" s="11" t="n">
        <v>0.9018</v>
      </c>
      <c r="D53" s="11" t="n">
        <v>1.5064</v>
      </c>
      <c r="E53" s="11" t="n">
        <v>1.178</v>
      </c>
      <c r="F53" s="11" t="n">
        <v>1.4072</v>
      </c>
      <c r="G53" s="11" t="n">
        <v>1.3972</v>
      </c>
      <c r="H53" s="11" t="n">
        <v>1.3906</v>
      </c>
      <c r="I53" s="11" t="n">
        <v>1.3978</v>
      </c>
      <c r="J53" s="11" t="n">
        <v>1.3698</v>
      </c>
      <c r="K53" s="11" t="n">
        <v>1.3643</v>
      </c>
      <c r="L53" s="11" t="n">
        <v>83.56999999999999</v>
      </c>
      <c r="M53" s="11" t="n">
        <v>1.4</v>
      </c>
      <c r="N53" s="11" t="n">
        <v>1.7729</v>
      </c>
      <c r="O53" s="11" t="n">
        <v>1.4766</v>
      </c>
      <c r="P53" s="11" t="n">
        <v>1.5</v>
      </c>
      <c r="Q53" s="11" t="n">
        <v>1.4</v>
      </c>
      <c r="R53" s="11" t="n">
        <v>1.4</v>
      </c>
      <c r="S53" s="11" t="n">
        <v>1.4</v>
      </c>
      <c r="T53" s="11" t="n">
        <v>1.4</v>
      </c>
    </row>
    <row r="54">
      <c r="A54" s="9" t="n">
        <v>43831</v>
      </c>
      <c r="B54" s="11" t="n">
        <v>1.5592</v>
      </c>
      <c r="C54" s="11" t="n">
        <v>0.5054</v>
      </c>
      <c r="D54" s="11" t="n">
        <v>1.4194</v>
      </c>
      <c r="E54" s="11" t="n">
        <v>0.9051</v>
      </c>
      <c r="F54" s="11" t="n">
        <v>1.4123</v>
      </c>
      <c r="G54" s="11" t="n">
        <v>1.3422</v>
      </c>
      <c r="H54" s="11" t="n">
        <v>1.3313</v>
      </c>
      <c r="I54" s="11" t="n">
        <v>1.3448</v>
      </c>
      <c r="J54" s="11" t="n">
        <v>1.3617</v>
      </c>
      <c r="K54" s="11" t="n">
        <v>1.4489</v>
      </c>
      <c r="L54" s="11" t="n">
        <v>83.73</v>
      </c>
      <c r="M54" s="11" t="n">
        <v>1.4</v>
      </c>
      <c r="N54" s="11" t="n">
        <v>1.7451</v>
      </c>
      <c r="O54" s="11" t="n">
        <v>1.4558</v>
      </c>
      <c r="P54" s="11" t="n">
        <v>1.4</v>
      </c>
      <c r="Q54" s="11" t="n">
        <v>1.4</v>
      </c>
      <c r="R54" s="11" t="n">
        <v>1.3</v>
      </c>
      <c r="S54" s="11" t="n">
        <v>1.3</v>
      </c>
      <c r="T54" s="11" t="n">
        <v>1.3</v>
      </c>
    </row>
    <row r="55">
      <c r="A55" s="9" t="n">
        <v>43862</v>
      </c>
      <c r="B55" s="11" t="n">
        <v>1.55</v>
      </c>
      <c r="C55" s="11" t="n">
        <v>0.7867</v>
      </c>
      <c r="D55" s="11" t="n">
        <v>1.4638</v>
      </c>
      <c r="E55" s="11" t="n">
        <v>1.0654</v>
      </c>
      <c r="F55" s="11" t="n">
        <v>1.339</v>
      </c>
      <c r="G55" s="11" t="n">
        <v>1.3312</v>
      </c>
      <c r="H55" s="11" t="n">
        <v>1.3406</v>
      </c>
      <c r="I55" s="11" t="n">
        <v>1.365</v>
      </c>
      <c r="J55" s="11" t="n">
        <v>1.3559</v>
      </c>
      <c r="K55" s="11" t="n">
        <v>1.38</v>
      </c>
      <c r="L55" s="11" t="n">
        <v>83.93000000000001</v>
      </c>
      <c r="M55" s="11" t="n">
        <v>1.4</v>
      </c>
      <c r="N55" s="11" t="n">
        <v>1.6748</v>
      </c>
      <c r="O55" s="11" t="n">
        <v>1.4394</v>
      </c>
      <c r="P55" s="11" t="n">
        <v>1.5</v>
      </c>
      <c r="Q55" s="11" t="n">
        <v>1.3</v>
      </c>
      <c r="R55" s="11" t="n">
        <v>1.3</v>
      </c>
      <c r="S55" s="11" t="n">
        <v>1.3</v>
      </c>
      <c r="T55" s="11" t="n">
        <v>1.4</v>
      </c>
    </row>
    <row r="56">
      <c r="A56" s="9" t="n">
        <v>43891</v>
      </c>
      <c r="B56" s="11" t="n">
        <v>1.4449</v>
      </c>
      <c r="C56" s="11" t="n">
        <v>0.5219</v>
      </c>
      <c r="D56" s="11" t="n">
        <v>1.4837</v>
      </c>
      <c r="E56" s="11" t="n">
        <v>0.779</v>
      </c>
      <c r="F56" s="11" t="n">
        <v>0.9565</v>
      </c>
      <c r="G56" s="11" t="n">
        <v>1.0944</v>
      </c>
      <c r="H56" s="11" t="n">
        <v>1.1265</v>
      </c>
      <c r="I56" s="11" t="n">
        <v>1.1565</v>
      </c>
      <c r="J56" s="11" t="n">
        <v>1.1592</v>
      </c>
      <c r="K56" s="11" t="n">
        <v>1.1249</v>
      </c>
      <c r="L56" s="11" t="n">
        <v>84.02</v>
      </c>
      <c r="M56" s="11" t="n">
        <v>1.1</v>
      </c>
      <c r="N56" s="11" t="n">
        <v>1.6948</v>
      </c>
      <c r="O56" s="11" t="n">
        <v>1.4944</v>
      </c>
      <c r="P56" s="11" t="n">
        <v>1.5</v>
      </c>
      <c r="Q56" s="11" t="n">
        <v>1</v>
      </c>
      <c r="R56" s="11" t="n">
        <v>1.1</v>
      </c>
      <c r="S56" s="11" t="n">
        <v>1.1</v>
      </c>
      <c r="T56" s="11" t="n">
        <v>1.2</v>
      </c>
    </row>
    <row r="57">
      <c r="A57" s="9" t="n">
        <v>43922</v>
      </c>
      <c r="B57" s="11" t="n">
        <v>1.3224</v>
      </c>
      <c r="C57" s="11" t="n">
        <v>0.2641</v>
      </c>
      <c r="D57" s="11" t="n">
        <v>1.3468</v>
      </c>
      <c r="E57" s="11" t="n">
        <v>0.5714</v>
      </c>
      <c r="F57" s="11" t="n">
        <v>0.8632</v>
      </c>
      <c r="G57" s="11" t="n">
        <v>0.9796</v>
      </c>
      <c r="H57" s="11" t="n">
        <v>1.0209</v>
      </c>
      <c r="I57" s="11" t="n">
        <v>1.1471</v>
      </c>
      <c r="J57" s="11" t="n">
        <v>1.2302</v>
      </c>
      <c r="K57" s="11" t="n">
        <v>1.3203</v>
      </c>
      <c r="L57" s="11" t="n">
        <v>84.33</v>
      </c>
      <c r="M57" s="11" t="n">
        <v>1.3</v>
      </c>
      <c r="N57" s="11" t="n">
        <v>1.676</v>
      </c>
      <c r="O57" s="11" t="n">
        <v>1.5169</v>
      </c>
      <c r="P57" s="11" t="n">
        <v>1.3</v>
      </c>
      <c r="Q57" s="11" t="n">
        <v>0.9</v>
      </c>
      <c r="R57" s="11" t="n">
        <v>1</v>
      </c>
      <c r="S57" s="11" t="n">
        <v>1</v>
      </c>
      <c r="T57" s="11" t="n">
        <v>1.1</v>
      </c>
    </row>
    <row r="58">
      <c r="A58" s="9" t="n">
        <v>43952</v>
      </c>
      <c r="B58" s="11" t="n">
        <v>1.3611</v>
      </c>
      <c r="C58" s="11" t="n">
        <v>0.343</v>
      </c>
      <c r="D58" s="11" t="n">
        <v>1.3965</v>
      </c>
      <c r="E58" s="11" t="n">
        <v>0.6321</v>
      </c>
      <c r="F58" s="11" t="n">
        <v>0.8833</v>
      </c>
      <c r="G58" s="11" t="n">
        <v>0.9889</v>
      </c>
      <c r="H58" s="11" t="n">
        <v>1.0111</v>
      </c>
      <c r="I58" s="11" t="n">
        <v>1.1003</v>
      </c>
      <c r="J58" s="11" t="n">
        <v>1.1522</v>
      </c>
      <c r="K58" s="11" t="n">
        <v>1.2052</v>
      </c>
      <c r="L58" s="11" t="n">
        <v>84.51000000000001</v>
      </c>
      <c r="M58" s="11" t="n">
        <v>1.2</v>
      </c>
      <c r="N58" s="11" t="n">
        <v>1.4891</v>
      </c>
      <c r="O58" s="11" t="n">
        <v>1.4561</v>
      </c>
      <c r="P58" s="11" t="n">
        <v>1.4</v>
      </c>
      <c r="Q58" s="11" t="n">
        <v>0.9</v>
      </c>
      <c r="R58" s="11" t="n">
        <v>1</v>
      </c>
      <c r="S58" s="11" t="n">
        <v>1</v>
      </c>
      <c r="T58" s="11" t="n">
        <v>1.1</v>
      </c>
    </row>
    <row r="59">
      <c r="A59" s="9" t="n">
        <v>43983</v>
      </c>
      <c r="B59" s="11" t="n">
        <v>1.2938</v>
      </c>
      <c r="C59" s="11" t="n">
        <v>0.2642</v>
      </c>
      <c r="D59" s="11" t="n">
        <v>1.4955</v>
      </c>
      <c r="E59" s="11" t="n">
        <v>0.4641</v>
      </c>
      <c r="F59" s="11" t="n">
        <v>0.7436</v>
      </c>
      <c r="G59" s="11" t="n">
        <v>0.8873</v>
      </c>
      <c r="H59" s="11" t="n">
        <v>0.9133</v>
      </c>
      <c r="I59" s="11" t="n">
        <v>1.0287</v>
      </c>
      <c r="J59" s="11" t="n">
        <v>1.0979</v>
      </c>
      <c r="K59" s="11" t="n">
        <v>1.09</v>
      </c>
      <c r="L59" s="11" t="n">
        <v>84.66</v>
      </c>
      <c r="M59" s="11" t="n">
        <v>1.1</v>
      </c>
      <c r="N59" s="11" t="n">
        <v>1.4524</v>
      </c>
      <c r="O59" s="11" t="n">
        <v>1.3908</v>
      </c>
      <c r="P59" s="11" t="n">
        <v>1.5</v>
      </c>
      <c r="Q59" s="11" t="n">
        <v>0.7</v>
      </c>
      <c r="R59" s="11" t="n">
        <v>0.9</v>
      </c>
      <c r="S59" s="11" t="n">
        <v>0.9</v>
      </c>
      <c r="T59" s="11" t="n">
        <v>1</v>
      </c>
    </row>
    <row r="60">
      <c r="A60" s="9" t="n">
        <v>44013</v>
      </c>
      <c r="B60" s="11" t="n">
        <v>1.1464</v>
      </c>
      <c r="C60" s="11" t="n">
        <v>1.2406</v>
      </c>
      <c r="D60" s="11" t="n">
        <v>1.5249</v>
      </c>
      <c r="E60" s="11" t="n">
        <v>0.9912</v>
      </c>
      <c r="F60" s="11" t="n">
        <v>0.7607</v>
      </c>
      <c r="G60" s="11" t="n">
        <v>0.8719</v>
      </c>
      <c r="H60" s="11" t="n">
        <v>0.8989</v>
      </c>
      <c r="I60" s="11" t="n">
        <v>0.9671999999999999</v>
      </c>
      <c r="J60" s="11" t="n">
        <v>0.9695</v>
      </c>
      <c r="K60" s="11" t="n">
        <v>1.0147</v>
      </c>
      <c r="L60" s="11" t="n">
        <v>84.81</v>
      </c>
      <c r="M60" s="11" t="n">
        <v>1</v>
      </c>
      <c r="N60" s="11" t="n">
        <v>1.3362</v>
      </c>
      <c r="O60" s="11" t="n">
        <v>1.2669</v>
      </c>
      <c r="P60" s="11" t="n">
        <v>1.5</v>
      </c>
      <c r="Q60" s="11" t="n">
        <v>0.8</v>
      </c>
      <c r="R60" s="11" t="n">
        <v>0.9</v>
      </c>
      <c r="S60" s="11" t="n">
        <v>0.9</v>
      </c>
      <c r="T60" s="11" t="n">
        <v>1</v>
      </c>
    </row>
    <row r="61">
      <c r="A61" s="9" t="n">
        <v>44044</v>
      </c>
      <c r="B61" s="11" t="n">
        <v>1.1682</v>
      </c>
      <c r="C61" s="11" t="n">
        <v>-0.6217</v>
      </c>
      <c r="D61" s="11" t="n">
        <v>1.3354</v>
      </c>
      <c r="E61" s="11" t="n">
        <v>-0.1656</v>
      </c>
      <c r="F61" s="11" t="n">
        <v>0.1725</v>
      </c>
      <c r="G61" s="11" t="n">
        <v>0.4272</v>
      </c>
      <c r="H61" s="11" t="n">
        <v>0.4691</v>
      </c>
      <c r="I61" s="11" t="n">
        <v>0.5705</v>
      </c>
      <c r="J61" s="11" t="n">
        <v>0.6411</v>
      </c>
      <c r="K61" s="11" t="n">
        <v>0.6143</v>
      </c>
      <c r="L61" s="11" t="n">
        <v>84.95999999999999</v>
      </c>
      <c r="M61" s="11" t="n">
        <v>0.6</v>
      </c>
      <c r="N61" s="11" t="n">
        <v>1.299</v>
      </c>
      <c r="O61" s="11" t="n">
        <v>1.1644</v>
      </c>
      <c r="P61" s="11" t="n">
        <v>1.3</v>
      </c>
      <c r="Q61" s="11" t="n">
        <v>0.2</v>
      </c>
      <c r="R61" s="11" t="n">
        <v>0.4</v>
      </c>
      <c r="S61" s="11" t="n">
        <v>0.5</v>
      </c>
      <c r="T61" s="11" t="n">
        <v>0.6</v>
      </c>
    </row>
    <row r="62">
      <c r="A62" s="9" t="n">
        <v>44075</v>
      </c>
      <c r="B62" s="11" t="n">
        <v>0.961</v>
      </c>
      <c r="C62" s="11" t="n">
        <v>-0.719</v>
      </c>
      <c r="D62" s="11" t="n">
        <v>1.2841</v>
      </c>
      <c r="E62" s="11" t="n">
        <v>-0.3882</v>
      </c>
      <c r="F62" s="11" t="n">
        <v>0.08790000000000001</v>
      </c>
      <c r="G62" s="11" t="n">
        <v>0.4023</v>
      </c>
      <c r="H62" s="11" t="n">
        <v>0.4275</v>
      </c>
      <c r="I62" s="11" t="n">
        <v>0.5072</v>
      </c>
      <c r="J62" s="11" t="n">
        <v>0.5582</v>
      </c>
      <c r="K62" s="11" t="n">
        <v>0.5172</v>
      </c>
      <c r="L62" s="11" t="n">
        <v>84.61</v>
      </c>
      <c r="M62" s="11" t="n">
        <v>0.5</v>
      </c>
      <c r="N62" s="11" t="n">
        <v>1.2199</v>
      </c>
      <c r="O62" s="11" t="n">
        <v>1.128</v>
      </c>
      <c r="P62" s="11" t="n">
        <v>1.3</v>
      </c>
      <c r="Q62" s="11" t="n">
        <v>0.1</v>
      </c>
      <c r="R62" s="11" t="n">
        <v>0.4</v>
      </c>
      <c r="S62" s="11" t="n">
        <v>0.4</v>
      </c>
      <c r="T62" s="11" t="n">
        <v>0.5</v>
      </c>
    </row>
    <row r="63">
      <c r="A63" s="9" t="n">
        <v>44105</v>
      </c>
      <c r="B63" s="11" t="n">
        <v>0.8812</v>
      </c>
      <c r="C63" s="11" t="n">
        <v>-0.6082</v>
      </c>
      <c r="D63" s="11" t="n">
        <v>1.2118</v>
      </c>
      <c r="E63" s="11" t="n">
        <v>-0.3422</v>
      </c>
      <c r="F63" s="11" t="n">
        <v>0.1767</v>
      </c>
      <c r="G63" s="11" t="n">
        <v>0.4509</v>
      </c>
      <c r="H63" s="11" t="n">
        <v>0.5001</v>
      </c>
      <c r="I63" s="11" t="n">
        <v>0.5302</v>
      </c>
      <c r="J63" s="11" t="n">
        <v>0.5306999999999999</v>
      </c>
      <c r="K63" s="11" t="n">
        <v>0.4803</v>
      </c>
      <c r="L63" s="11" t="n">
        <v>84.45999999999999</v>
      </c>
      <c r="M63" s="11" t="n">
        <v>0.4</v>
      </c>
      <c r="N63" s="11" t="n">
        <v>1.335</v>
      </c>
      <c r="O63" s="11" t="n">
        <v>1.2046</v>
      </c>
      <c r="P63" s="11" t="n">
        <v>1.2</v>
      </c>
      <c r="Q63" s="11" t="n">
        <v>0.2</v>
      </c>
      <c r="R63" s="11" t="n">
        <v>0.5</v>
      </c>
      <c r="S63" s="11" t="n">
        <v>0.5</v>
      </c>
      <c r="T63" s="11" t="n">
        <v>0.5</v>
      </c>
    </row>
    <row r="64">
      <c r="A64" s="9" t="n">
        <v>44136</v>
      </c>
      <c r="B64" s="11" t="n">
        <v>1.0085</v>
      </c>
      <c r="C64" s="11" t="n">
        <v>-0.6887</v>
      </c>
      <c r="D64" s="11" t="n">
        <v>1.1116</v>
      </c>
      <c r="E64" s="11" t="n">
        <v>-0.2335</v>
      </c>
      <c r="F64" s="11" t="n">
        <v>0.1965</v>
      </c>
      <c r="G64" s="11" t="n">
        <v>0.4197</v>
      </c>
      <c r="H64" s="11" t="n">
        <v>0.4511</v>
      </c>
      <c r="I64" s="11" t="n">
        <v>0.4802</v>
      </c>
      <c r="J64" s="11" t="n">
        <v>0.5171</v>
      </c>
      <c r="K64" s="11" t="n">
        <v>0.4459</v>
      </c>
      <c r="L64" s="11" t="n">
        <v>84.3</v>
      </c>
      <c r="M64" s="11" t="n">
        <v>0.4</v>
      </c>
      <c r="N64" s="11" t="n">
        <v>1.5781</v>
      </c>
      <c r="O64" s="11" t="n">
        <v>1.3681</v>
      </c>
      <c r="P64" s="11" t="n">
        <v>1.1</v>
      </c>
      <c r="Q64" s="11" t="n">
        <v>0.2</v>
      </c>
      <c r="R64" s="11" t="n">
        <v>0.4</v>
      </c>
      <c r="S64" s="11" t="n">
        <v>0.5</v>
      </c>
      <c r="T64" s="11" t="n">
        <v>0.5</v>
      </c>
    </row>
    <row r="65">
      <c r="A65" s="9" t="n">
        <v>44166</v>
      </c>
      <c r="B65" s="11" t="n">
        <v>1.0344</v>
      </c>
      <c r="C65" s="11" t="n">
        <v>-0.7877999999999999</v>
      </c>
      <c r="D65" s="11" t="n">
        <v>1.1043</v>
      </c>
      <c r="E65" s="11" t="n">
        <v>-0.2764</v>
      </c>
      <c r="F65" s="11" t="n">
        <v>0.09470000000000001</v>
      </c>
      <c r="G65" s="11" t="n">
        <v>0.2952</v>
      </c>
      <c r="H65" s="11" t="n">
        <v>0.3335</v>
      </c>
      <c r="I65" s="11" t="n">
        <v>0.4827</v>
      </c>
      <c r="J65" s="11" t="n">
        <v>0.4756</v>
      </c>
      <c r="K65" s="11" t="n">
        <v>0.388</v>
      </c>
      <c r="L65" s="11" t="n">
        <v>84.43000000000001</v>
      </c>
      <c r="M65" s="11" t="n">
        <v>0.4</v>
      </c>
      <c r="N65" s="11" t="n">
        <v>1.7502</v>
      </c>
      <c r="O65" s="11" t="n">
        <v>1.4369</v>
      </c>
      <c r="P65" s="11" t="n">
        <v>1.1</v>
      </c>
      <c r="Q65" s="11" t="n">
        <v>0.1</v>
      </c>
      <c r="R65" s="11" t="n">
        <v>0.3</v>
      </c>
      <c r="S65" s="11" t="n">
        <v>0.3</v>
      </c>
      <c r="T65" s="11" t="n">
        <v>0.5</v>
      </c>
    </row>
    <row r="66">
      <c r="A66" s="9" t="n">
        <v>44197</v>
      </c>
      <c r="B66" s="11" t="n">
        <v>1.2283</v>
      </c>
      <c r="C66" s="11" t="n">
        <v>1.6523</v>
      </c>
      <c r="D66" s="11" t="n">
        <v>1.4971</v>
      </c>
      <c r="E66" s="11" t="n">
        <v>1.3852</v>
      </c>
      <c r="F66" s="11" t="n">
        <v>1.0643</v>
      </c>
      <c r="G66" s="11" t="n">
        <v>1.136</v>
      </c>
      <c r="H66" s="11" t="n">
        <v>1.137</v>
      </c>
      <c r="I66" s="11" t="n">
        <v>1.1534</v>
      </c>
      <c r="J66" s="11" t="n">
        <v>1.2201</v>
      </c>
      <c r="K66" s="11" t="n">
        <v>1.2219</v>
      </c>
      <c r="L66" s="11" t="n">
        <v>84.76000000000001</v>
      </c>
      <c r="M66" s="11" t="n">
        <v>1.2</v>
      </c>
      <c r="N66" s="11" t="n">
        <v>2.0247</v>
      </c>
      <c r="O66" s="11" t="n">
        <v>1.4796</v>
      </c>
      <c r="P66" s="11" t="n">
        <v>1.5</v>
      </c>
      <c r="Q66" s="11" t="n">
        <v>1.1</v>
      </c>
      <c r="R66" s="11" t="n">
        <v>1.1</v>
      </c>
      <c r="S66" s="11" t="n">
        <v>1.1</v>
      </c>
      <c r="T66" s="11" t="n">
        <v>1.2</v>
      </c>
    </row>
    <row r="67">
      <c r="A67" s="9" t="n">
        <v>44228</v>
      </c>
      <c r="B67" s="11" t="n">
        <v>1.1793</v>
      </c>
      <c r="C67" s="11" t="n">
        <v>1.0353</v>
      </c>
      <c r="D67" s="11" t="n">
        <v>1.2896</v>
      </c>
      <c r="E67" s="11" t="n">
        <v>1.0366</v>
      </c>
      <c r="F67" s="11" t="n">
        <v>0.8366</v>
      </c>
      <c r="G67" s="11" t="n">
        <v>0.861</v>
      </c>
      <c r="H67" s="11" t="n">
        <v>0.8683999999999999</v>
      </c>
      <c r="I67" s="11" t="n">
        <v>0.9381</v>
      </c>
      <c r="J67" s="11" t="n">
        <v>0.9968</v>
      </c>
      <c r="K67" s="11" t="n">
        <v>1.0501</v>
      </c>
      <c r="L67" s="11" t="n">
        <v>84.91</v>
      </c>
      <c r="M67" s="11" t="n">
        <v>1</v>
      </c>
      <c r="N67" s="11" t="n">
        <v>2.0131</v>
      </c>
      <c r="O67" s="11" t="n">
        <v>1.4299</v>
      </c>
      <c r="P67" s="11" t="n">
        <v>1.3</v>
      </c>
      <c r="Q67" s="11" t="n">
        <v>0.8</v>
      </c>
      <c r="R67" s="11" t="n">
        <v>0.9</v>
      </c>
      <c r="S67" s="11" t="n">
        <v>0.9</v>
      </c>
      <c r="T67" s="11" t="n">
        <v>0.9</v>
      </c>
    </row>
    <row r="68">
      <c r="A68" s="9" t="n">
        <v>44256</v>
      </c>
      <c r="B68" s="11" t="n">
        <v>1.182</v>
      </c>
      <c r="C68" s="11" t="n">
        <v>0.6298</v>
      </c>
      <c r="D68" s="11" t="n">
        <v>1.3453</v>
      </c>
      <c r="E68" s="11" t="n">
        <v>0.7101</v>
      </c>
      <c r="F68" s="11" t="n">
        <v>1.1258</v>
      </c>
      <c r="G68" s="11" t="n">
        <v>1.0795</v>
      </c>
      <c r="H68" s="11" t="n">
        <v>1.0703</v>
      </c>
      <c r="I68" s="11" t="n">
        <v>1.0438</v>
      </c>
      <c r="J68" s="11" t="n">
        <v>1.0746</v>
      </c>
      <c r="K68" s="11" t="n">
        <v>1.184</v>
      </c>
      <c r="L68" s="11" t="n">
        <v>85.02</v>
      </c>
      <c r="M68" s="11" t="n">
        <v>1.2</v>
      </c>
      <c r="N68" s="11" t="n">
        <v>2.0903</v>
      </c>
      <c r="O68" s="11" t="n">
        <v>1.4945</v>
      </c>
      <c r="P68" s="11" t="n">
        <v>1.3</v>
      </c>
      <c r="Q68" s="11" t="n">
        <v>1.1</v>
      </c>
      <c r="R68" s="11" t="n">
        <v>1.1</v>
      </c>
      <c r="S68" s="11" t="n">
        <v>1.1</v>
      </c>
      <c r="T68" s="11" t="n">
        <v>1</v>
      </c>
    </row>
    <row r="69">
      <c r="A69" s="9" t="n">
        <v>44287</v>
      </c>
      <c r="B69" s="11" t="n">
        <v>1.1787</v>
      </c>
      <c r="C69" s="11" t="n">
        <v>0.1873</v>
      </c>
      <c r="D69" s="11" t="n">
        <v>1.4187</v>
      </c>
      <c r="E69" s="11" t="n">
        <v>0.3505</v>
      </c>
      <c r="F69" s="11" t="n">
        <v>1.2909</v>
      </c>
      <c r="G69" s="11" t="n">
        <v>1.1206</v>
      </c>
      <c r="H69" s="11" t="n">
        <v>1.0798</v>
      </c>
      <c r="I69" s="11" t="n">
        <v>1.0171</v>
      </c>
      <c r="J69" s="11" t="n">
        <v>1.0694</v>
      </c>
      <c r="K69" s="11" t="n">
        <v>1.2806</v>
      </c>
      <c r="L69" s="11" t="n">
        <v>85.33</v>
      </c>
      <c r="M69" s="11" t="n">
        <v>1.2</v>
      </c>
      <c r="N69" s="11" t="n">
        <v>1.8556</v>
      </c>
      <c r="O69" s="11" t="n">
        <v>1.4373</v>
      </c>
      <c r="P69" s="11" t="n">
        <v>1.4</v>
      </c>
      <c r="Q69" s="11" t="n">
        <v>1.3</v>
      </c>
      <c r="R69" s="11" t="n">
        <v>1.1</v>
      </c>
      <c r="S69" s="11" t="n">
        <v>1.1</v>
      </c>
      <c r="T69" s="11" t="n">
        <v>1</v>
      </c>
    </row>
    <row r="70">
      <c r="A70" s="9" t="n">
        <v>44317</v>
      </c>
      <c r="B70" s="11" t="n">
        <v>1.1204</v>
      </c>
      <c r="C70" s="11" t="n">
        <v>0.7192</v>
      </c>
      <c r="D70" s="11" t="n">
        <v>1.4019</v>
      </c>
      <c r="E70" s="11" t="n">
        <v>0.677</v>
      </c>
      <c r="F70" s="11" t="n">
        <v>1.3801</v>
      </c>
      <c r="G70" s="11" t="n">
        <v>1.1927</v>
      </c>
      <c r="H70" s="11" t="n">
        <v>1.1645</v>
      </c>
      <c r="I70" s="11" t="n">
        <v>1.0941</v>
      </c>
      <c r="J70" s="11" t="n">
        <v>1.1307</v>
      </c>
      <c r="K70" s="11" t="n">
        <v>1.3254</v>
      </c>
      <c r="L70" s="11" t="n">
        <v>85.45999999999999</v>
      </c>
      <c r="M70" s="11" t="n">
        <v>1.3</v>
      </c>
      <c r="N70" s="11" t="n">
        <v>1.994</v>
      </c>
      <c r="O70" s="11" t="n">
        <v>1.5324</v>
      </c>
      <c r="P70" s="11" t="n">
        <v>1.4</v>
      </c>
      <c r="Q70" s="11" t="n">
        <v>1.4</v>
      </c>
      <c r="R70" s="11" t="n">
        <v>1.2</v>
      </c>
      <c r="S70" s="11" t="n">
        <v>1.2</v>
      </c>
      <c r="T70" s="11" t="n">
        <v>1.1</v>
      </c>
    </row>
    <row r="71">
      <c r="A71" s="9" t="n">
        <v>44348</v>
      </c>
      <c r="B71" s="11" t="n">
        <v>1.1915</v>
      </c>
      <c r="C71" s="11" t="n">
        <v>0.5032</v>
      </c>
      <c r="D71" s="11" t="n">
        <v>1.6012</v>
      </c>
      <c r="E71" s="11" t="n">
        <v>0.4789</v>
      </c>
      <c r="F71" s="11" t="n">
        <v>1.5627</v>
      </c>
      <c r="G71" s="11" t="n">
        <v>1.4013</v>
      </c>
      <c r="H71" s="11" t="n">
        <v>1.3881</v>
      </c>
      <c r="I71" s="11" t="n">
        <v>1.3738</v>
      </c>
      <c r="J71" s="11" t="n">
        <v>1.4118</v>
      </c>
      <c r="K71" s="11" t="n">
        <v>1.2968</v>
      </c>
      <c r="L71" s="11" t="n">
        <v>85.67</v>
      </c>
      <c r="M71" s="11" t="n">
        <v>1.3</v>
      </c>
      <c r="N71" s="11" t="n">
        <v>2.1319</v>
      </c>
      <c r="O71" s="11" t="n">
        <v>1.626</v>
      </c>
      <c r="P71" s="11" t="n">
        <v>1.6</v>
      </c>
      <c r="Q71" s="11" t="n">
        <v>1.6</v>
      </c>
      <c r="R71" s="11" t="n">
        <v>1.4</v>
      </c>
      <c r="S71" s="11" t="n">
        <v>1.4</v>
      </c>
      <c r="T71" s="11" t="n">
        <v>1.4</v>
      </c>
    </row>
    <row r="72">
      <c r="A72" s="9" t="n">
        <v>44378</v>
      </c>
      <c r="B72" s="11" t="n">
        <v>1.4755</v>
      </c>
      <c r="C72" s="11" t="n">
        <v>-0.2665</v>
      </c>
      <c r="D72" s="11" t="n">
        <v>1.8557</v>
      </c>
      <c r="E72" s="11" t="n">
        <v>0.0679</v>
      </c>
      <c r="F72" s="11" t="n">
        <v>1.9588</v>
      </c>
      <c r="G72" s="11" t="n">
        <v>1.7272</v>
      </c>
      <c r="H72" s="11" t="n">
        <v>1.7275</v>
      </c>
      <c r="I72" s="11" t="n">
        <v>1.6929</v>
      </c>
      <c r="J72" s="11" t="n">
        <v>1.5933</v>
      </c>
      <c r="K72" s="11" t="n">
        <v>1.4943</v>
      </c>
      <c r="L72" s="11" t="n">
        <v>86.06</v>
      </c>
      <c r="M72" s="11" t="n">
        <v>1.5</v>
      </c>
      <c r="N72" s="11" t="n">
        <v>2.3552</v>
      </c>
      <c r="O72" s="11" t="n">
        <v>1.7022</v>
      </c>
      <c r="P72" s="11" t="n">
        <v>1.9</v>
      </c>
      <c r="Q72" s="11" t="n">
        <v>2</v>
      </c>
      <c r="R72" s="11" t="n">
        <v>1.7</v>
      </c>
      <c r="S72" s="11" t="n">
        <v>1.7</v>
      </c>
      <c r="T72" s="11" t="n">
        <v>1.7</v>
      </c>
    </row>
    <row r="73">
      <c r="A73" s="9" t="n">
        <v>44409</v>
      </c>
      <c r="B73" s="11" t="n">
        <v>1.5426</v>
      </c>
      <c r="C73" s="11" t="n">
        <v>1.5773</v>
      </c>
      <c r="D73" s="11" t="n">
        <v>2.1318</v>
      </c>
      <c r="E73" s="11" t="n">
        <v>1.2396</v>
      </c>
      <c r="F73" s="11" t="n">
        <v>2.6079</v>
      </c>
      <c r="G73" s="11" t="n">
        <v>2.2097</v>
      </c>
      <c r="H73" s="11" t="n">
        <v>2.1625</v>
      </c>
      <c r="I73" s="11" t="n">
        <v>2.0584</v>
      </c>
      <c r="J73" s="11" t="n">
        <v>1.932</v>
      </c>
      <c r="K73" s="11" t="n">
        <v>1.9636</v>
      </c>
      <c r="L73" s="11" t="n">
        <v>86.27</v>
      </c>
      <c r="M73" s="11" t="n">
        <v>2</v>
      </c>
      <c r="N73" s="11" t="n">
        <v>2.5195</v>
      </c>
      <c r="O73" s="11" t="n">
        <v>1.8028</v>
      </c>
      <c r="P73" s="11" t="n">
        <v>2.1</v>
      </c>
      <c r="Q73" s="11" t="n">
        <v>2.6</v>
      </c>
      <c r="R73" s="11" t="n">
        <v>2.2</v>
      </c>
      <c r="S73" s="11" t="n">
        <v>2.2</v>
      </c>
      <c r="T73" s="11" t="n">
        <v>2.1</v>
      </c>
    </row>
    <row r="74">
      <c r="A74" s="9" t="n">
        <v>44440</v>
      </c>
      <c r="B74" s="11" t="n">
        <v>1.6869</v>
      </c>
      <c r="C74" s="11" t="n">
        <v>2.1044</v>
      </c>
      <c r="D74" s="11" t="n">
        <v>2.0933</v>
      </c>
      <c r="E74" s="11" t="n">
        <v>1.7425</v>
      </c>
      <c r="F74" s="11" t="n">
        <v>2.6712</v>
      </c>
      <c r="G74" s="11" t="n">
        <v>2.1367</v>
      </c>
      <c r="H74" s="11" t="n">
        <v>2.101</v>
      </c>
      <c r="I74" s="11" t="n">
        <v>1.9884</v>
      </c>
      <c r="J74" s="11" t="n">
        <v>1.8754</v>
      </c>
      <c r="K74" s="11" t="n">
        <v>1.7958</v>
      </c>
      <c r="L74" s="11" t="n">
        <v>86.04000000000001</v>
      </c>
      <c r="M74" s="11" t="n">
        <v>1.8</v>
      </c>
      <c r="N74" s="11" t="n">
        <v>2.5458</v>
      </c>
      <c r="O74" s="11" t="n">
        <v>1.8106</v>
      </c>
      <c r="P74" s="11" t="n">
        <v>2.1</v>
      </c>
      <c r="Q74" s="11" t="n">
        <v>2.7</v>
      </c>
      <c r="R74" s="11" t="n">
        <v>2.1</v>
      </c>
      <c r="S74" s="11" t="n">
        <v>2.1</v>
      </c>
      <c r="T74" s="11" t="n">
        <v>2</v>
      </c>
    </row>
    <row r="75">
      <c r="A75" s="9" t="n">
        <v>44470</v>
      </c>
      <c r="B75" s="11" t="n">
        <v>1.9427</v>
      </c>
      <c r="C75" s="11" t="n">
        <v>2.1911</v>
      </c>
      <c r="D75" s="11" t="n">
        <v>2.3418</v>
      </c>
      <c r="E75" s="11" t="n">
        <v>1.8871</v>
      </c>
      <c r="F75" s="11" t="n">
        <v>2.9371</v>
      </c>
      <c r="G75" s="11" t="n">
        <v>2.1845</v>
      </c>
      <c r="H75" s="11" t="n">
        <v>2.1524</v>
      </c>
      <c r="I75" s="11" t="n">
        <v>2.0454</v>
      </c>
      <c r="J75" s="11" t="n">
        <v>2.0499</v>
      </c>
      <c r="K75" s="11" t="n">
        <v>2.006</v>
      </c>
      <c r="L75" s="11" t="n">
        <v>86.09999999999999</v>
      </c>
      <c r="M75" s="11" t="n">
        <v>2</v>
      </c>
      <c r="N75" s="11" t="n">
        <v>2.8587</v>
      </c>
      <c r="O75" s="11" t="n">
        <v>2.0043</v>
      </c>
      <c r="P75" s="11" t="n">
        <v>2.3</v>
      </c>
      <c r="Q75" s="11" t="n">
        <v>2.9</v>
      </c>
      <c r="R75" s="11" t="n">
        <v>2.2</v>
      </c>
      <c r="S75" s="11" t="n">
        <v>2.1</v>
      </c>
      <c r="T75" s="11" t="n">
        <v>2</v>
      </c>
    </row>
    <row r="76">
      <c r="A76" s="9" t="n">
        <v>44501</v>
      </c>
      <c r="B76" s="11" t="n">
        <v>2.1541</v>
      </c>
      <c r="C76" s="11" t="n">
        <v>3.1951</v>
      </c>
      <c r="D76" s="11" t="n">
        <v>2.6718</v>
      </c>
      <c r="E76" s="11" t="n">
        <v>2.5845</v>
      </c>
      <c r="F76" s="11" t="n">
        <v>3.3686</v>
      </c>
      <c r="G76" s="11" t="n">
        <v>2.4488</v>
      </c>
      <c r="H76" s="11" t="n">
        <v>2.4011</v>
      </c>
      <c r="I76" s="11" t="n">
        <v>2.2708</v>
      </c>
      <c r="J76" s="11" t="n">
        <v>2.3212</v>
      </c>
      <c r="K76" s="11" t="n">
        <v>2.299</v>
      </c>
      <c r="L76" s="11" t="n">
        <v>86.12</v>
      </c>
      <c r="M76" s="11" t="n">
        <v>2.3</v>
      </c>
      <c r="N76" s="11" t="n">
        <v>3.1053</v>
      </c>
      <c r="O76" s="11" t="n">
        <v>2.0957</v>
      </c>
      <c r="P76" s="11" t="n">
        <v>2.7</v>
      </c>
      <c r="Q76" s="11" t="n">
        <v>3.4</v>
      </c>
      <c r="R76" s="11" t="n">
        <v>2.4</v>
      </c>
      <c r="S76" s="11" t="n">
        <v>2.4</v>
      </c>
      <c r="T76" s="11" t="n">
        <v>2.3</v>
      </c>
    </row>
    <row r="77">
      <c r="A77" s="9" t="n">
        <v>44531</v>
      </c>
      <c r="B77" s="11" t="n">
        <v>2.2299</v>
      </c>
      <c r="C77" s="11" t="n">
        <v>3.1259</v>
      </c>
      <c r="D77" s="11" t="n">
        <v>2.884</v>
      </c>
      <c r="E77" s="11" t="n">
        <v>2.4811</v>
      </c>
      <c r="F77" s="11" t="n">
        <v>3.9535</v>
      </c>
      <c r="G77" s="11" t="n">
        <v>2.932</v>
      </c>
      <c r="H77" s="11" t="n">
        <v>2.8874</v>
      </c>
      <c r="I77" s="11" t="n">
        <v>2.7821</v>
      </c>
      <c r="J77" s="11" t="n">
        <v>2.8102</v>
      </c>
      <c r="K77" s="11" t="n">
        <v>2.8697</v>
      </c>
      <c r="L77" s="11" t="n">
        <v>86.31999999999999</v>
      </c>
      <c r="M77" s="11" t="n">
        <v>2.9</v>
      </c>
      <c r="N77" s="11" t="n">
        <v>3.4145</v>
      </c>
      <c r="O77" s="11" t="n">
        <v>2.2834</v>
      </c>
      <c r="P77" s="11" t="n">
        <v>2.9</v>
      </c>
      <c r="Q77" s="11" t="n">
        <v>4</v>
      </c>
      <c r="R77" s="11" t="n">
        <v>2.9</v>
      </c>
      <c r="S77" s="11" t="n">
        <v>2.9</v>
      </c>
      <c r="T77" s="11" t="n">
        <v>2.8</v>
      </c>
    </row>
    <row r="78">
      <c r="A78" s="9" t="n">
        <v>44562</v>
      </c>
      <c r="B78" s="11" t="n">
        <v>2.2242</v>
      </c>
      <c r="C78" s="11" t="n">
        <v>2.2956</v>
      </c>
      <c r="D78" s="11" t="n">
        <v>2.9815</v>
      </c>
      <c r="E78" s="11" t="n">
        <v>1.8531</v>
      </c>
      <c r="F78" s="11" t="n">
        <v>4.2626</v>
      </c>
      <c r="G78" s="11" t="n">
        <v>3.0009</v>
      </c>
      <c r="H78" s="11" t="n">
        <v>2.9308</v>
      </c>
      <c r="I78" s="11" t="n">
        <v>2.8275</v>
      </c>
      <c r="J78" s="11" t="n">
        <v>2.8607</v>
      </c>
      <c r="K78" s="11" t="n">
        <v>2.9502</v>
      </c>
      <c r="L78" s="11" t="n">
        <v>86.65000000000001</v>
      </c>
      <c r="M78" s="11" t="n">
        <v>2.9</v>
      </c>
      <c r="N78" s="11" t="n">
        <v>4.1099</v>
      </c>
      <c r="O78" s="11" t="n">
        <v>2.4277</v>
      </c>
      <c r="P78" s="11" t="n">
        <v>3</v>
      </c>
      <c r="Q78" s="11" t="n">
        <v>4.3</v>
      </c>
      <c r="R78" s="11" t="n">
        <v>3</v>
      </c>
      <c r="S78" s="11" t="n">
        <v>2.9</v>
      </c>
      <c r="T78" s="11" t="n">
        <v>2.8</v>
      </c>
    </row>
    <row r="79">
      <c r="A79" s="9" t="n">
        <v>44593</v>
      </c>
      <c r="B79" s="11" t="n">
        <v>2.3864</v>
      </c>
      <c r="C79" s="11" t="n">
        <v>3.1371</v>
      </c>
      <c r="D79" s="11" t="n">
        <v>3.6019</v>
      </c>
      <c r="E79" s="11" t="n">
        <v>2.2169</v>
      </c>
      <c r="F79" s="11" t="n">
        <v>4.9212</v>
      </c>
      <c r="G79" s="11" t="n">
        <v>3.5216</v>
      </c>
      <c r="H79" s="11" t="n">
        <v>3.4445</v>
      </c>
      <c r="I79" s="11" t="n">
        <v>3.3131</v>
      </c>
      <c r="J79" s="11" t="n">
        <v>3.2887</v>
      </c>
      <c r="K79" s="11" t="n">
        <v>3.4545</v>
      </c>
      <c r="L79" s="11" t="n">
        <v>86.94</v>
      </c>
      <c r="M79" s="11" t="n">
        <v>3.4</v>
      </c>
      <c r="N79" s="11" t="n">
        <v>4.533</v>
      </c>
      <c r="O79" s="11" t="n">
        <v>2.6641</v>
      </c>
      <c r="P79" s="11" t="n">
        <v>3.6</v>
      </c>
      <c r="Q79" s="11" t="n">
        <v>4.9</v>
      </c>
      <c r="R79" s="11" t="n">
        <v>3.5</v>
      </c>
      <c r="S79" s="11" t="n">
        <v>3.4</v>
      </c>
      <c r="T79" s="11" t="n">
        <v>3.3</v>
      </c>
    </row>
    <row r="80">
      <c r="A80" s="9" t="n">
        <v>44621</v>
      </c>
      <c r="B80" s="11" t="n">
        <v>2.6384</v>
      </c>
      <c r="C80" s="11" t="n">
        <v>3.3477</v>
      </c>
      <c r="D80" s="11" t="n">
        <v>3.9481</v>
      </c>
      <c r="E80" s="11" t="n">
        <v>2.3934</v>
      </c>
      <c r="F80" s="11" t="n">
        <v>6.0347</v>
      </c>
      <c r="G80" s="11" t="n">
        <v>3.908</v>
      </c>
      <c r="H80" s="11" t="n">
        <v>3.7928</v>
      </c>
      <c r="I80" s="11" t="n">
        <v>3.6805</v>
      </c>
      <c r="J80" s="11" t="n">
        <v>3.6214</v>
      </c>
      <c r="K80" s="11" t="n">
        <v>3.9736</v>
      </c>
      <c r="L80" s="11" t="n">
        <v>87.27</v>
      </c>
      <c r="M80" s="11" t="n">
        <v>3.9</v>
      </c>
      <c r="N80" s="11" t="n">
        <v>5.3439</v>
      </c>
      <c r="O80" s="11" t="n">
        <v>3.0192</v>
      </c>
      <c r="P80" s="11" t="n">
        <v>3.9</v>
      </c>
      <c r="Q80" s="11" t="n">
        <v>6</v>
      </c>
      <c r="R80" s="11" t="n">
        <v>3.9</v>
      </c>
      <c r="S80" s="11" t="n">
        <v>3.8</v>
      </c>
      <c r="T80" s="11" t="n">
        <v>3.7</v>
      </c>
    </row>
    <row r="81">
      <c r="A81" s="9" t="n">
        <v>44652</v>
      </c>
      <c r="B81" s="11" t="n">
        <v>2.9696</v>
      </c>
      <c r="C81" s="11" t="n">
        <v>4.1358</v>
      </c>
      <c r="D81" s="11" t="n">
        <v>4.6284</v>
      </c>
      <c r="E81" s="11" t="n">
        <v>2.8459</v>
      </c>
      <c r="F81" s="11" t="n">
        <v>6.1942</v>
      </c>
      <c r="G81" s="11" t="n">
        <v>4.6124</v>
      </c>
      <c r="H81" s="11" t="n">
        <v>4.5334</v>
      </c>
      <c r="I81" s="11" t="n">
        <v>4.3817</v>
      </c>
      <c r="J81" s="11" t="n">
        <v>4.2839</v>
      </c>
      <c r="K81" s="11" t="n">
        <v>4.5664</v>
      </c>
      <c r="L81" s="11" t="n">
        <v>87.86</v>
      </c>
      <c r="M81" s="11" t="n">
        <v>4.6</v>
      </c>
      <c r="N81" s="11" t="n">
        <v>5.7734</v>
      </c>
      <c r="O81" s="11" t="n">
        <v>3.4314</v>
      </c>
      <c r="P81" s="11" t="n">
        <v>4.6</v>
      </c>
      <c r="Q81" s="11" t="n">
        <v>6.2</v>
      </c>
      <c r="R81" s="11" t="n">
        <v>4.6</v>
      </c>
      <c r="S81" s="11" t="n">
        <v>4.5</v>
      </c>
      <c r="T81" s="11" t="n">
        <v>4.4</v>
      </c>
    </row>
    <row r="82">
      <c r="A82" s="9" t="n">
        <v>44682</v>
      </c>
      <c r="B82" s="11" t="n">
        <v>3.2726</v>
      </c>
      <c r="C82" s="11" t="n">
        <v>4.3782</v>
      </c>
      <c r="D82" s="11" t="n">
        <v>5.2532</v>
      </c>
      <c r="E82" s="11" t="n">
        <v>2.9296</v>
      </c>
      <c r="F82" s="11" t="n">
        <v>6.829</v>
      </c>
      <c r="G82" s="11" t="n">
        <v>5.1125</v>
      </c>
      <c r="H82" s="11" t="n">
        <v>5.0071</v>
      </c>
      <c r="I82" s="11" t="n">
        <v>4.7539</v>
      </c>
      <c r="J82" s="11" t="n">
        <v>4.7147</v>
      </c>
      <c r="K82" s="11" t="n">
        <v>5.085</v>
      </c>
      <c r="L82" s="11" t="n">
        <v>88.26000000000001</v>
      </c>
      <c r="M82" s="11" t="n">
        <v>5.1</v>
      </c>
      <c r="N82" s="11" t="n">
        <v>6.4664</v>
      </c>
      <c r="O82" s="11" t="n">
        <v>3.7871</v>
      </c>
      <c r="P82" s="11" t="n">
        <v>5.3</v>
      </c>
      <c r="Q82" s="11" t="n">
        <v>6.8</v>
      </c>
      <c r="R82" s="11" t="n">
        <v>5.1</v>
      </c>
      <c r="S82" s="11" t="n">
        <v>5</v>
      </c>
      <c r="T82" s="11" t="n">
        <v>4.8</v>
      </c>
    </row>
    <row r="83">
      <c r="A83" s="9" t="n">
        <v>44713</v>
      </c>
      <c r="B83" s="11" t="n">
        <v>3.4694</v>
      </c>
      <c r="C83" s="11" t="n">
        <v>4.0531</v>
      </c>
      <c r="D83" s="11" t="n">
        <v>5.5549</v>
      </c>
      <c r="E83" s="11" t="n">
        <v>2.7094</v>
      </c>
      <c r="F83" s="11" t="n">
        <v>7.517</v>
      </c>
      <c r="G83" s="11" t="n">
        <v>5.7445</v>
      </c>
      <c r="H83" s="11" t="n">
        <v>5.6081</v>
      </c>
      <c r="I83" s="11" t="n">
        <v>5.2629</v>
      </c>
      <c r="J83" s="11" t="n">
        <v>5.2314</v>
      </c>
      <c r="K83" s="11" t="n">
        <v>5.5061</v>
      </c>
      <c r="L83" s="11" t="n">
        <v>88.66</v>
      </c>
      <c r="M83" s="11" t="n">
        <v>5.5</v>
      </c>
      <c r="N83" s="11" t="n">
        <v>6.5447</v>
      </c>
      <c r="O83" s="11" t="n">
        <v>3.8542</v>
      </c>
      <c r="P83" s="11" t="n">
        <v>5.6</v>
      </c>
      <c r="Q83" s="11" t="n">
        <v>7.5</v>
      </c>
      <c r="R83" s="11" t="n">
        <v>5.7</v>
      </c>
      <c r="S83" s="11" t="n">
        <v>5.6</v>
      </c>
      <c r="T83" s="11" t="n">
        <v>5.3</v>
      </c>
    </row>
    <row r="84">
      <c r="A84" s="9" t="n">
        <v>44743</v>
      </c>
      <c r="B84" s="11" t="n">
        <v>3.6573</v>
      </c>
      <c r="C84" s="11" t="n">
        <v>4.4877</v>
      </c>
      <c r="D84" s="11" t="n">
        <v>5.9659</v>
      </c>
      <c r="E84" s="11" t="n">
        <v>2.9307</v>
      </c>
      <c r="F84" s="11" t="n">
        <v>7.6026</v>
      </c>
      <c r="G84" s="11" t="n">
        <v>6.1617</v>
      </c>
      <c r="H84" s="11" t="n">
        <v>5.9859</v>
      </c>
      <c r="I84" s="11" t="n">
        <v>5.5554</v>
      </c>
      <c r="J84" s="11" t="n">
        <v>5.5626</v>
      </c>
      <c r="K84" s="11" t="n">
        <v>5.8257</v>
      </c>
      <c r="L84" s="11" t="n">
        <v>89.22</v>
      </c>
      <c r="M84" s="11" t="n">
        <v>5.8</v>
      </c>
      <c r="N84" s="11" t="n">
        <v>6.2388</v>
      </c>
      <c r="O84" s="11" t="n">
        <v>3.7699</v>
      </c>
      <c r="P84" s="11" t="n">
        <v>6</v>
      </c>
      <c r="Q84" s="11" t="n">
        <v>7.6</v>
      </c>
      <c r="R84" s="11" t="n">
        <v>6.2</v>
      </c>
      <c r="S84" s="11" t="n">
        <v>6</v>
      </c>
      <c r="T84" s="11" t="n">
        <v>5.5</v>
      </c>
    </row>
    <row r="85">
      <c r="A85" s="9" t="n">
        <v>44774</v>
      </c>
      <c r="B85" s="11" t="n">
        <v>3.6938</v>
      </c>
      <c r="C85" s="11" t="n">
        <v>5.0803</v>
      </c>
      <c r="D85" s="11" t="n">
        <v>6.2895</v>
      </c>
      <c r="E85" s="11" t="n">
        <v>3.1827</v>
      </c>
      <c r="F85" s="11" t="n">
        <v>7.6003</v>
      </c>
      <c r="G85" s="11" t="n">
        <v>6.5108</v>
      </c>
      <c r="H85" s="11" t="n">
        <v>6.316</v>
      </c>
      <c r="I85" s="11" t="n">
        <v>5.8766</v>
      </c>
      <c r="J85" s="11" t="n">
        <v>5.8616</v>
      </c>
      <c r="K85" s="11" t="n">
        <v>6.0645</v>
      </c>
      <c r="L85" s="11" t="n">
        <v>89.45999999999999</v>
      </c>
      <c r="M85" s="11" t="n">
        <v>6</v>
      </c>
      <c r="N85" s="11" t="n">
        <v>5.7506</v>
      </c>
      <c r="O85" s="11" t="n">
        <v>3.6381</v>
      </c>
      <c r="P85" s="11" t="n">
        <v>6.3</v>
      </c>
      <c r="Q85" s="11" t="n">
        <v>7.6</v>
      </c>
      <c r="R85" s="11" t="n">
        <v>6.5</v>
      </c>
      <c r="S85" s="11" t="n">
        <v>6.3</v>
      </c>
      <c r="T85" s="11" t="n">
        <v>5.9</v>
      </c>
    </row>
    <row r="86">
      <c r="A86" s="9" t="n">
        <v>44805</v>
      </c>
      <c r="B86" s="11" t="n">
        <v>3.9923</v>
      </c>
      <c r="C86" s="11" t="n">
        <v>5.7341</v>
      </c>
      <c r="D86" s="11" t="n">
        <v>6.9496</v>
      </c>
      <c r="E86" s="11" t="n">
        <v>3.5327</v>
      </c>
      <c r="F86" s="11" t="n">
        <v>8.0692</v>
      </c>
      <c r="G86" s="11" t="n">
        <v>7.0549</v>
      </c>
      <c r="H86" s="11" t="n">
        <v>6.8515</v>
      </c>
      <c r="I86" s="11" t="n">
        <v>6.3387</v>
      </c>
      <c r="J86" s="11" t="n">
        <v>6.3419</v>
      </c>
      <c r="K86" s="11" t="n">
        <v>6.6409</v>
      </c>
      <c r="L86" s="11" t="n">
        <v>89.48999999999999</v>
      </c>
      <c r="M86" s="11" t="n">
        <v>6.6</v>
      </c>
      <c r="N86" s="11" t="n">
        <v>5.7177</v>
      </c>
      <c r="O86" s="11" t="n">
        <v>3.7383</v>
      </c>
      <c r="P86" s="11" t="n">
        <v>6.9</v>
      </c>
      <c r="Q86" s="11" t="n">
        <v>8.1</v>
      </c>
      <c r="R86" s="11" t="n">
        <v>7</v>
      </c>
      <c r="S86" s="11" t="n">
        <v>6.8</v>
      </c>
      <c r="T86" s="11" t="n">
        <v>6.3</v>
      </c>
    </row>
    <row r="87">
      <c r="A87" s="9" t="n">
        <v>44835</v>
      </c>
      <c r="B87" s="11" t="n">
        <v>4.0796</v>
      </c>
      <c r="C87" s="11" t="n">
        <v>6.2082</v>
      </c>
      <c r="D87" s="11" t="n">
        <v>7.3965</v>
      </c>
      <c r="E87" s="11" t="n">
        <v>3.6828</v>
      </c>
      <c r="F87" s="11" t="n">
        <v>8.5166</v>
      </c>
      <c r="G87" s="11" t="n">
        <v>7.4105</v>
      </c>
      <c r="H87" s="11" t="n">
        <v>7.2898</v>
      </c>
      <c r="I87" s="11" t="n">
        <v>6.7823</v>
      </c>
      <c r="J87" s="11" t="n">
        <v>6.6877</v>
      </c>
      <c r="K87" s="11" t="n">
        <v>7.2786</v>
      </c>
      <c r="L87" s="11" t="n">
        <v>89.62</v>
      </c>
      <c r="M87" s="11" t="n">
        <v>7.2</v>
      </c>
      <c r="N87" s="11" t="n">
        <v>5.9836</v>
      </c>
      <c r="O87" s="11" t="n">
        <v>3.9501</v>
      </c>
      <c r="P87" s="11" t="n">
        <v>7.4</v>
      </c>
      <c r="Q87" s="11" t="n">
        <v>8.5</v>
      </c>
      <c r="R87" s="11" t="n">
        <v>7.4</v>
      </c>
      <c r="S87" s="11" t="n">
        <v>7.3</v>
      </c>
      <c r="T87" s="11" t="n">
        <v>6.8</v>
      </c>
    </row>
    <row r="88">
      <c r="A88" s="9" t="n">
        <v>44866</v>
      </c>
      <c r="B88" s="11" t="n">
        <v>4.0348</v>
      </c>
      <c r="C88" s="11" t="n">
        <v>6.1708</v>
      </c>
      <c r="D88" s="11" t="n">
        <v>7.6615</v>
      </c>
      <c r="E88" s="11" t="n">
        <v>3.4602</v>
      </c>
      <c r="F88" s="11" t="n">
        <v>8.320600000000001</v>
      </c>
      <c r="G88" s="11" t="n">
        <v>7.2779</v>
      </c>
      <c r="H88" s="11" t="n">
        <v>7.1391</v>
      </c>
      <c r="I88" s="11" t="n">
        <v>6.7693</v>
      </c>
      <c r="J88" s="11" t="n">
        <v>6.8324</v>
      </c>
      <c r="K88" s="11" t="n">
        <v>7.2474</v>
      </c>
      <c r="L88" s="11" t="n">
        <v>89.59999999999999</v>
      </c>
      <c r="M88" s="11" t="n">
        <v>7</v>
      </c>
      <c r="N88" s="11" t="n">
        <v>5.7897</v>
      </c>
      <c r="O88" s="11" t="n">
        <v>4.0078</v>
      </c>
      <c r="P88" s="11" t="n">
        <v>7.7</v>
      </c>
      <c r="Q88" s="11" t="n">
        <v>8.300000000000001</v>
      </c>
      <c r="R88" s="11" t="n">
        <v>7.3</v>
      </c>
      <c r="S88" s="11" t="n">
        <v>7.1</v>
      </c>
      <c r="T88" s="11" t="n">
        <v>6.8</v>
      </c>
    </row>
    <row r="89">
      <c r="A89" s="9" t="n">
        <v>44896</v>
      </c>
      <c r="B89" s="11" t="n">
        <v>4.1567</v>
      </c>
      <c r="C89" s="11" t="n">
        <v>6.4768</v>
      </c>
      <c r="D89" s="11" t="n">
        <v>8.004200000000001</v>
      </c>
      <c r="E89" s="11" t="n">
        <v>3.5885</v>
      </c>
      <c r="F89" s="11" t="n">
        <v>7.9705</v>
      </c>
      <c r="G89" s="11" t="n">
        <v>7.0489</v>
      </c>
      <c r="H89" s="11" t="n">
        <v>6.9196</v>
      </c>
      <c r="I89" s="11" t="n">
        <v>6.485</v>
      </c>
      <c r="J89" s="11" t="n">
        <v>6.564</v>
      </c>
      <c r="K89" s="11" t="n">
        <v>6.4406</v>
      </c>
      <c r="L89" s="11" t="n">
        <v>89.91</v>
      </c>
      <c r="M89" s="11" t="n">
        <v>6.4</v>
      </c>
      <c r="N89" s="11" t="n">
        <v>5.2592</v>
      </c>
      <c r="O89" s="11" t="n">
        <v>3.9576</v>
      </c>
      <c r="P89" s="11" t="n">
        <v>8</v>
      </c>
      <c r="Q89" s="11" t="n">
        <v>8</v>
      </c>
      <c r="R89" s="11" t="n">
        <v>7</v>
      </c>
      <c r="S89" s="11" t="n">
        <v>6.9</v>
      </c>
      <c r="T89" s="11" t="n">
        <v>6.5</v>
      </c>
    </row>
    <row r="90">
      <c r="A90" s="9" t="n">
        <v>44927</v>
      </c>
      <c r="B90" s="11" t="n">
        <v>4.5748</v>
      </c>
      <c r="C90" s="11" t="n">
        <v>6.286</v>
      </c>
      <c r="D90" s="11" t="n">
        <v>8.302</v>
      </c>
      <c r="E90" s="11" t="n">
        <v>3.5061</v>
      </c>
      <c r="F90" s="11" t="n">
        <v>8.151300000000001</v>
      </c>
      <c r="G90" s="11" t="n">
        <v>7.6438</v>
      </c>
      <c r="H90" s="11" t="n">
        <v>7.5022</v>
      </c>
      <c r="I90" s="11" t="n">
        <v>7.1375</v>
      </c>
      <c r="J90" s="11" t="n">
        <v>7.5229</v>
      </c>
      <c r="K90" s="11" t="n">
        <v>7.8607</v>
      </c>
      <c r="L90" s="11" t="n">
        <v>90.62</v>
      </c>
      <c r="M90" s="11" t="n">
        <v>7.9</v>
      </c>
      <c r="N90" s="11" t="n">
        <v>4.4506</v>
      </c>
      <c r="O90" s="11" t="n">
        <v>3.9833</v>
      </c>
      <c r="P90" s="11" t="n">
        <v>8.300000000000001</v>
      </c>
      <c r="Q90" s="11" t="n">
        <v>8.1</v>
      </c>
      <c r="R90" s="11" t="n">
        <v>7.6</v>
      </c>
      <c r="S90" s="11" t="n">
        <v>7.5</v>
      </c>
      <c r="T90" s="11" t="n">
        <v>7.1</v>
      </c>
    </row>
    <row r="91">
      <c r="A91" s="9" t="n">
        <v>44958</v>
      </c>
      <c r="B91" s="11" t="n">
        <v>4.8824</v>
      </c>
      <c r="C91" s="11" t="n">
        <v>6.5874</v>
      </c>
      <c r="D91" s="11" t="n">
        <v>8.4368</v>
      </c>
      <c r="E91" s="11" t="n">
        <v>3.9163</v>
      </c>
      <c r="F91" s="11" t="n">
        <v>8.1745</v>
      </c>
      <c r="G91" s="11" t="n">
        <v>7.6903</v>
      </c>
      <c r="H91" s="11" t="n">
        <v>7.5648</v>
      </c>
      <c r="I91" s="11" t="n">
        <v>7.062</v>
      </c>
      <c r="J91" s="11" t="n">
        <v>7.2335</v>
      </c>
      <c r="K91" s="11" t="n">
        <v>7.8504</v>
      </c>
      <c r="L91" s="11" t="n">
        <v>91.2</v>
      </c>
      <c r="M91" s="11" t="n">
        <v>7.8</v>
      </c>
      <c r="N91" s="11" t="n">
        <v>4.4242</v>
      </c>
      <c r="O91" s="11" t="n">
        <v>4.0442</v>
      </c>
      <c r="P91" s="11" t="n">
        <v>8.4</v>
      </c>
      <c r="Q91" s="11" t="n">
        <v>8.199999999999999</v>
      </c>
      <c r="R91" s="11" t="n">
        <v>7.7</v>
      </c>
      <c r="S91" s="11" t="n">
        <v>7.6</v>
      </c>
      <c r="T91" s="11" t="n">
        <v>7.1</v>
      </c>
    </row>
    <row r="92">
      <c r="A92" s="9" t="n">
        <v>44986</v>
      </c>
      <c r="B92" s="11" t="n">
        <v>4.9082</v>
      </c>
      <c r="C92" s="11" t="n">
        <v>6.6526</v>
      </c>
      <c r="D92" s="11" t="n">
        <v>8.258800000000001</v>
      </c>
      <c r="E92" s="11" t="n">
        <v>4.1602</v>
      </c>
      <c r="F92" s="11" t="n">
        <v>7.3656</v>
      </c>
      <c r="G92" s="11" t="n">
        <v>6.9099</v>
      </c>
      <c r="H92" s="11" t="n">
        <v>6.7567</v>
      </c>
      <c r="I92" s="11" t="n">
        <v>6.4769</v>
      </c>
      <c r="J92" s="11" t="n">
        <v>6.5781</v>
      </c>
      <c r="K92" s="11" t="n">
        <v>6.753</v>
      </c>
      <c r="L92" s="11" t="n">
        <v>91.56</v>
      </c>
      <c r="M92" s="11" t="n">
        <v>6.8</v>
      </c>
      <c r="N92" s="11" t="n">
        <v>4.1912</v>
      </c>
      <c r="O92" s="11" t="n">
        <v>3.8928</v>
      </c>
      <c r="P92" s="11" t="n">
        <v>8.300000000000001</v>
      </c>
      <c r="Q92" s="11" t="n">
        <v>7.4</v>
      </c>
      <c r="R92" s="11" t="n">
        <v>6.9</v>
      </c>
      <c r="S92" s="11" t="n">
        <v>6.8</v>
      </c>
      <c r="T92" s="11" t="n">
        <v>6.5</v>
      </c>
    </row>
    <row r="93">
      <c r="A93" s="9" t="n">
        <v>45017</v>
      </c>
      <c r="B93" s="11" t="n">
        <v>5.0577</v>
      </c>
      <c r="C93" s="11" t="n">
        <v>6.2813</v>
      </c>
      <c r="D93" s="11" t="n">
        <v>7.9509</v>
      </c>
      <c r="E93" s="11" t="n">
        <v>4.2425</v>
      </c>
      <c r="F93" s="11" t="n">
        <v>6.8455</v>
      </c>
      <c r="G93" s="11" t="n">
        <v>6.5438</v>
      </c>
      <c r="H93" s="11" t="n">
        <v>6.4749</v>
      </c>
      <c r="I93" s="11" t="n">
        <v>6.2923</v>
      </c>
      <c r="J93" s="11" t="n">
        <v>6.4383</v>
      </c>
      <c r="K93" s="11" t="n">
        <v>6.3701</v>
      </c>
      <c r="L93" s="11" t="n">
        <v>92.31999999999999</v>
      </c>
      <c r="M93" s="11" t="n">
        <v>6.3</v>
      </c>
      <c r="N93" s="11" t="n">
        <v>4.1218</v>
      </c>
      <c r="O93" s="11" t="n">
        <v>3.7388</v>
      </c>
      <c r="P93" s="11" t="n">
        <v>8</v>
      </c>
      <c r="Q93" s="11" t="n">
        <v>6.9</v>
      </c>
      <c r="R93" s="11" t="n">
        <v>6.6</v>
      </c>
      <c r="S93" s="11" t="n">
        <v>6.5</v>
      </c>
      <c r="T93" s="11" t="n">
        <v>6.3</v>
      </c>
    </row>
    <row r="94">
      <c r="A94" s="9" t="n">
        <v>45047</v>
      </c>
      <c r="B94" s="11" t="n">
        <v>5.068</v>
      </c>
      <c r="C94" s="11" t="n">
        <v>5.6904</v>
      </c>
      <c r="D94" s="11" t="n">
        <v>7.5439</v>
      </c>
      <c r="E94" s="11" t="n">
        <v>4.0607</v>
      </c>
      <c r="F94" s="11" t="n">
        <v>6.5106</v>
      </c>
      <c r="G94" s="11" t="n">
        <v>6.2255</v>
      </c>
      <c r="H94" s="11" t="n">
        <v>6.1184</v>
      </c>
      <c r="I94" s="11" t="n">
        <v>5.9969</v>
      </c>
      <c r="J94" s="11" t="n">
        <v>5.9865</v>
      </c>
      <c r="K94" s="11" t="n">
        <v>6.2593</v>
      </c>
      <c r="L94" s="11" t="n">
        <v>92.73999999999999</v>
      </c>
      <c r="M94" s="11" t="n">
        <v>5.9</v>
      </c>
      <c r="N94" s="11" t="n">
        <v>3.5005</v>
      </c>
      <c r="O94" s="11" t="n">
        <v>3.2723</v>
      </c>
      <c r="P94" s="11" t="n">
        <v>7.5</v>
      </c>
      <c r="Q94" s="11" t="n">
        <v>6.5</v>
      </c>
      <c r="R94" s="11" t="n">
        <v>6.2</v>
      </c>
      <c r="S94" s="11" t="n">
        <v>6.1</v>
      </c>
      <c r="T94" s="11" t="n">
        <v>6</v>
      </c>
    </row>
    <row r="95">
      <c r="A95" s="9" t="n">
        <v>45078</v>
      </c>
      <c r="B95" s="11" t="n">
        <v>5.0297</v>
      </c>
      <c r="C95" s="11" t="n">
        <v>6.0546</v>
      </c>
      <c r="D95" s="11" t="n">
        <v>7.1293</v>
      </c>
      <c r="E95" s="11" t="n">
        <v>4.5086</v>
      </c>
      <c r="F95" s="11" t="n">
        <v>6.037</v>
      </c>
      <c r="G95" s="11" t="n">
        <v>5.7831</v>
      </c>
      <c r="H95" s="11" t="n">
        <v>5.7545</v>
      </c>
      <c r="I95" s="11" t="n">
        <v>5.775</v>
      </c>
      <c r="J95" s="11" t="n">
        <v>5.8044</v>
      </c>
      <c r="K95" s="11" t="n">
        <v>5.7194</v>
      </c>
      <c r="L95" s="11" t="n">
        <v>93.11</v>
      </c>
      <c r="M95" s="11" t="n">
        <v>5.7</v>
      </c>
      <c r="N95" s="11" t="n">
        <v>3.0942</v>
      </c>
      <c r="O95" s="11" t="n">
        <v>2.8842</v>
      </c>
      <c r="P95" s="11" t="n">
        <v>7.1</v>
      </c>
      <c r="Q95" s="11" t="n">
        <v>6</v>
      </c>
      <c r="R95" s="11" t="n">
        <v>5.8</v>
      </c>
      <c r="S95" s="11" t="n">
        <v>5.8</v>
      </c>
      <c r="T95" s="11" t="n">
        <v>5.8</v>
      </c>
    </row>
    <row r="96">
      <c r="A96" s="9" t="n">
        <v>45108</v>
      </c>
      <c r="B96" s="11" t="n">
        <v>5.0906</v>
      </c>
      <c r="C96" s="11" t="n">
        <v>6.0431</v>
      </c>
      <c r="D96" s="11" t="n">
        <v>6.6549</v>
      </c>
      <c r="E96" s="11" t="n">
        <v>4.7868</v>
      </c>
      <c r="F96" s="11" t="n">
        <v>5.4246</v>
      </c>
      <c r="G96" s="11" t="n">
        <v>5.472</v>
      </c>
      <c r="H96" s="11" t="n">
        <v>5.434</v>
      </c>
      <c r="I96" s="11" t="n">
        <v>5.4663</v>
      </c>
      <c r="J96" s="11" t="n">
        <v>5.5023</v>
      </c>
      <c r="K96" s="11" t="n">
        <v>5.5527</v>
      </c>
      <c r="L96" s="11" t="n">
        <v>93.76000000000001</v>
      </c>
      <c r="M96" s="11" t="n">
        <v>5.6</v>
      </c>
      <c r="N96" s="11" t="n">
        <v>2.7586</v>
      </c>
      <c r="O96" s="11" t="n">
        <v>2.5828</v>
      </c>
      <c r="P96" s="11" t="n">
        <v>6.7</v>
      </c>
      <c r="Q96" s="11" t="n">
        <v>5.4</v>
      </c>
      <c r="R96" s="11" t="n">
        <v>5.5</v>
      </c>
      <c r="S96" s="11" t="n">
        <v>5.4</v>
      </c>
      <c r="T96" s="11" t="n">
        <v>5.5</v>
      </c>
    </row>
    <row r="97">
      <c r="A97" s="9" t="n">
        <v>45139</v>
      </c>
      <c r="B97" s="11" t="n">
        <v>5.0766</v>
      </c>
      <c r="C97" s="11" t="n">
        <v>5.5645</v>
      </c>
      <c r="D97" s="11" t="n">
        <v>6.3492</v>
      </c>
      <c r="E97" s="11" t="n">
        <v>4.6297</v>
      </c>
      <c r="F97" s="11" t="n">
        <v>5.1511</v>
      </c>
      <c r="G97" s="11" t="n">
        <v>5.1967</v>
      </c>
      <c r="H97" s="11" t="n">
        <v>5.2208</v>
      </c>
      <c r="I97" s="11" t="n">
        <v>5.2856</v>
      </c>
      <c r="J97" s="11" t="n">
        <v>5.2618</v>
      </c>
      <c r="K97" s="11" t="n">
        <v>5.1155</v>
      </c>
      <c r="L97" s="11" t="n">
        <v>94</v>
      </c>
      <c r="M97" s="11" t="n">
        <v>5.1</v>
      </c>
      <c r="N97" s="11" t="n">
        <v>2.7347</v>
      </c>
      <c r="O97" s="11" t="n">
        <v>2.4279</v>
      </c>
      <c r="P97" s="11" t="n">
        <v>6.3</v>
      </c>
      <c r="Q97" s="11" t="n">
        <v>5.2</v>
      </c>
      <c r="R97" s="11" t="n">
        <v>5.2</v>
      </c>
      <c r="S97" s="11" t="n">
        <v>5.2</v>
      </c>
      <c r="T97" s="11" t="n">
        <v>5.3</v>
      </c>
    </row>
    <row r="98">
      <c r="A98" s="9" t="n">
        <v>45170</v>
      </c>
      <c r="B98" s="11" t="n">
        <v>4.818</v>
      </c>
      <c r="C98" s="11" t="n">
        <v>4.1571</v>
      </c>
      <c r="D98" s="11" t="n">
        <v>5.8655</v>
      </c>
      <c r="E98" s="11" t="n">
        <v>3.7168</v>
      </c>
      <c r="F98" s="11" t="n">
        <v>4.8542</v>
      </c>
      <c r="G98" s="11" t="n">
        <v>4.9561</v>
      </c>
      <c r="H98" s="11" t="n">
        <v>4.9239</v>
      </c>
      <c r="I98" s="11" t="n">
        <v>4.889</v>
      </c>
      <c r="J98" s="11" t="n">
        <v>4.8928</v>
      </c>
      <c r="K98" s="11" t="n">
        <v>4.7614</v>
      </c>
      <c r="L98" s="11" t="n">
        <v>93.79000000000001</v>
      </c>
      <c r="M98" s="11" t="n">
        <v>4.8</v>
      </c>
      <c r="N98" s="11" t="n">
        <v>2.63</v>
      </c>
      <c r="O98" s="11" t="n">
        <v>2.3128</v>
      </c>
      <c r="P98" s="11" t="n">
        <v>5.9</v>
      </c>
      <c r="Q98" s="11" t="n">
        <v>4.9</v>
      </c>
      <c r="R98" s="11" t="n">
        <v>5</v>
      </c>
      <c r="S98" s="11" t="n">
        <v>4.9</v>
      </c>
      <c r="T98" s="11" t="n">
        <v>4.9</v>
      </c>
    </row>
    <row r="99">
      <c r="A99" s="9" t="n">
        <v>45200</v>
      </c>
      <c r="B99" s="11" t="n">
        <v>4.7596</v>
      </c>
      <c r="C99" s="11" t="n">
        <v>3.4749</v>
      </c>
      <c r="D99" s="11" t="n">
        <v>5.4015</v>
      </c>
      <c r="E99" s="11" t="n">
        <v>3.4495</v>
      </c>
      <c r="F99" s="11" t="n">
        <v>4.1072</v>
      </c>
      <c r="G99" s="11" t="n">
        <v>4.4658</v>
      </c>
      <c r="H99" s="11" t="n">
        <v>4.5037</v>
      </c>
      <c r="I99" s="11" t="n">
        <v>4.4992</v>
      </c>
      <c r="J99" s="11" t="n">
        <v>4.5102</v>
      </c>
      <c r="K99" s="11" t="n">
        <v>4.5071</v>
      </c>
      <c r="L99" s="11" t="n">
        <v>93.88</v>
      </c>
      <c r="M99" s="11" t="n">
        <v>4.4</v>
      </c>
      <c r="N99" s="11" t="n">
        <v>2.4554</v>
      </c>
      <c r="O99" s="11" t="n">
        <v>2.2118</v>
      </c>
      <c r="P99" s="11" t="n">
        <v>5.4</v>
      </c>
      <c r="Q99" s="11" t="n">
        <v>4.1</v>
      </c>
      <c r="R99" s="11" t="n">
        <v>4.5</v>
      </c>
      <c r="S99" s="11" t="n">
        <v>4.5</v>
      </c>
      <c r="T99" s="11" t="n">
        <v>4.5</v>
      </c>
    </row>
    <row r="100">
      <c r="A100" s="9" t="n">
        <v>45231</v>
      </c>
      <c r="B100" s="11" t="n">
        <v>4.4343</v>
      </c>
      <c r="C100" s="11" t="n">
        <v>2.4998</v>
      </c>
      <c r="D100" s="11" t="n">
        <v>4.9208</v>
      </c>
      <c r="E100" s="11" t="n">
        <v>2.7149</v>
      </c>
      <c r="F100" s="11" t="n">
        <v>3.528</v>
      </c>
      <c r="G100" s="11" t="n">
        <v>3.9517</v>
      </c>
      <c r="H100" s="11" t="n">
        <v>4.0433</v>
      </c>
      <c r="I100" s="11" t="n">
        <v>4.0219</v>
      </c>
      <c r="J100" s="11" t="n">
        <v>3.9798</v>
      </c>
      <c r="K100" s="11" t="n">
        <v>3.819</v>
      </c>
      <c r="L100" s="11" t="n">
        <v>93.58</v>
      </c>
      <c r="M100" s="11" t="n">
        <v>3.8</v>
      </c>
      <c r="N100" s="11" t="n">
        <v>2.0978</v>
      </c>
      <c r="O100" s="11" t="n">
        <v>2.0434</v>
      </c>
      <c r="P100" s="11" t="n">
        <v>4.9</v>
      </c>
      <c r="Q100" s="11" t="n">
        <v>3.5</v>
      </c>
      <c r="R100" s="11" t="n">
        <v>4</v>
      </c>
      <c r="S100" s="11" t="n">
        <v>4</v>
      </c>
      <c r="T100" s="11" t="n">
        <v>4</v>
      </c>
    </row>
    <row r="101">
      <c r="A101" s="9" t="n">
        <v>45261</v>
      </c>
      <c r="B101" s="11" t="n">
        <v>4.2931</v>
      </c>
      <c r="C101" s="11" t="n">
        <v>2.3697</v>
      </c>
      <c r="D101" s="11" t="n">
        <v>4.4913</v>
      </c>
      <c r="E101" s="11" t="n">
        <v>2.7611</v>
      </c>
      <c r="F101" s="11" t="n">
        <v>3.455</v>
      </c>
      <c r="G101" s="11" t="n">
        <v>3.7159</v>
      </c>
      <c r="H101" s="11" t="n">
        <v>3.7119</v>
      </c>
      <c r="I101" s="11" t="n">
        <v>3.7028</v>
      </c>
      <c r="J101" s="11" t="n">
        <v>3.5806</v>
      </c>
      <c r="K101" s="11" t="n">
        <v>3.6671</v>
      </c>
      <c r="L101" s="11" t="n">
        <v>93.77</v>
      </c>
      <c r="M101" s="11" t="n">
        <v>3.7</v>
      </c>
      <c r="N101" s="11" t="n">
        <v>2.031</v>
      </c>
      <c r="O101" s="11" t="n">
        <v>2.0228</v>
      </c>
      <c r="P101" s="11" t="n">
        <v>4.5</v>
      </c>
      <c r="Q101" s="11" t="n">
        <v>3.5</v>
      </c>
      <c r="R101" s="11" t="n">
        <v>3.7</v>
      </c>
      <c r="S101" s="11" t="n">
        <v>3.7</v>
      </c>
      <c r="T101" s="11" t="n">
        <v>3.7</v>
      </c>
    </row>
    <row r="102">
      <c r="A102" s="9" t="n">
        <v>45292</v>
      </c>
      <c r="B102" s="11" t="n">
        <v>4.2193</v>
      </c>
      <c r="C102" s="11" t="n">
        <v>2.016</v>
      </c>
      <c r="D102" s="11" t="n">
        <v>4.1256</v>
      </c>
      <c r="E102" s="11" t="n">
        <v>2.7157</v>
      </c>
      <c r="F102" s="11" t="n">
        <v>3.0881</v>
      </c>
      <c r="G102" s="11" t="n">
        <v>3.3931</v>
      </c>
      <c r="H102" s="11" t="n">
        <v>3.4402</v>
      </c>
      <c r="I102" s="11" t="n">
        <v>3.4192</v>
      </c>
      <c r="J102" s="11" t="n">
        <v>3.3602</v>
      </c>
      <c r="K102" s="11" t="n">
        <v>3.4614</v>
      </c>
      <c r="L102" s="11" t="n">
        <v>94.44</v>
      </c>
      <c r="M102" s="11" t="n">
        <v>3.4</v>
      </c>
      <c r="N102" s="11" t="n">
        <v>2.1407</v>
      </c>
      <c r="O102" s="11" t="n">
        <v>2.2258</v>
      </c>
      <c r="P102" s="11" t="n">
        <v>4.1</v>
      </c>
      <c r="Q102" s="11" t="n">
        <v>3.1</v>
      </c>
      <c r="R102" s="11" t="n">
        <v>3.4</v>
      </c>
      <c r="S102" s="11" t="n">
        <v>3.4</v>
      </c>
      <c r="T102" s="11" t="n">
        <v>3.4</v>
      </c>
    </row>
    <row r="103">
      <c r="A103" s="9" t="n">
        <v>45323</v>
      </c>
      <c r="B103" s="11" t="n">
        <v>4.2015</v>
      </c>
      <c r="C103" s="11" t="n">
        <v>1.6741</v>
      </c>
      <c r="D103" s="11" t="n">
        <v>3.7017</v>
      </c>
      <c r="E103" s="11" t="n">
        <v>2.7168</v>
      </c>
      <c r="F103" s="11" t="n">
        <v>2.8397</v>
      </c>
      <c r="G103" s="11" t="n">
        <v>3.0178</v>
      </c>
      <c r="H103" s="11" t="n">
        <v>3.0554</v>
      </c>
      <c r="I103" s="11" t="n">
        <v>3.0785</v>
      </c>
      <c r="J103" s="11" t="n">
        <v>2.9926</v>
      </c>
      <c r="K103" s="11" t="n">
        <v>2.8027</v>
      </c>
      <c r="L103" s="11" t="n">
        <v>95.03</v>
      </c>
      <c r="M103" s="11" t="n">
        <v>2.8</v>
      </c>
      <c r="N103" s="11" t="n">
        <v>2.2522</v>
      </c>
      <c r="O103" s="11" t="n">
        <v>2.35</v>
      </c>
      <c r="P103" s="11" t="n">
        <v>3.7</v>
      </c>
      <c r="Q103" s="11" t="n">
        <v>2.8</v>
      </c>
      <c r="R103" s="11" t="n">
        <v>3</v>
      </c>
      <c r="S103" s="11" t="n">
        <v>3.1</v>
      </c>
      <c r="T103" s="11" t="n">
        <v>3.1</v>
      </c>
    </row>
    <row r="104">
      <c r="A104" s="9" t="n">
        <v>45352</v>
      </c>
      <c r="B104" s="11" t="n">
        <v>4.1714</v>
      </c>
      <c r="C104" s="11" t="n">
        <v>1.4162</v>
      </c>
      <c r="D104" s="11" t="n">
        <v>3.5172</v>
      </c>
      <c r="E104" s="11" t="n">
        <v>2.5875</v>
      </c>
      <c r="F104" s="11" t="n">
        <v>2.5916</v>
      </c>
      <c r="G104" s="11" t="n">
        <v>2.8183</v>
      </c>
      <c r="H104" s="11" t="n">
        <v>2.8543</v>
      </c>
      <c r="I104" s="11" t="n">
        <v>2.783</v>
      </c>
      <c r="J104" s="11" t="n">
        <v>2.6966</v>
      </c>
      <c r="K104" s="11" t="n">
        <v>2.711</v>
      </c>
      <c r="L104" s="11" t="n">
        <v>95.37</v>
      </c>
      <c r="M104" s="11" t="n">
        <v>2.7</v>
      </c>
      <c r="N104" s="11" t="n">
        <v>2.1851</v>
      </c>
      <c r="O104" s="11" t="n">
        <v>2.3129</v>
      </c>
      <c r="P104" s="11" t="n">
        <v>3.5</v>
      </c>
      <c r="Q104" s="11" t="n">
        <v>2.6</v>
      </c>
      <c r="R104" s="11" t="n">
        <v>2.8</v>
      </c>
      <c r="S104" s="11" t="n">
        <v>2.8</v>
      </c>
      <c r="T104" s="11" t="n">
        <v>2.8</v>
      </c>
    </row>
    <row r="105">
      <c r="A105" s="9" t="n">
        <v>45383</v>
      </c>
      <c r="B105" s="11" t="n">
        <v>4.1393</v>
      </c>
      <c r="C105" s="11" t="n">
        <v>0.8159</v>
      </c>
      <c r="D105" s="11" t="n">
        <v>3.2255</v>
      </c>
      <c r="E105" s="11" t="n">
        <v>2.3016</v>
      </c>
      <c r="F105" s="11" t="n">
        <v>2.4244</v>
      </c>
      <c r="G105" s="11" t="n">
        <v>2.6112</v>
      </c>
      <c r="H105" s="11" t="n">
        <v>2.6323</v>
      </c>
      <c r="I105" s="11" t="n">
        <v>2.5705</v>
      </c>
      <c r="J105" s="11" t="n">
        <v>2.4826</v>
      </c>
      <c r="K105" s="11" t="n">
        <v>2.4228</v>
      </c>
      <c r="L105" s="11" t="n">
        <v>96.13</v>
      </c>
      <c r="M105" s="11" t="n">
        <v>2.4</v>
      </c>
      <c r="N105" s="11" t="n">
        <v>2.0318</v>
      </c>
      <c r="O105" s="11" t="n">
        <v>2.0573</v>
      </c>
      <c r="P105" s="11" t="n">
        <v>3.2</v>
      </c>
      <c r="Q105" s="11" t="n">
        <v>2.4</v>
      </c>
      <c r="R105" s="11" t="n">
        <v>2.6</v>
      </c>
      <c r="S105" s="11" t="n">
        <v>2.6</v>
      </c>
      <c r="T105" s="11" t="n">
        <v>2.6</v>
      </c>
    </row>
    <row r="106">
      <c r="A106" s="9" t="n">
        <v>45413</v>
      </c>
      <c r="B106" s="11" t="n">
        <v>4.1834</v>
      </c>
      <c r="C106" s="11" t="n">
        <v>1.2116</v>
      </c>
      <c r="D106" s="11" t="n">
        <v>2.9832</v>
      </c>
      <c r="E106" s="11" t="n">
        <v>2.7881</v>
      </c>
      <c r="F106" s="11" t="n">
        <v>2.5348</v>
      </c>
      <c r="G106" s="11" t="n">
        <v>2.6535</v>
      </c>
      <c r="H106" s="11" t="n">
        <v>2.6806</v>
      </c>
      <c r="I106" s="11" t="n">
        <v>2.6687</v>
      </c>
      <c r="J106" s="11" t="n">
        <v>2.6681</v>
      </c>
      <c r="K106" s="11" t="n">
        <v>2.7973</v>
      </c>
      <c r="L106" s="11" t="n">
        <v>96.62</v>
      </c>
      <c r="M106" s="11" t="n">
        <v>2.7</v>
      </c>
      <c r="N106" s="11" t="n">
        <v>1.9272</v>
      </c>
      <c r="O106" s="11" t="n">
        <v>1.9525</v>
      </c>
      <c r="P106" s="11" t="n">
        <v>3</v>
      </c>
      <c r="Q106" s="11" t="n">
        <v>2.5</v>
      </c>
      <c r="R106" s="11" t="n">
        <v>2.7</v>
      </c>
      <c r="S106" s="11" t="n">
        <v>2.7</v>
      </c>
      <c r="T106" s="11" t="n">
        <v>2.7</v>
      </c>
    </row>
    <row r="107">
      <c r="A107" s="9" t="n">
        <v>45444</v>
      </c>
      <c r="B107" s="11" t="n">
        <v>4.198</v>
      </c>
      <c r="C107" s="11" t="n">
        <v>1.1798</v>
      </c>
      <c r="D107" s="11" t="n">
        <v>2.8701</v>
      </c>
      <c r="E107" s="11" t="n">
        <v>2.8505</v>
      </c>
      <c r="F107" s="11" t="n">
        <v>2.44</v>
      </c>
      <c r="G107" s="11" t="n">
        <v>2.4259</v>
      </c>
      <c r="H107" s="11" t="n">
        <v>2.4388</v>
      </c>
      <c r="I107" s="11" t="n">
        <v>2.352</v>
      </c>
      <c r="J107" s="11" t="n">
        <v>2.2191</v>
      </c>
      <c r="K107" s="11" t="n">
        <v>2.1419</v>
      </c>
      <c r="L107" s="11" t="n">
        <v>97.02</v>
      </c>
      <c r="M107" s="11" t="n">
        <v>2.1</v>
      </c>
      <c r="N107" s="11" t="n">
        <v>1.9223</v>
      </c>
      <c r="O107" s="11" t="n">
        <v>1.9232</v>
      </c>
      <c r="P107" s="11" t="n">
        <v>2.9</v>
      </c>
      <c r="Q107" s="11" t="n">
        <v>2.4</v>
      </c>
      <c r="R107" s="11" t="n">
        <v>2.4</v>
      </c>
      <c r="S107" s="11" t="n">
        <v>2.4</v>
      </c>
      <c r="T107" s="11" t="n">
        <v>2.4</v>
      </c>
    </row>
    <row r="108">
      <c r="A108" s="9" t="n">
        <v>45474</v>
      </c>
      <c r="B108" s="11" t="n">
        <v>4.1493</v>
      </c>
      <c r="C108" s="11" t="n">
        <v>1.171</v>
      </c>
      <c r="D108" s="11" t="n">
        <v>2.7966</v>
      </c>
      <c r="E108" s="11" t="n">
        <v>2.8825</v>
      </c>
      <c r="F108" s="11" t="n">
        <v>2.4349</v>
      </c>
      <c r="G108" s="11" t="n">
        <v>2.4476</v>
      </c>
      <c r="H108" s="11" t="n">
        <v>2.4455</v>
      </c>
      <c r="I108" s="11" t="n">
        <v>2.3537</v>
      </c>
      <c r="J108" s="11" t="n">
        <v>2.3794</v>
      </c>
      <c r="K108" s="11" t="n">
        <v>2.36</v>
      </c>
      <c r="L108" s="11" t="n">
        <v>97.65000000000001</v>
      </c>
      <c r="M108" s="11" t="n">
        <v>2.4</v>
      </c>
      <c r="N108" s="11" t="n">
        <v>2.0223</v>
      </c>
      <c r="O108" s="11" t="n">
        <v>1.9935</v>
      </c>
      <c r="P108" s="11" t="n">
        <v>2.8</v>
      </c>
      <c r="Q108" s="11" t="n">
        <v>2.4</v>
      </c>
      <c r="R108" s="11" t="n">
        <v>2.4</v>
      </c>
      <c r="S108" s="11" t="n">
        <v>2.4</v>
      </c>
      <c r="T108" s="11" t="n">
        <v>2.3</v>
      </c>
    </row>
    <row r="109">
      <c r="A109" s="9" t="n">
        <v>45505</v>
      </c>
      <c r="B109" s="11" t="n">
        <v>4.1053</v>
      </c>
      <c r="C109" s="11" t="n">
        <v>1.1927</v>
      </c>
      <c r="D109" s="11" t="n">
        <v>2.7273</v>
      </c>
      <c r="E109" s="11" t="n">
        <v>2.8975</v>
      </c>
      <c r="F109" s="11" t="n">
        <v>2.1921</v>
      </c>
      <c r="G109" s="11" t="n">
        <v>2.2943</v>
      </c>
      <c r="H109" s="11" t="n">
        <v>2.3106</v>
      </c>
      <c r="I109" s="11" t="n">
        <v>2.2785</v>
      </c>
      <c r="J109" s="11" t="n">
        <v>2.2016</v>
      </c>
      <c r="K109" s="11" t="n">
        <v>2.4794</v>
      </c>
      <c r="L109" s="11" t="n">
        <v>97.86</v>
      </c>
      <c r="M109" s="11" t="n">
        <v>2.4</v>
      </c>
      <c r="N109" s="11" t="n">
        <v>2.1234</v>
      </c>
      <c r="O109" s="11" t="n">
        <v>2.0594</v>
      </c>
      <c r="P109" s="11" t="n">
        <v>2.7</v>
      </c>
      <c r="Q109" s="11" t="n">
        <v>2.2</v>
      </c>
      <c r="R109" s="11" t="n">
        <v>2.3</v>
      </c>
      <c r="S109" s="11" t="n">
        <v>2.3</v>
      </c>
      <c r="T109" s="11" t="n">
        <v>2.3</v>
      </c>
    </row>
    <row r="110">
      <c r="A110" s="9" t="n">
        <v>45536</v>
      </c>
      <c r="B110" s="11" t="n">
        <v>3.9895</v>
      </c>
      <c r="C110" s="11" t="n">
        <v>0.9955000000000001</v>
      </c>
      <c r="D110" s="11" t="n">
        <v>2.6794</v>
      </c>
      <c r="E110" s="11" t="n">
        <v>2.6622</v>
      </c>
      <c r="F110" s="11" t="n">
        <v>2.1412</v>
      </c>
      <c r="G110" s="11" t="n">
        <v>2.2504</v>
      </c>
      <c r="H110" s="11" t="n">
        <v>2.2679</v>
      </c>
      <c r="I110" s="11" t="n">
        <v>2.2614</v>
      </c>
      <c r="J110" s="11" t="n">
        <v>2.2169</v>
      </c>
      <c r="K110" s="11" t="n">
        <v>2.677</v>
      </c>
      <c r="L110" s="11" t="n">
        <v>97.53</v>
      </c>
      <c r="M110" s="11" t="n">
        <v>2.5</v>
      </c>
      <c r="N110" s="11" t="n">
        <v>2.1558</v>
      </c>
      <c r="O110" s="11" t="n">
        <v>2.1316</v>
      </c>
      <c r="P110" s="11" t="n">
        <v>2.7</v>
      </c>
      <c r="Q110" s="11" t="n">
        <v>2.1</v>
      </c>
      <c r="R110" s="11" t="n">
        <v>2.2</v>
      </c>
      <c r="S110" s="11" t="n">
        <v>2.3</v>
      </c>
      <c r="T110" s="11" t="n">
        <v>2.2</v>
      </c>
    </row>
    <row r="111">
      <c r="A111" s="9" t="n">
        <v>45566</v>
      </c>
      <c r="B111" s="11" t="n">
        <v>3.8952</v>
      </c>
      <c r="C111" s="11" t="n">
        <v>1.1708</v>
      </c>
      <c r="D111" s="11" t="n">
        <v>2.6647</v>
      </c>
      <c r="E111" s="11" t="n">
        <v>2.7064</v>
      </c>
      <c r="F111" s="11" t="n">
        <v>2.2853</v>
      </c>
      <c r="G111" s="11" t="n">
        <v>2.4093</v>
      </c>
      <c r="H111" s="11" t="n">
        <v>2.4309</v>
      </c>
      <c r="I111" s="11" t="n">
        <v>2.4398</v>
      </c>
      <c r="J111" s="11" t="n">
        <v>2.4306</v>
      </c>
      <c r="K111" s="11" t="n">
        <v>2.6769</v>
      </c>
      <c r="L111" s="11" t="n">
        <v>97.54000000000001</v>
      </c>
      <c r="M111" s="11" t="n">
        <v>2.7</v>
      </c>
      <c r="N111" s="11" t="n">
        <v>2.217</v>
      </c>
      <c r="O111" s="11" t="n">
        <v>2.1426</v>
      </c>
      <c r="P111" s="11" t="n">
        <v>2.7</v>
      </c>
      <c r="Q111" s="11" t="n">
        <v>2.3</v>
      </c>
      <c r="R111" s="11" t="n">
        <v>2.4</v>
      </c>
      <c r="S111" s="11" t="n">
        <v>2.4</v>
      </c>
      <c r="T111" s="11" t="n">
        <v>2.5</v>
      </c>
    </row>
    <row r="112">
      <c r="A112" s="9" t="n">
        <v>45597</v>
      </c>
      <c r="B112" s="11" t="n">
        <v>3.8512</v>
      </c>
      <c r="C112" s="11" t="n">
        <v>1.2634</v>
      </c>
      <c r="D112" s="11" t="n">
        <v>2.6351</v>
      </c>
      <c r="E112" s="11" t="n">
        <v>2.7666</v>
      </c>
      <c r="F112" s="11" t="n">
        <v>2.3911</v>
      </c>
      <c r="G112" s="11" t="n">
        <v>2.4769</v>
      </c>
      <c r="H112" s="11" t="n">
        <v>2.486</v>
      </c>
      <c r="I112" s="11" t="n">
        <v>2.48</v>
      </c>
      <c r="J112" s="11" t="n">
        <v>2.4429</v>
      </c>
      <c r="K112" s="11" t="n">
        <v>2.6241</v>
      </c>
      <c r="L112" s="11" t="n">
        <v>97.18000000000001</v>
      </c>
      <c r="M112" s="11" t="n">
        <v>2.5</v>
      </c>
      <c r="N112" s="11" t="n">
        <v>2.2081</v>
      </c>
      <c r="O112" s="11" t="n">
        <v>2.0762</v>
      </c>
      <c r="P112" s="11" t="n">
        <v>2.6</v>
      </c>
      <c r="Q112" s="11" t="n">
        <v>2.4</v>
      </c>
      <c r="R112" s="11" t="n">
        <v>2.5</v>
      </c>
      <c r="S112" s="11" t="n">
        <v>2.5</v>
      </c>
      <c r="T112" s="11" t="n">
        <v>2.5</v>
      </c>
    </row>
    <row r="113">
      <c r="A113" s="9" t="n">
        <v>45627</v>
      </c>
      <c r="B113" s="11" t="n">
        <v>3.848</v>
      </c>
      <c r="C113" s="11" t="n">
        <v>1.2776</v>
      </c>
      <c r="D113" s="11" t="n">
        <v>2.6569</v>
      </c>
      <c r="E113" s="11" t="n">
        <v>2.7491</v>
      </c>
      <c r="F113" s="11" t="n">
        <v>2.4336</v>
      </c>
      <c r="G113" s="11" t="n">
        <v>2.4437</v>
      </c>
      <c r="H113" s="11" t="n">
        <v>2.461</v>
      </c>
      <c r="I113" s="11" t="n">
        <v>2.4632</v>
      </c>
      <c r="J113" s="11" t="n">
        <v>2.4403</v>
      </c>
      <c r="K113" s="11" t="n">
        <v>2.4598</v>
      </c>
      <c r="L113" s="11" t="n">
        <v>97.38</v>
      </c>
      <c r="M113" s="11" t="n">
        <v>2.5</v>
      </c>
      <c r="N113" s="11" t="n">
        <v>2.2759</v>
      </c>
      <c r="O113" s="11" t="n">
        <v>2.0426</v>
      </c>
      <c r="P113" s="11" t="n">
        <v>2.7</v>
      </c>
      <c r="Q113" s="11" t="n">
        <v>2.4</v>
      </c>
      <c r="R113" s="11" t="n">
        <v>2.4</v>
      </c>
      <c r="S113" s="11" t="n">
        <v>2.5</v>
      </c>
      <c r="T113" s="11" t="n">
        <v>2.5</v>
      </c>
    </row>
    <row r="114">
      <c r="A114" s="9" t="n">
        <v>45658</v>
      </c>
      <c r="B114" s="11" t="n">
        <v>3.6949</v>
      </c>
      <c r="C114" s="11" t="n">
        <v>1.3805</v>
      </c>
      <c r="D114" s="11" t="n">
        <v>2.4926</v>
      </c>
      <c r="E114" s="11" t="n">
        <v>2.858</v>
      </c>
      <c r="F114" s="11" t="n">
        <v>2.4862</v>
      </c>
      <c r="G114" s="11" t="n">
        <v>2.4232</v>
      </c>
      <c r="H114" s="11" t="n">
        <v>2.4159</v>
      </c>
      <c r="I114" s="11" t="n">
        <v>2.4703</v>
      </c>
      <c r="J114" s="11" t="n">
        <v>2.4572</v>
      </c>
      <c r="K114" s="11" t="n">
        <v>2.7821</v>
      </c>
      <c r="L114" s="11" t="n">
        <v>97.93000000000001</v>
      </c>
      <c r="M114" s="11" t="n">
        <v>2.8</v>
      </c>
      <c r="N114" s="11" t="n">
        <v>2.2703</v>
      </c>
      <c r="O114" s="11" t="n">
        <v>2.1091</v>
      </c>
      <c r="P114" s="11" t="n">
        <v>2.5</v>
      </c>
      <c r="Q114" s="11" t="n">
        <v>2.5</v>
      </c>
      <c r="R114" s="11" t="n">
        <v>2.4</v>
      </c>
      <c r="S114" s="11" t="n">
        <v>2.4</v>
      </c>
      <c r="T114" s="11" t="n">
        <v>2.5</v>
      </c>
    </row>
    <row r="115">
      <c r="A115" s="9" t="n">
        <v>45689</v>
      </c>
      <c r="B115" s="11" t="n">
        <v>3.5507</v>
      </c>
      <c r="C115" s="11" t="n">
        <v>1.2625</v>
      </c>
      <c r="D115" s="11" t="n">
        <v>2.5002</v>
      </c>
      <c r="E115" s="11" t="n">
        <v>2.6276</v>
      </c>
      <c r="F115" s="11" t="n">
        <v>2.3402</v>
      </c>
      <c r="G115" s="11" t="n">
        <v>2.3275</v>
      </c>
      <c r="H115" s="11" t="n">
        <v>2.3372</v>
      </c>
      <c r="I115" s="11" t="n">
        <v>2.4125</v>
      </c>
      <c r="J115" s="11" t="n">
        <v>2.4077</v>
      </c>
      <c r="K115" s="11" t="n">
        <v>2.2683</v>
      </c>
      <c r="L115" s="11" t="n">
        <v>98.40000000000001</v>
      </c>
      <c r="M115" s="11" t="n">
        <v>2.3</v>
      </c>
      <c r="N115" s="11" t="n">
        <v>2.443</v>
      </c>
      <c r="O115" s="11" t="n">
        <v>2.2642</v>
      </c>
      <c r="P115" s="11" t="n">
        <v>2.5</v>
      </c>
      <c r="Q115" s="11" t="n">
        <v>2.3</v>
      </c>
      <c r="R115" s="11" t="n">
        <v>2.3</v>
      </c>
      <c r="S115" s="11" t="n">
        <v>2.3</v>
      </c>
      <c r="T115" s="11" t="n">
        <v>2.4</v>
      </c>
    </row>
    <row r="116">
      <c r="A116" s="9" t="n">
        <v>45717</v>
      </c>
      <c r="B116" s="11" t="n">
        <v>3.599</v>
      </c>
      <c r="C116" s="11" t="n">
        <v>0.9166</v>
      </c>
      <c r="D116" s="11" t="n">
        <v>2.5719</v>
      </c>
      <c r="E116" s="11" t="n">
        <v>2.3476</v>
      </c>
      <c r="F116" s="11" t="n">
        <v>2.2929</v>
      </c>
      <c r="G116" s="11" t="n">
        <v>2.4114</v>
      </c>
      <c r="H116" s="11" t="n">
        <v>2.4254</v>
      </c>
      <c r="I116" s="11" t="n">
        <v>2.5032</v>
      </c>
      <c r="J116" s="11" t="n">
        <v>2.5704</v>
      </c>
      <c r="K116" s="11" t="n">
        <v>2.5738</v>
      </c>
      <c r="L116" s="11" t="n">
        <v>98.8</v>
      </c>
      <c r="M116" s="11" t="n">
        <v>2.6</v>
      </c>
      <c r="N116" s="11" t="n">
        <v>2.42</v>
      </c>
      <c r="O116" s="11" t="n">
        <v>2.2922</v>
      </c>
      <c r="P116" s="11" t="n">
        <v>2.6</v>
      </c>
      <c r="Q116" s="11" t="n">
        <v>2.3</v>
      </c>
      <c r="R116" s="11" t="n">
        <v>2.4</v>
      </c>
      <c r="S116" s="11" t="n">
        <v>2.4</v>
      </c>
      <c r="T116" s="11" t="n">
        <v>2.5</v>
      </c>
    </row>
    <row r="117">
      <c r="A117" s="9" t="n">
        <v>45748</v>
      </c>
      <c r="B117" s="11" t="n">
        <v>3.5882</v>
      </c>
      <c r="C117" s="11" t="n">
        <v>1.664</v>
      </c>
      <c r="D117" s="11" t="n">
        <v>2.593</v>
      </c>
      <c r="E117" s="11" t="n">
        <v>2.8385</v>
      </c>
      <c r="F117" s="11" t="n">
        <v>2.4286</v>
      </c>
      <c r="G117" s="11" t="n">
        <v>2.5229</v>
      </c>
      <c r="H117" s="11" t="n">
        <v>2.5231</v>
      </c>
      <c r="I117" s="11" t="n">
        <v>2.6061</v>
      </c>
      <c r="J117" s="11" t="n">
        <v>2.7253</v>
      </c>
      <c r="K117" s="11" t="n">
        <v>2.9162</v>
      </c>
      <c r="L117" s="11" t="n">
        <v>99.58</v>
      </c>
      <c r="M117" s="11" t="n">
        <v>2.8</v>
      </c>
      <c r="N117" s="11" t="n">
        <v>2.4035</v>
      </c>
      <c r="O117" s="11" t="n">
        <v>2.3624</v>
      </c>
      <c r="P117" s="11" t="n">
        <v>2.6</v>
      </c>
      <c r="Q117" s="11" t="n">
        <v>2.4</v>
      </c>
      <c r="R117" s="11" t="n">
        <v>2.5</v>
      </c>
      <c r="S117" s="11" t="n">
        <v>2.5</v>
      </c>
      <c r="T117" s="11" t="n">
        <v>2.6</v>
      </c>
    </row>
    <row r="118">
      <c r="A118" s="9" t="n">
        <v>45778</v>
      </c>
      <c r="B118" s="11" t="n">
        <v>3.4004</v>
      </c>
      <c r="C118" s="11" t="n">
        <v>0.8212</v>
      </c>
      <c r="D118" s="11" t="n">
        <v>2.6427</v>
      </c>
      <c r="E118" s="11" t="n">
        <v>2.0439</v>
      </c>
      <c r="F118" s="11" t="n">
        <v>2.1446</v>
      </c>
      <c r="G118" s="11" t="n">
        <v>2.2585</v>
      </c>
      <c r="H118" s="11" t="n">
        <v>2.2779</v>
      </c>
      <c r="I118" s="11" t="n">
        <v>2.3577</v>
      </c>
      <c r="J118" s="11" t="n">
        <v>2.4933</v>
      </c>
      <c r="K118" s="11" t="n">
        <v>2.516</v>
      </c>
      <c r="L118" s="11" t="n">
        <v>99.90000000000001</v>
      </c>
      <c r="M118" s="11" t="n">
        <v>2.5</v>
      </c>
      <c r="N118" s="11" t="n">
        <v>2.3515</v>
      </c>
      <c r="O118" s="11" t="n">
        <v>2.3158</v>
      </c>
      <c r="P118" s="11" t="n">
        <v>2.6</v>
      </c>
      <c r="Q118" s="11" t="n">
        <v>2.1</v>
      </c>
      <c r="R118" s="11" t="n">
        <v>2.3</v>
      </c>
      <c r="S118" s="11" t="n">
        <v>2.3</v>
      </c>
      <c r="T118" s="11" t="n">
        <v>2.4</v>
      </c>
    </row>
    <row r="119">
      <c r="A119" s="9" t="n">
        <v>45809</v>
      </c>
      <c r="B119" s="11" t="n">
        <v>3.4434</v>
      </c>
      <c r="C119" s="11" t="n">
        <v>0.8280999999999999</v>
      </c>
      <c r="D119" s="11" t="n">
        <v>2.6747</v>
      </c>
      <c r="E119" s="11" t="n">
        <v>2.0658</v>
      </c>
      <c r="F119" s="11" t="n">
        <v>2.1279</v>
      </c>
      <c r="G119" s="11" t="n">
        <v>2.216</v>
      </c>
      <c r="H119" s="11" t="n">
        <v>2.2471</v>
      </c>
      <c r="I119" s="11" t="n">
        <v>2.3606</v>
      </c>
      <c r="J119" s="11" t="n">
        <v>2.4496</v>
      </c>
      <c r="K119" s="11" t="n">
        <v>2.6726</v>
      </c>
      <c r="L119" s="11" t="n">
        <v>100.36</v>
      </c>
      <c r="M119" s="11" t="n">
        <v>2.6</v>
      </c>
      <c r="N119" s="11" t="n">
        <v>2.368</v>
      </c>
      <c r="O119" s="11" t="n">
        <v>2.3036</v>
      </c>
      <c r="P119" s="11" t="n">
        <v>2.7</v>
      </c>
      <c r="Q119" s="11" t="n">
        <v>2.1</v>
      </c>
      <c r="R119" s="11" t="n">
        <v>2.2</v>
      </c>
      <c r="S119" s="11" t="n">
        <v>2.2</v>
      </c>
      <c r="T119" s="11" t="n">
        <v>2.4</v>
      </c>
    </row>
    <row r="120">
      <c r="A120" s="9" t="n">
        <v>45839</v>
      </c>
      <c r="B120" s="11" t="n">
        <v>3.3219</v>
      </c>
      <c r="C120" s="11" t="n">
        <v>0.977</v>
      </c>
      <c r="D120" s="11" t="n">
        <v>2.6826</v>
      </c>
      <c r="E120" s="11" t="n">
        <v>2.0756</v>
      </c>
      <c r="F120" s="11" t="n">
        <v>2.154</v>
      </c>
      <c r="G120" s="11" t="n">
        <v>2.2408</v>
      </c>
      <c r="H120" s="11" t="n">
        <v>2.2493</v>
      </c>
      <c r="I120" s="11" t="n">
        <v>2.3313</v>
      </c>
      <c r="J120" s="11" t="n">
        <v>2.4264</v>
      </c>
      <c r="K120" s="11" t="n">
        <v>2.6909</v>
      </c>
      <c r="L120" s="11" t="n">
        <v>100.89</v>
      </c>
      <c r="M120" s="11" t="n">
        <v>2.7</v>
      </c>
      <c r="N120" s="11" t="n">
        <v>2.3433</v>
      </c>
      <c r="O120" s="11" t="n">
        <v>2.1305</v>
      </c>
      <c r="P120" s="11" t="n">
        <v>2.7</v>
      </c>
      <c r="Q120" s="11" t="n">
        <v>2.2</v>
      </c>
      <c r="R120" s="11" t="n">
        <v>2.2</v>
      </c>
      <c r="S120" s="11" t="n">
        <v>2.2</v>
      </c>
      <c r="T120" s="11" t="n">
        <v>2.3</v>
      </c>
    </row>
    <row r="121">
      <c r="A121" s="9" t="n">
        <v>45870</v>
      </c>
      <c r="B121" s="11" t="n">
        <v>3.3084</v>
      </c>
      <c r="C121" s="11" t="n">
        <v>0.9104</v>
      </c>
      <c r="D121" s="11" t="n">
        <v>2.6794</v>
      </c>
      <c r="E121" s="11" t="n">
        <v>2.0141</v>
      </c>
      <c r="F121" s="11" t="n">
        <v>2.1325</v>
      </c>
      <c r="G121" s="11" t="n">
        <v>2.2078</v>
      </c>
      <c r="H121" s="11" t="n">
        <v>2.2137</v>
      </c>
      <c r="I121" s="11" t="n">
        <v>2.2502</v>
      </c>
      <c r="J121" s="11" t="n">
        <v>2.3336</v>
      </c>
      <c r="K121" s="11" t="n">
        <v>2.3768</v>
      </c>
      <c r="L121" s="11" t="n">
        <v>101.1</v>
      </c>
      <c r="M121" s="11" t="n">
        <v>2.4</v>
      </c>
      <c r="N121" s="11" t="n">
        <v>2.268</v>
      </c>
      <c r="O121" s="11" t="n">
        <v>2.0823</v>
      </c>
      <c r="P121" s="11" t="n">
        <v>2.7</v>
      </c>
      <c r="Q121" s="11" t="n">
        <v>2.1</v>
      </c>
      <c r="R121" s="11" t="n">
        <v>2.2</v>
      </c>
      <c r="S121" s="11" t="n">
        <v>2.2</v>
      </c>
      <c r="T121" s="11" t="n">
        <v>2.2</v>
      </c>
    </row>
    <row r="122">
      <c r="A122" s="9" t="n">
        <v>45901</v>
      </c>
      <c r="B122" s="11" t="n">
        <v>3.4435</v>
      </c>
      <c r="C122" s="11" t="n">
        <v>0.9311</v>
      </c>
      <c r="D122" s="11" t="n">
        <v>2.6802</v>
      </c>
      <c r="E122" s="11" t="n">
        <v>2.1442</v>
      </c>
      <c r="F122" s="11" t="n">
        <v>2.2466</v>
      </c>
      <c r="G122" s="11" t="n">
        <v>2.254</v>
      </c>
      <c r="H122" s="11" t="n">
        <v>2.2648</v>
      </c>
      <c r="I122" s="11" t="n">
        <v>2.3307</v>
      </c>
      <c r="J122" s="11" t="n">
        <v>2.4163</v>
      </c>
      <c r="K122" s="11" t="n">
        <v>2.7347</v>
      </c>
      <c r="L122" s="11" t="n">
        <v>100.89</v>
      </c>
      <c r="M122" s="11" t="n">
        <v>2.7</v>
      </c>
      <c r="N122" s="11" t="n">
        <v>2.1652</v>
      </c>
      <c r="O122" s="11" t="n">
        <v>1.984</v>
      </c>
      <c r="P122" s="11" t="n">
        <v>2.7</v>
      </c>
      <c r="Q122" s="11" t="n">
        <v>2.2</v>
      </c>
      <c r="R122" s="11" t="n">
        <v>2.2</v>
      </c>
      <c r="S122" s="11" t="n">
        <v>2.3</v>
      </c>
      <c r="T122" s="11" t="n">
        <v>2.3</v>
      </c>
    </row>
    <row r="123">
      <c r="A123" s="9" t="n">
        <v>45931</v>
      </c>
      <c r="B123" s="11" t="n">
        <v>3.458</v>
      </c>
      <c r="C123" s="11" t="n">
        <v>0.9901</v>
      </c>
      <c r="D123" s="11" t="n">
        <v>2.6661</v>
      </c>
      <c r="E123" s="11" t="n">
        <v>2.2029</v>
      </c>
      <c r="F123" s="11" t="n">
        <v>2.1609</v>
      </c>
      <c r="G123" s="11" t="n">
        <v>2.1929</v>
      </c>
      <c r="H123" s="11" t="n">
        <v>2.2235</v>
      </c>
      <c r="I123" s="11" t="n">
        <v>2.2707</v>
      </c>
      <c r="J123" s="11" t="n">
        <v>2.4019</v>
      </c>
      <c r="K123" s="11" t="n">
        <v>2.8351</v>
      </c>
      <c r="L123" s="11" t="n">
        <v>100.91</v>
      </c>
      <c r="M123" s="11" t="n">
        <v>2.8</v>
      </c>
      <c r="N123" s="11" t="n">
        <v>2.285</v>
      </c>
      <c r="O123" s="11" t="n">
        <v>2.1304</v>
      </c>
      <c r="P123" s="11" t="n">
        <v>2.7</v>
      </c>
      <c r="Q123" s="11" t="n">
        <v>2.2</v>
      </c>
      <c r="R123" s="11" t="n">
        <v>2.2</v>
      </c>
      <c r="S123" s="11" t="n">
        <v>2.2</v>
      </c>
      <c r="T123" s="11" t="n">
        <v>2.3</v>
      </c>
    </row>
    <row r="124">
      <c r="A124" s="9" t="n">
        <v>45962</v>
      </c>
      <c r="B124" s="11" t="n">
        <v>3.4668</v>
      </c>
      <c r="C124" s="11" t="n">
        <v>1.036</v>
      </c>
      <c r="D124" s="11" t="n">
        <v>2.6027</v>
      </c>
      <c r="E124" s="11" t="n">
        <v>2.3028</v>
      </c>
      <c r="F124" s="11" t="n">
        <v>2.1691</v>
      </c>
      <c r="G124" s="11" t="n">
        <v>2.2603</v>
      </c>
      <c r="H124" s="11" t="n">
        <v>2.2785</v>
      </c>
      <c r="I124" s="11" t="n">
        <v>2.3228</v>
      </c>
      <c r="J124" s="11" t="n">
        <v>2.4745</v>
      </c>
      <c r="K124" s="11" t="n">
        <v>2.8606</v>
      </c>
      <c r="L124" s="11" t="n">
        <v>100.54</v>
      </c>
      <c r="M124" s="11" t="n">
        <v>2.7</v>
      </c>
      <c r="N124" s="11" t="n">
        <v>2.2163</v>
      </c>
      <c r="O124" s="11" t="n">
        <v>2.0619</v>
      </c>
      <c r="P124" s="11" t="n">
        <v>2.6</v>
      </c>
      <c r="Q124" s="11" t="n">
        <v>2.2</v>
      </c>
      <c r="R124" s="11" t="n">
        <v>2.3</v>
      </c>
      <c r="S124" s="11" t="n">
        <v>2.3</v>
      </c>
      <c r="T124" s="11" t="n">
        <v>2.3</v>
      </c>
    </row>
    <row r="125">
      <c r="A125" s="9" t="n">
        <v>45992</v>
      </c>
      <c r="B125" s="11" t="n">
        <v>3.4313</v>
      </c>
      <c r="C125" s="11" t="n">
        <v>0.8809</v>
      </c>
      <c r="D125" s="11" t="n">
        <v>2.569</v>
      </c>
      <c r="E125" s="11" t="n">
        <v>2.1714</v>
      </c>
      <c r="F125" s="11" t="n">
        <v>2.0108</v>
      </c>
      <c r="G125" s="11" t="n">
        <v>2.099</v>
      </c>
      <c r="H125" s="11" t="n">
        <v>2.1442</v>
      </c>
      <c r="I125" s="11" t="n">
        <v>2.2176</v>
      </c>
      <c r="J125" s="11" t="n">
        <v>2.4107</v>
      </c>
      <c r="K125" s="11" t="n">
        <v>2.5531</v>
      </c>
      <c r="L125" s="11" t="n">
        <v>100.72</v>
      </c>
      <c r="M125" s="11" t="n">
        <v>2.6</v>
      </c>
      <c r="N125" s="11" t="n">
        <v>2.2296</v>
      </c>
      <c r="O125" s="11" t="n">
        <v>2.1169</v>
      </c>
      <c r="P125" s="11" t="n">
        <v>2.6</v>
      </c>
      <c r="Q125" s="11" t="n">
        <v>2</v>
      </c>
      <c r="R125" s="11" t="n">
        <v>2.1</v>
      </c>
      <c r="S125" s="11" t="n">
        <v>2.2</v>
      </c>
      <c r="T125" s="11" t="n">
        <v>2.2</v>
      </c>
    </row>
    <row r="126">
      <c r="A126" s="9" t="n">
        <v>46023</v>
      </c>
      <c r="B126" s="11" t="n">
        <v>3.1789</v>
      </c>
      <c r="C126" s="11" t="n">
        <v>0.9022</v>
      </c>
      <c r="D126" s="11" t="n">
        <v>2.4921</v>
      </c>
      <c r="E126" s="11" t="n">
        <v>2.0369</v>
      </c>
      <c r="F126" s="11" t="n">
        <v>1.8519</v>
      </c>
      <c r="G126" s="11" t="n">
        <v>2.0634</v>
      </c>
      <c r="H126" s="11" t="n">
        <v>2.1164</v>
      </c>
      <c r="I126" s="11" t="n">
        <v>2.159</v>
      </c>
      <c r="J126" s="11" t="n">
        <v>2.2386</v>
      </c>
      <c r="K126" s="11" t="n">
        <v>2.3697</v>
      </c>
      <c r="L126" s="11" t="n">
        <v>101.04</v>
      </c>
      <c r="M126" s="11" t="n">
        <v>2.4</v>
      </c>
      <c r="N126" s="11" t="n">
        <v>2.056</v>
      </c>
      <c r="O126" s="11" t="n">
        <v>1.99</v>
      </c>
      <c r="P126" s="11" t="n">
        <v>2.5</v>
      </c>
      <c r="Q126" s="11" t="n">
        <v>1.9</v>
      </c>
      <c r="R126" s="11" t="n">
        <v>2.1</v>
      </c>
      <c r="S126" s="11" t="n">
        <v>2.1</v>
      </c>
      <c r="T126" s="11" t="n">
        <v>2.2</v>
      </c>
    </row>
    <row r="127">
      <c r="A127" s="9" t="n">
        <v>46054</v>
      </c>
      <c r="B127" s="11" t="n">
        <v>3.3185</v>
      </c>
      <c r="C127" s="11" t="n">
        <v>1.221</v>
      </c>
      <c r="D127" s="11" t="n">
        <v>2.5726</v>
      </c>
      <c r="E127" s="11" t="n">
        <v>2.3319</v>
      </c>
      <c r="F127" s="11" t="n">
        <v>2.0679</v>
      </c>
      <c r="G127" s="11" t="n">
        <v>2.2246</v>
      </c>
      <c r="H127" s="11" t="n">
        <v>2.2414</v>
      </c>
      <c r="I127" s="11" t="n">
        <v>2.289</v>
      </c>
      <c r="J127" s="11" t="n">
        <v>2.3186</v>
      </c>
      <c r="K127" s="11" t="n">
        <v>2.4617</v>
      </c>
      <c r="L127" s="11" t="n">
        <v>101.66</v>
      </c>
      <c r="M127" s="11" t="n">
        <v>2.5</v>
      </c>
      <c r="N127" s="11" t="n">
        <v>2.3158</v>
      </c>
      <c r="O127" s="11" t="n">
        <v>2.1783</v>
      </c>
      <c r="P127" s="11" t="n">
        <v>2.6</v>
      </c>
      <c r="Q127" s="11" t="n">
        <v>2.1</v>
      </c>
      <c r="R127" s="11" t="n">
        <v>2.2</v>
      </c>
      <c r="S127" s="11" t="n">
        <v>2.2</v>
      </c>
      <c r="T127" s="11" t="n">
        <v>2.3</v>
      </c>
    </row>
    <row r="128">
      <c r="A128" s="9" t="n">
        <v>46082</v>
      </c>
      <c r="B128" s="11" t="n">
        <v>3.1379</v>
      </c>
      <c r="C128" s="11" t="n">
        <v>1.1578</v>
      </c>
      <c r="D128" s="11" t="n">
        <v>2.4602</v>
      </c>
      <c r="E128" s="11" t="n">
        <v>2.1788</v>
      </c>
      <c r="F128" s="11" t="n">
        <v>2.3468</v>
      </c>
      <c r="G128" s="11" t="n">
        <v>2.378</v>
      </c>
      <c r="H128" s="11" t="n">
        <v>2.3861</v>
      </c>
      <c r="I128" s="11" t="n">
        <v>2.4471</v>
      </c>
      <c r="J128" s="11" t="n">
        <v>2.5702</v>
      </c>
      <c r="K128" s="11" t="n">
        <v>2.7837</v>
      </c>
      <c r="L128" s="11" t="n">
        <v>101.9</v>
      </c>
      <c r="M128" s="11" t="n">
        <v>2.6</v>
      </c>
      <c r="N128" s="11" t="n">
        <v>2.5531</v>
      </c>
      <c r="O128" s="11" t="n">
        <v>2.2305</v>
      </c>
      <c r="P128" s="11" t="n">
        <v>2.5</v>
      </c>
      <c r="Q128" s="11" t="n">
        <v>2.3</v>
      </c>
      <c r="R128" s="11" t="n">
        <v>2.4</v>
      </c>
      <c r="S128" s="11" t="n">
        <v>2.4</v>
      </c>
      <c r="T128" s="11" t="n">
        <v>2.4</v>
      </c>
    </row>
    <row r="129">
      <c r="A129" s="9" t="n">
        <v>46113</v>
      </c>
      <c r="B129" s="11" t="n">
        <v>3.2723</v>
      </c>
      <c r="C129" s="11" t="n">
        <v>0.7884</v>
      </c>
      <c r="D129" s="11" t="n">
        <v>2.6295</v>
      </c>
      <c r="E129" s="11" t="n">
        <v>1.9341</v>
      </c>
      <c r="F129" s="11" t="n">
        <v>2.378</v>
      </c>
      <c r="G129" s="11" t="n">
        <v>2.35</v>
      </c>
      <c r="H129" s="11" t="n">
        <v>2.3536</v>
      </c>
      <c r="I129" s="11" t="n">
        <v>2.4088</v>
      </c>
      <c r="J129" s="11" t="n">
        <v>2.4966</v>
      </c>
      <c r="K129" s="11" t="n">
        <v>2.7065</v>
      </c>
      <c r="L129" s="11" t="n">
        <v>102.84</v>
      </c>
      <c r="M129" s="11" t="n">
        <v>2.7</v>
      </c>
      <c r="N129" s="11" t="n">
        <v>2.7323</v>
      </c>
      <c r="O129" s="11" t="n">
        <v>2.2774</v>
      </c>
      <c r="P129" s="11" t="n">
        <v>2.6</v>
      </c>
      <c r="Q129" s="11" t="n">
        <v>2.4</v>
      </c>
      <c r="R129" s="11" t="n">
        <v>2.3</v>
      </c>
      <c r="S129" s="11" t="n">
        <v>2.3</v>
      </c>
      <c r="T129" s="11" t="n">
        <v>2.4</v>
      </c>
    </row>
    <row r="130">
      <c r="A130" s="9" t="n">
        <v>46143</v>
      </c>
      <c r="B130" s="11" t="n">
        <v>3.3615</v>
      </c>
      <c r="C130" s="11" t="n">
        <v>1.4892</v>
      </c>
      <c r="D130" s="11" t="n">
        <v>2.5877</v>
      </c>
      <c r="E130" s="11" t="n">
        <v>2.5267</v>
      </c>
      <c r="F130" s="11" t="n">
        <v>2.542</v>
      </c>
      <c r="G130" s="11" t="n">
        <v>2.4984</v>
      </c>
      <c r="H130" s="11" t="n">
        <v>2.5024</v>
      </c>
      <c r="I130" s="11" t="n">
        <v>2.6035</v>
      </c>
      <c r="J130" s="11" t="n">
        <v>2.6983</v>
      </c>
      <c r="K130" s="11" t="n">
        <v>2.7622</v>
      </c>
      <c r="L130" s="11" t="n">
        <v>103.25</v>
      </c>
      <c r="M130" s="11" t="n">
        <v>2.7</v>
      </c>
      <c r="N130" s="11" t="n">
        <v>2.4698</v>
      </c>
      <c r="O130" s="11" t="n">
        <v>2.1202</v>
      </c>
      <c r="P130" s="11" t="n">
        <v>2.6</v>
      </c>
      <c r="Q130" s="11" t="n">
        <v>2.5</v>
      </c>
      <c r="R130" s="11" t="n">
        <v>2.5</v>
      </c>
      <c r="S130" s="11" t="n">
        <v>2.5</v>
      </c>
      <c r="T130" s="11" t="n">
        <v>2.6</v>
      </c>
    </row>
    <row r="131">
      <c r="A131" s="9" t="n">
        <v>46174</v>
      </c>
      <c r="B131" s="11" t="n">
        <v>3.2245</v>
      </c>
      <c r="C131" s="11" t="n">
        <v>1.2183</v>
      </c>
      <c r="D131" s="11" t="n">
        <v>2.5353</v>
      </c>
      <c r="E131" s="11" t="n">
        <v>2.2464</v>
      </c>
      <c r="F131" s="11" t="n">
        <v>2.4117</v>
      </c>
      <c r="G131" s="11" t="n">
        <v>2.4073</v>
      </c>
      <c r="H131" s="11" t="n">
        <v>2.4226</v>
      </c>
      <c r="I131" s="11" t="n">
        <v>2.4986</v>
      </c>
      <c r="J131" s="11" t="n">
        <v>2.6319</v>
      </c>
      <c r="K131" s="11" t="n">
        <v>2.8079</v>
      </c>
      <c r="L131" s="11" t="n">
        <v>103.59</v>
      </c>
      <c r="M131" s="11" t="n">
        <v>2.8</v>
      </c>
      <c r="N131" s="11" t="n">
        <v>2.2482</v>
      </c>
      <c r="O131" s="11" t="n">
        <v>2.0519</v>
      </c>
      <c r="P131" s="11" t="n">
        <v>2.5</v>
      </c>
      <c r="Q131" s="11" t="n">
        <v>2.4</v>
      </c>
      <c r="R131" s="11" t="n">
        <v>2.4</v>
      </c>
      <c r="S131" s="11" t="n">
        <v>2.4</v>
      </c>
      <c r="T131" s="11" t="n">
        <v>2.5</v>
      </c>
    </row>
    <row r="132">
      <c r="A132" s="9" t="n">
        <v>46204</v>
      </c>
      <c r="B132" s="11" t="n">
        <v>3.3099</v>
      </c>
      <c r="C132" s="11" t="n">
        <v>1.3777</v>
      </c>
      <c r="D132" s="11" t="n">
        <v>2.6256</v>
      </c>
      <c r="E132" s="11" t="n">
        <v>2.3868</v>
      </c>
      <c r="F132" s="11" t="n">
        <v>2.4733</v>
      </c>
      <c r="G132" s="11" t="n">
        <v>2.4226</v>
      </c>
      <c r="H132" s="11" t="n">
        <v>2.4214</v>
      </c>
      <c r="I132" s="11" t="n">
        <v>2.484</v>
      </c>
      <c r="J132" s="11" t="n">
        <v>2.5922</v>
      </c>
      <c r="K132" s="11" t="n">
        <v>2.7423</v>
      </c>
      <c r="L132" s="11" t="n">
        <v>104.23</v>
      </c>
      <c r="M132" s="11" t="n">
        <v>2.6</v>
      </c>
      <c r="N132" s="11" t="n">
        <v>2.097</v>
      </c>
      <c r="O132" s="11" t="n">
        <v>2.0014</v>
      </c>
      <c r="P132" s="11" t="n">
        <v>2.6</v>
      </c>
      <c r="Q132" s="11" t="n">
        <v>2.5</v>
      </c>
      <c r="R132" s="11" t="n">
        <v>2.4</v>
      </c>
      <c r="S132" s="11" t="n">
        <v>2.4</v>
      </c>
      <c r="T132" s="11" t="n">
        <v>2.5</v>
      </c>
    </row>
    <row r="133">
      <c r="A133" s="9" t="n">
        <v>46235</v>
      </c>
      <c r="B133" s="11" t="n">
        <v>3.2551</v>
      </c>
      <c r="C133" s="11" t="n">
        <v>1.2805</v>
      </c>
      <c r="D133" s="11" t="n">
        <v>2.6963</v>
      </c>
      <c r="E133" s="11" t="n">
        <v>2.2276</v>
      </c>
      <c r="F133" s="11" t="n">
        <v>2.4503</v>
      </c>
      <c r="G133" s="11" t="n">
        <v>2.3465</v>
      </c>
      <c r="H133" s="11" t="n">
        <v>2.3422</v>
      </c>
      <c r="I133" s="11" t="n">
        <v>2.3924</v>
      </c>
      <c r="J133" s="11" t="n">
        <v>2.476</v>
      </c>
      <c r="K133" s="11" t="n">
        <v>2.6679</v>
      </c>
      <c r="L133" s="11" t="n">
        <v>104.39</v>
      </c>
      <c r="M133" s="11" t="n">
        <v>2.6</v>
      </c>
      <c r="N133" s="11" t="n">
        <v>2.2594</v>
      </c>
      <c r="O133" s="11" t="n">
        <v>2.0399</v>
      </c>
      <c r="P133" s="11" t="n">
        <v>2.7</v>
      </c>
      <c r="Q133" s="11" t="n">
        <v>2.4</v>
      </c>
      <c r="R133" s="11" t="n">
        <v>2.3</v>
      </c>
      <c r="S133" s="11" t="n">
        <v>2.3</v>
      </c>
      <c r="T133" s="11" t="n">
        <v>2.4</v>
      </c>
    </row>
    <row r="134">
      <c r="A134" s="9" t="n">
        <v>46266</v>
      </c>
      <c r="B134" s="11" t="n">
        <v>3.2449</v>
      </c>
      <c r="C134" s="11" t="n">
        <v>1.5271</v>
      </c>
      <c r="D134" s="11" t="n">
        <v>2.5019</v>
      </c>
      <c r="E134" s="11" t="n">
        <v>2.4987</v>
      </c>
      <c r="F134" s="11" t="n">
        <v>2.6858</v>
      </c>
      <c r="G134" s="11" t="n">
        <v>2.5017</v>
      </c>
      <c r="H134" s="11" t="n">
        <v>2.4774</v>
      </c>
      <c r="I134" s="11" t="n">
        <v>2.5261</v>
      </c>
      <c r="J134" s="11" t="n">
        <v>2.5872</v>
      </c>
      <c r="K134" s="11" t="n">
        <v>2.6834</v>
      </c>
      <c r="L134" s="11" t="n">
        <v>104.16</v>
      </c>
      <c r="M134" s="11" t="n">
        <v>2.6</v>
      </c>
      <c r="N134" s="11" t="n">
        <v>2.3761</v>
      </c>
      <c r="O134" s="11" t="n">
        <v>2.0635</v>
      </c>
      <c r="P134" s="11" t="n">
        <v>2.5</v>
      </c>
      <c r="Q134" s="11" t="n">
        <v>2.7</v>
      </c>
      <c r="R134" s="11" t="n">
        <v>2.5</v>
      </c>
      <c r="S134" s="11" t="n">
        <v>2.5</v>
      </c>
      <c r="T134" s="11" t="n">
        <v>2.5</v>
      </c>
    </row>
    <row r="137">
      <c r="A137" s="13" t="inlineStr">
        <is>
          <t>Italia - misure sottostanti, a/a %</t>
        </is>
      </c>
    </row>
    <row r="138">
      <c r="A138" s="5" t="inlineStr">
        <is>
          <t>Mese</t>
        </is>
      </c>
      <c r="B138" s="5" t="inlineStr">
        <is>
          <t>Domestica (voci HICPX a basso import, flag BCE)</t>
        </is>
      </c>
      <c r="C138" s="5" t="inlineStr">
        <is>
          <t>Importata (voci HICPX non domestiche)</t>
        </is>
      </c>
      <c r="D138" s="5" t="inlineStr">
        <is>
          <t>Supercore (voci cicliche, flag BCE)</t>
        </is>
      </c>
      <c r="E138" s="5" t="inlineStr">
        <is>
          <t>Non Supercore (voci HICPX acicliche)</t>
        </is>
      </c>
      <c r="F138" s="5" t="inlineStr">
        <is>
          <t>Media troncata 10%</t>
        </is>
      </c>
      <c r="G138" s="5" t="inlineStr">
        <is>
          <t>Media troncata 25%</t>
        </is>
      </c>
      <c r="H138" s="5" t="inlineStr">
        <is>
          <t>Media troncata 30%</t>
        </is>
      </c>
      <c r="I138" s="5" t="inlineStr">
        <is>
          <t>Media troncata 50%</t>
        </is>
      </c>
      <c r="J138" s="5" t="inlineStr">
        <is>
          <t>Media troncata 75%</t>
        </is>
      </c>
      <c r="K138" s="5" t="inlineStr">
        <is>
          <t>Mediana ponderata</t>
        </is>
      </c>
    </row>
    <row r="139">
      <c r="A139" s="9" t="n">
        <v>42370</v>
      </c>
      <c r="B139" s="11" t="n">
        <v>0.8113</v>
      </c>
      <c r="C139" s="11" t="n">
        <v>1.2204</v>
      </c>
      <c r="D139" s="11" t="n">
        <v>0.7867</v>
      </c>
      <c r="E139" s="11" t="n">
        <v>1.1199</v>
      </c>
      <c r="F139" s="11" t="n">
        <v>0.5705</v>
      </c>
      <c r="G139" s="11" t="n">
        <v>0.6939</v>
      </c>
      <c r="H139" s="11" t="n">
        <v>0.7114</v>
      </c>
      <c r="I139" s="11" t="n">
        <v>0.7181999999999999</v>
      </c>
      <c r="J139" s="11" t="n">
        <v>0.7127</v>
      </c>
      <c r="K139" s="11" t="n">
        <v>0.7092000000000001</v>
      </c>
    </row>
    <row r="140">
      <c r="A140" s="9" t="n">
        <v>42401</v>
      </c>
      <c r="B140" s="11" t="n">
        <v>0.6994</v>
      </c>
      <c r="C140" s="11" t="n">
        <v>0.5745</v>
      </c>
      <c r="D140" s="11" t="n">
        <v>0.7492</v>
      </c>
      <c r="E140" s="11" t="n">
        <v>0.5403</v>
      </c>
      <c r="F140" s="11" t="n">
        <v>0.1312</v>
      </c>
      <c r="G140" s="11" t="n">
        <v>0.4446</v>
      </c>
      <c r="H140" s="11" t="n">
        <v>0.468</v>
      </c>
      <c r="I140" s="11" t="n">
        <v>0.5191</v>
      </c>
      <c r="J140" s="11" t="n">
        <v>0.4533</v>
      </c>
      <c r="K140" s="11" t="n">
        <v>0.4292</v>
      </c>
    </row>
    <row r="141">
      <c r="A141" s="9" t="n">
        <v>42430</v>
      </c>
      <c r="B141" s="11" t="n">
        <v>0.678</v>
      </c>
      <c r="C141" s="11" t="n">
        <v>0.8753</v>
      </c>
      <c r="D141" s="11" t="n">
        <v>0.7735</v>
      </c>
      <c r="E141" s="11" t="n">
        <v>0.7572</v>
      </c>
      <c r="F141" s="11" t="n">
        <v>0.1841</v>
      </c>
      <c r="G141" s="11" t="n">
        <v>0.4718</v>
      </c>
      <c r="H141" s="11" t="n">
        <v>0.4976</v>
      </c>
      <c r="I141" s="11" t="n">
        <v>0.5646</v>
      </c>
      <c r="J141" s="11" t="n">
        <v>0.5536</v>
      </c>
      <c r="K141" s="11" t="n">
        <v>0.4511</v>
      </c>
    </row>
    <row r="142">
      <c r="A142" s="9" t="n">
        <v>42461</v>
      </c>
      <c r="B142" s="11" t="n">
        <v>0.7466</v>
      </c>
      <c r="C142" s="11" t="n">
        <v>0.4023</v>
      </c>
      <c r="D142" s="11" t="n">
        <v>0.8278</v>
      </c>
      <c r="E142" s="11" t="n">
        <v>0.4088</v>
      </c>
      <c r="F142" s="11" t="n">
        <v>0.0019</v>
      </c>
      <c r="G142" s="11" t="n">
        <v>0.3354</v>
      </c>
      <c r="H142" s="11" t="n">
        <v>0.373</v>
      </c>
      <c r="I142" s="11" t="n">
        <v>0.4388</v>
      </c>
      <c r="J142" s="11" t="n">
        <v>0.4482</v>
      </c>
      <c r="K142" s="11" t="n">
        <v>0.5118</v>
      </c>
    </row>
    <row r="143">
      <c r="A143" s="9" t="n">
        <v>42491</v>
      </c>
      <c r="B143" s="11" t="n">
        <v>0.6889</v>
      </c>
      <c r="C143" s="11" t="n">
        <v>0.5399</v>
      </c>
      <c r="D143" s="11" t="n">
        <v>0.8046</v>
      </c>
      <c r="E143" s="11" t="n">
        <v>0.4696</v>
      </c>
      <c r="F143" s="11" t="n">
        <v>0.06519999999999999</v>
      </c>
      <c r="G143" s="11" t="n">
        <v>0.3211</v>
      </c>
      <c r="H143" s="11" t="n">
        <v>0.3482</v>
      </c>
      <c r="I143" s="11" t="n">
        <v>0.4445</v>
      </c>
      <c r="J143" s="11" t="n">
        <v>0.4634</v>
      </c>
      <c r="K143" s="11" t="n">
        <v>0.4444</v>
      </c>
    </row>
    <row r="144">
      <c r="A144" s="9" t="n">
        <v>42522</v>
      </c>
      <c r="B144" s="11" t="n">
        <v>0.611</v>
      </c>
      <c r="C144" s="11" t="n">
        <v>0.3514</v>
      </c>
      <c r="D144" s="11" t="n">
        <v>0.7803</v>
      </c>
      <c r="E144" s="11" t="n">
        <v>0.2644</v>
      </c>
      <c r="F144" s="11" t="n">
        <v>0.0622</v>
      </c>
      <c r="G144" s="11" t="n">
        <v>0.302</v>
      </c>
      <c r="H144" s="11" t="n">
        <v>0.3364</v>
      </c>
      <c r="I144" s="11" t="n">
        <v>0.4158</v>
      </c>
      <c r="J144" s="11" t="n">
        <v>0.4858</v>
      </c>
      <c r="K144" s="11" t="n">
        <v>0.5236</v>
      </c>
    </row>
    <row r="145">
      <c r="A145" s="9" t="n">
        <v>42552</v>
      </c>
      <c r="B145" s="11" t="n">
        <v>0.787</v>
      </c>
      <c r="C145" s="11" t="n">
        <v>0.326</v>
      </c>
      <c r="D145" s="11" t="n">
        <v>0.8014</v>
      </c>
      <c r="E145" s="11" t="n">
        <v>0.3813</v>
      </c>
      <c r="F145" s="11" t="n">
        <v>0.1272</v>
      </c>
      <c r="G145" s="11" t="n">
        <v>0.3632</v>
      </c>
      <c r="H145" s="11" t="n">
        <v>0.3849</v>
      </c>
      <c r="I145" s="11" t="n">
        <v>0.431</v>
      </c>
      <c r="J145" s="11" t="n">
        <v>0.476</v>
      </c>
      <c r="K145" s="11" t="n">
        <v>0.4831</v>
      </c>
    </row>
    <row r="146">
      <c r="A146" s="9" t="n">
        <v>42583</v>
      </c>
      <c r="B146" s="11" t="n">
        <v>0.7602</v>
      </c>
      <c r="C146" s="11" t="n">
        <v>0.1737</v>
      </c>
      <c r="D146" s="11" t="n">
        <v>0.7731</v>
      </c>
      <c r="E146" s="11" t="n">
        <v>0.2596</v>
      </c>
      <c r="F146" s="11" t="n">
        <v>0.1579</v>
      </c>
      <c r="G146" s="11" t="n">
        <v>0.365</v>
      </c>
      <c r="H146" s="11" t="n">
        <v>0.3906</v>
      </c>
      <c r="I146" s="11" t="n">
        <v>0.4533</v>
      </c>
      <c r="J146" s="11" t="n">
        <v>0.4938</v>
      </c>
      <c r="K146" s="11" t="n">
        <v>0.5269</v>
      </c>
    </row>
    <row r="147">
      <c r="A147" s="9" t="n">
        <v>42614</v>
      </c>
      <c r="B147" s="11" t="n">
        <v>0.6335</v>
      </c>
      <c r="C147" s="11" t="n">
        <v>0.3011</v>
      </c>
      <c r="D147" s="11" t="n">
        <v>0.6711</v>
      </c>
      <c r="E147" s="11" t="n">
        <v>0.3222</v>
      </c>
      <c r="F147" s="11" t="n">
        <v>0.2492</v>
      </c>
      <c r="G147" s="11" t="n">
        <v>0.3309</v>
      </c>
      <c r="H147" s="11" t="n">
        <v>0.3642</v>
      </c>
      <c r="I147" s="11" t="n">
        <v>0.3685</v>
      </c>
      <c r="J147" s="11" t="n">
        <v>0.3029</v>
      </c>
      <c r="K147" s="11" t="n">
        <v>0.3378</v>
      </c>
    </row>
    <row r="148">
      <c r="A148" s="9" t="n">
        <v>42644</v>
      </c>
      <c r="B148" s="11" t="n">
        <v>0.2892</v>
      </c>
      <c r="C148" s="11" t="n">
        <v>0.1313</v>
      </c>
      <c r="D148" s="11" t="n">
        <v>0.5613</v>
      </c>
      <c r="E148" s="11" t="n">
        <v>-0.0598</v>
      </c>
      <c r="F148" s="11" t="n">
        <v>0.05</v>
      </c>
      <c r="G148" s="11" t="n">
        <v>0.2262</v>
      </c>
      <c r="H148" s="11" t="n">
        <v>0.264</v>
      </c>
      <c r="I148" s="11" t="n">
        <v>0.3429</v>
      </c>
      <c r="J148" s="11" t="n">
        <v>0.3884</v>
      </c>
      <c r="K148" s="11" t="n">
        <v>0.3593</v>
      </c>
    </row>
    <row r="149">
      <c r="A149" s="9" t="n">
        <v>42675</v>
      </c>
      <c r="B149" s="11" t="n">
        <v>0.5777</v>
      </c>
      <c r="C149" s="11" t="n">
        <v>0.2522</v>
      </c>
      <c r="D149" s="11" t="n">
        <v>0.5659</v>
      </c>
      <c r="E149" s="11" t="n">
        <v>0.3299</v>
      </c>
      <c r="F149" s="11" t="n">
        <v>0.2983</v>
      </c>
      <c r="G149" s="11" t="n">
        <v>0.3807</v>
      </c>
      <c r="H149" s="11" t="n">
        <v>0.3954</v>
      </c>
      <c r="I149" s="11" t="n">
        <v>0.4239</v>
      </c>
      <c r="J149" s="11" t="n">
        <v>0.4235</v>
      </c>
      <c r="K149" s="11" t="n">
        <v>0.4614</v>
      </c>
    </row>
    <row r="150">
      <c r="A150" s="9" t="n">
        <v>42705</v>
      </c>
      <c r="B150" s="11" t="n">
        <v>0.6015</v>
      </c>
      <c r="C150" s="11" t="n">
        <v>0.8691</v>
      </c>
      <c r="D150" s="11" t="n">
        <v>0.578</v>
      </c>
      <c r="E150" s="11" t="n">
        <v>0.827</v>
      </c>
      <c r="F150" s="11" t="n">
        <v>0.6161</v>
      </c>
      <c r="G150" s="11" t="n">
        <v>0.6439</v>
      </c>
      <c r="H150" s="11" t="n">
        <v>0.6304</v>
      </c>
      <c r="I150" s="11" t="n">
        <v>0.593</v>
      </c>
      <c r="J150" s="11" t="n">
        <v>0.6153</v>
      </c>
      <c r="K150" s="11" t="n">
        <v>0.6553</v>
      </c>
    </row>
    <row r="151">
      <c r="A151" s="9" t="n">
        <v>42736</v>
      </c>
      <c r="B151" s="11" t="n">
        <v>0.6965</v>
      </c>
      <c r="C151" s="11" t="n">
        <v>0.4014</v>
      </c>
      <c r="D151" s="11" t="n">
        <v>0.5096000000000001</v>
      </c>
      <c r="E151" s="11" t="n">
        <v>0.5666</v>
      </c>
      <c r="F151" s="11" t="n">
        <v>0.9762</v>
      </c>
      <c r="G151" s="11" t="n">
        <v>0.7519</v>
      </c>
      <c r="H151" s="11" t="n">
        <v>0.7346</v>
      </c>
      <c r="I151" s="11" t="n">
        <v>0.6987</v>
      </c>
      <c r="J151" s="11" t="n">
        <v>0.6623</v>
      </c>
      <c r="K151" s="11" t="n">
        <v>0.5488</v>
      </c>
    </row>
    <row r="152">
      <c r="A152" s="9" t="n">
        <v>42767</v>
      </c>
      <c r="B152" s="11" t="n">
        <v>0.8188</v>
      </c>
      <c r="C152" s="11" t="n">
        <v>0.5391</v>
      </c>
      <c r="D152" s="11" t="n">
        <v>0.4935</v>
      </c>
      <c r="E152" s="11" t="n">
        <v>0.8042</v>
      </c>
      <c r="F152" s="11" t="n">
        <v>1.1664</v>
      </c>
      <c r="G152" s="11" t="n">
        <v>0.7092000000000001</v>
      </c>
      <c r="H152" s="11" t="n">
        <v>0.6734</v>
      </c>
      <c r="I152" s="11" t="n">
        <v>0.5798</v>
      </c>
      <c r="J152" s="11" t="n">
        <v>0.5311</v>
      </c>
      <c r="K152" s="11" t="n">
        <v>0.4684</v>
      </c>
    </row>
    <row r="153">
      <c r="A153" s="9" t="n">
        <v>42795</v>
      </c>
      <c r="B153" s="11" t="n">
        <v>0.8912</v>
      </c>
      <c r="C153" s="11" t="n">
        <v>0.3706</v>
      </c>
      <c r="D153" s="11" t="n">
        <v>0.5081</v>
      </c>
      <c r="E153" s="11" t="n">
        <v>0.761</v>
      </c>
      <c r="F153" s="11" t="n">
        <v>1.1302</v>
      </c>
      <c r="G153" s="11" t="n">
        <v>0.6423</v>
      </c>
      <c r="H153" s="11" t="n">
        <v>0.6177</v>
      </c>
      <c r="I153" s="11" t="n">
        <v>0.5772</v>
      </c>
      <c r="J153" s="11" t="n">
        <v>0.5552</v>
      </c>
      <c r="K153" s="11" t="n">
        <v>0.5807</v>
      </c>
    </row>
    <row r="154">
      <c r="A154" s="9" t="n">
        <v>42826</v>
      </c>
      <c r="B154" s="11" t="n">
        <v>1.1281</v>
      </c>
      <c r="C154" s="11" t="n">
        <v>1.3269</v>
      </c>
      <c r="D154" s="11" t="n">
        <v>0.5207000000000001</v>
      </c>
      <c r="E154" s="11" t="n">
        <v>1.7207</v>
      </c>
      <c r="F154" s="11" t="n">
        <v>1.5246</v>
      </c>
      <c r="G154" s="11" t="n">
        <v>1.1043</v>
      </c>
      <c r="H154" s="11" t="n">
        <v>0.9991</v>
      </c>
      <c r="I154" s="11" t="n">
        <v>0.7524</v>
      </c>
      <c r="J154" s="11" t="n">
        <v>0.7251</v>
      </c>
      <c r="K154" s="11" t="n">
        <v>0.611</v>
      </c>
    </row>
    <row r="155">
      <c r="A155" s="9" t="n">
        <v>42856</v>
      </c>
      <c r="B155" s="11" t="n">
        <v>1.113</v>
      </c>
      <c r="C155" s="11" t="n">
        <v>0.5767</v>
      </c>
      <c r="D155" s="11" t="n">
        <v>0.4905</v>
      </c>
      <c r="E155" s="11" t="n">
        <v>1.1387</v>
      </c>
      <c r="F155" s="11" t="n">
        <v>1.3921</v>
      </c>
      <c r="G155" s="11" t="n">
        <v>1.0775</v>
      </c>
      <c r="H155" s="11" t="n">
        <v>0.983</v>
      </c>
      <c r="I155" s="11" t="n">
        <v>0.7402</v>
      </c>
      <c r="J155" s="11" t="n">
        <v>0.7285</v>
      </c>
      <c r="K155" s="11" t="n">
        <v>0.8129999999999999</v>
      </c>
    </row>
    <row r="156">
      <c r="A156" s="9" t="n">
        <v>42887</v>
      </c>
      <c r="B156" s="11" t="n">
        <v>1.2189</v>
      </c>
      <c r="C156" s="11" t="n">
        <v>0.8090000000000001</v>
      </c>
      <c r="D156" s="11" t="n">
        <v>0.5925</v>
      </c>
      <c r="E156" s="11" t="n">
        <v>1.3456</v>
      </c>
      <c r="F156" s="11" t="n">
        <v>1.0927</v>
      </c>
      <c r="G156" s="11" t="n">
        <v>0.9114</v>
      </c>
      <c r="H156" s="11" t="n">
        <v>0.8688</v>
      </c>
      <c r="I156" s="11" t="n">
        <v>0.7931</v>
      </c>
      <c r="J156" s="11" t="n">
        <v>0.8008</v>
      </c>
      <c r="K156" s="11" t="n">
        <v>0.7833</v>
      </c>
    </row>
    <row r="157">
      <c r="A157" s="9" t="n">
        <v>42917</v>
      </c>
      <c r="B157" s="11" t="n">
        <v>1.1614</v>
      </c>
      <c r="C157" s="11" t="n">
        <v>0.7796</v>
      </c>
      <c r="D157" s="11" t="n">
        <v>0.5054999999999999</v>
      </c>
      <c r="E157" s="11" t="n">
        <v>1.3127</v>
      </c>
      <c r="F157" s="11" t="n">
        <v>0.9786</v>
      </c>
      <c r="G157" s="11" t="n">
        <v>0.8815</v>
      </c>
      <c r="H157" s="11" t="n">
        <v>0.8697</v>
      </c>
      <c r="I157" s="11" t="n">
        <v>0.8239</v>
      </c>
      <c r="J157" s="11" t="n">
        <v>0.8329</v>
      </c>
      <c r="K157" s="11" t="n">
        <v>0.8075</v>
      </c>
    </row>
    <row r="158">
      <c r="A158" s="9" t="n">
        <v>42948</v>
      </c>
      <c r="B158" s="11" t="n">
        <v>1.1146</v>
      </c>
      <c r="C158" s="11" t="n">
        <v>1.3372</v>
      </c>
      <c r="D158" s="11" t="n">
        <v>0.5244</v>
      </c>
      <c r="E158" s="11" t="n">
        <v>1.6786</v>
      </c>
      <c r="F158" s="11" t="n">
        <v>1.1189</v>
      </c>
      <c r="G158" s="11" t="n">
        <v>0.928</v>
      </c>
      <c r="H158" s="11" t="n">
        <v>0.8973</v>
      </c>
      <c r="I158" s="11" t="n">
        <v>0.8532</v>
      </c>
      <c r="J158" s="11" t="n">
        <v>0.8635</v>
      </c>
      <c r="K158" s="11" t="n">
        <v>1.0152</v>
      </c>
    </row>
    <row r="159">
      <c r="A159" s="9" t="n">
        <v>42979</v>
      </c>
      <c r="B159" s="11" t="n">
        <v>1.1562</v>
      </c>
      <c r="C159" s="11" t="n">
        <v>0.9368</v>
      </c>
      <c r="D159" s="11" t="n">
        <v>0.601</v>
      </c>
      <c r="E159" s="11" t="n">
        <v>1.3729</v>
      </c>
      <c r="F159" s="11" t="n">
        <v>1.2629</v>
      </c>
      <c r="G159" s="11" t="n">
        <v>1.1429</v>
      </c>
      <c r="H159" s="11" t="n">
        <v>1.1049</v>
      </c>
      <c r="I159" s="11" t="n">
        <v>1.0514</v>
      </c>
      <c r="J159" s="11" t="n">
        <v>1.1137</v>
      </c>
      <c r="K159" s="11" t="n">
        <v>1.1421</v>
      </c>
    </row>
    <row r="160">
      <c r="A160" s="9" t="n">
        <v>43009</v>
      </c>
      <c r="B160" s="11" t="n">
        <v>0.547</v>
      </c>
      <c r="C160" s="11" t="n">
        <v>0.3865</v>
      </c>
      <c r="D160" s="11" t="n">
        <v>-0.0677</v>
      </c>
      <c r="E160" s="11" t="n">
        <v>0.8585</v>
      </c>
      <c r="F160" s="11" t="n">
        <v>1.2128</v>
      </c>
      <c r="G160" s="11" t="n">
        <v>1.0355</v>
      </c>
      <c r="H160" s="11" t="n">
        <v>0.9824000000000001</v>
      </c>
      <c r="I160" s="11" t="n">
        <v>0.858</v>
      </c>
      <c r="J160" s="11" t="n">
        <v>0.8475</v>
      </c>
      <c r="K160" s="11" t="n">
        <v>0.9357</v>
      </c>
    </row>
    <row r="161">
      <c r="A161" s="9" t="n">
        <v>43040</v>
      </c>
      <c r="B161" s="11" t="n">
        <v>0.3527</v>
      </c>
      <c r="C161" s="11" t="n">
        <v>0.5918</v>
      </c>
      <c r="D161" s="11" t="n">
        <v>0.0181</v>
      </c>
      <c r="E161" s="11" t="n">
        <v>0.7784</v>
      </c>
      <c r="F161" s="11" t="n">
        <v>1.1845</v>
      </c>
      <c r="G161" s="11" t="n">
        <v>0.9972</v>
      </c>
      <c r="H161" s="11" t="n">
        <v>0.9487</v>
      </c>
      <c r="I161" s="11" t="n">
        <v>0.8774999999999999</v>
      </c>
      <c r="J161" s="11" t="n">
        <v>0.8748</v>
      </c>
      <c r="K161" s="11" t="n">
        <v>0.8863</v>
      </c>
    </row>
    <row r="162">
      <c r="A162" s="9" t="n">
        <v>43070</v>
      </c>
      <c r="B162" s="11" t="n">
        <v>0.3033</v>
      </c>
      <c r="C162" s="11" t="n">
        <v>0.5683</v>
      </c>
      <c r="D162" s="11" t="n">
        <v>-0.0164</v>
      </c>
      <c r="E162" s="11" t="n">
        <v>0.7443</v>
      </c>
      <c r="F162" s="11" t="n">
        <v>1.1107</v>
      </c>
      <c r="G162" s="11" t="n">
        <v>0.9349</v>
      </c>
      <c r="H162" s="11" t="n">
        <v>0.909</v>
      </c>
      <c r="I162" s="11" t="n">
        <v>0.8492</v>
      </c>
      <c r="J162" s="11" t="n">
        <v>0.8372000000000001</v>
      </c>
      <c r="K162" s="11" t="n">
        <v>0.8686</v>
      </c>
    </row>
    <row r="163">
      <c r="A163" s="9" t="n">
        <v>43101</v>
      </c>
      <c r="B163" s="11" t="n">
        <v>0.4507</v>
      </c>
      <c r="C163" s="11" t="n">
        <v>1.0525</v>
      </c>
      <c r="D163" s="11" t="n">
        <v>0.1231</v>
      </c>
      <c r="E163" s="11" t="n">
        <v>1.1266</v>
      </c>
      <c r="F163" s="11" t="n">
        <v>1.3948</v>
      </c>
      <c r="G163" s="11" t="n">
        <v>1.241</v>
      </c>
      <c r="H163" s="11" t="n">
        <v>1.2192</v>
      </c>
      <c r="I163" s="11" t="n">
        <v>1.1289</v>
      </c>
      <c r="J163" s="11" t="n">
        <v>1.12</v>
      </c>
      <c r="K163" s="11" t="n">
        <v>1.1378</v>
      </c>
    </row>
    <row r="164">
      <c r="A164" s="9" t="n">
        <v>43132</v>
      </c>
      <c r="B164" s="11" t="n">
        <v>0.5135999999999999</v>
      </c>
      <c r="C164" s="11" t="n">
        <v>0.5204</v>
      </c>
      <c r="D164" s="11" t="n">
        <v>-0.0067</v>
      </c>
      <c r="E164" s="11" t="n">
        <v>0.8729</v>
      </c>
      <c r="F164" s="11" t="n">
        <v>1.0024</v>
      </c>
      <c r="G164" s="11" t="n">
        <v>0.9495</v>
      </c>
      <c r="H164" s="11" t="n">
        <v>0.9355</v>
      </c>
      <c r="I164" s="11" t="n">
        <v>0.8657</v>
      </c>
      <c r="J164" s="11" t="n">
        <v>0.8733</v>
      </c>
      <c r="K164" s="11" t="n">
        <v>1.0147</v>
      </c>
    </row>
    <row r="165">
      <c r="A165" s="9" t="n">
        <v>43160</v>
      </c>
      <c r="B165" s="11" t="n">
        <v>0.6301</v>
      </c>
      <c r="C165" s="11" t="n">
        <v>0.7385</v>
      </c>
      <c r="D165" s="11" t="n">
        <v>0.063</v>
      </c>
      <c r="E165" s="11" t="n">
        <v>1.1211</v>
      </c>
      <c r="F165" s="11" t="n">
        <v>1.0991</v>
      </c>
      <c r="G165" s="11" t="n">
        <v>1.0346</v>
      </c>
      <c r="H165" s="11" t="n">
        <v>1.0285</v>
      </c>
      <c r="I165" s="11" t="n">
        <v>0.986</v>
      </c>
      <c r="J165" s="11" t="n">
        <v>1.0279</v>
      </c>
      <c r="K165" s="11" t="n">
        <v>1.1043</v>
      </c>
    </row>
    <row r="166">
      <c r="A166" s="9" t="n">
        <v>43191</v>
      </c>
      <c r="B166" s="11" t="n">
        <v>0.5288</v>
      </c>
      <c r="C166" s="11" t="n">
        <v>-0.0945</v>
      </c>
      <c r="D166" s="11" t="n">
        <v>0.0721</v>
      </c>
      <c r="E166" s="11" t="n">
        <v>0.3641</v>
      </c>
      <c r="F166" s="11" t="n">
        <v>0.916</v>
      </c>
      <c r="G166" s="11" t="n">
        <v>0.9243</v>
      </c>
      <c r="H166" s="11" t="n">
        <v>0.9046999999999999</v>
      </c>
      <c r="I166" s="11" t="n">
        <v>0.8418</v>
      </c>
      <c r="J166" s="11" t="n">
        <v>0.7779</v>
      </c>
      <c r="K166" s="11" t="n">
        <v>0.6586</v>
      </c>
    </row>
    <row r="167">
      <c r="A167" s="9" t="n">
        <v>43221</v>
      </c>
      <c r="B167" s="11" t="n">
        <v>0.6616</v>
      </c>
      <c r="C167" s="11" t="n">
        <v>0.506</v>
      </c>
      <c r="D167" s="11" t="n">
        <v>0.0944</v>
      </c>
      <c r="E167" s="11" t="n">
        <v>0.9397</v>
      </c>
      <c r="F167" s="11" t="n">
        <v>1.1482</v>
      </c>
      <c r="G167" s="11" t="n">
        <v>0.9526</v>
      </c>
      <c r="H167" s="11" t="n">
        <v>0.9118000000000001</v>
      </c>
      <c r="I167" s="11" t="n">
        <v>0.8724</v>
      </c>
      <c r="J167" s="11" t="n">
        <v>0.8669</v>
      </c>
      <c r="K167" s="11" t="n">
        <v>0.8811</v>
      </c>
    </row>
    <row r="168">
      <c r="A168" s="9" t="n">
        <v>43252</v>
      </c>
      <c r="B168" s="11" t="n">
        <v>0.4178</v>
      </c>
      <c r="C168" s="11" t="n">
        <v>0.9114</v>
      </c>
      <c r="D168" s="11" t="n">
        <v>0.0347</v>
      </c>
      <c r="E168" s="11" t="n">
        <v>1.0702</v>
      </c>
      <c r="F168" s="11" t="n">
        <v>1.2612</v>
      </c>
      <c r="G168" s="11" t="n">
        <v>0.9968</v>
      </c>
      <c r="H168" s="11" t="n">
        <v>0.9439</v>
      </c>
      <c r="I168" s="11" t="n">
        <v>0.8486</v>
      </c>
      <c r="J168" s="11" t="n">
        <v>0.8438</v>
      </c>
      <c r="K168" s="11" t="n">
        <v>0.8861</v>
      </c>
    </row>
    <row r="169">
      <c r="A169" s="9" t="n">
        <v>43282</v>
      </c>
      <c r="B169" s="11" t="n">
        <v>0.5937</v>
      </c>
      <c r="C169" s="11" t="n">
        <v>1.3746</v>
      </c>
      <c r="D169" s="11" t="n">
        <v>0.1736</v>
      </c>
      <c r="E169" s="11" t="n">
        <v>1.4667</v>
      </c>
      <c r="F169" s="11" t="n">
        <v>2.0001</v>
      </c>
      <c r="G169" s="11" t="n">
        <v>1.6584</v>
      </c>
      <c r="H169" s="11" t="n">
        <v>1.5959</v>
      </c>
      <c r="I169" s="11" t="n">
        <v>1.4228</v>
      </c>
      <c r="J169" s="11" t="n">
        <v>1.3459</v>
      </c>
      <c r="K169" s="11" t="n">
        <v>1.3819</v>
      </c>
    </row>
    <row r="170">
      <c r="A170" s="9" t="n">
        <v>43313</v>
      </c>
      <c r="B170" s="11" t="n">
        <v>0.5732</v>
      </c>
      <c r="C170" s="11" t="n">
        <v>0.8250999999999999</v>
      </c>
      <c r="D170" s="11" t="n">
        <v>0.1222</v>
      </c>
      <c r="E170" s="11" t="n">
        <v>1.0638</v>
      </c>
      <c r="F170" s="11" t="n">
        <v>1.5811</v>
      </c>
      <c r="G170" s="11" t="n">
        <v>1.1875</v>
      </c>
      <c r="H170" s="11" t="n">
        <v>1.1145</v>
      </c>
      <c r="I170" s="11" t="n">
        <v>1.0318</v>
      </c>
      <c r="J170" s="11" t="n">
        <v>1.0842</v>
      </c>
      <c r="K170" s="11" t="n">
        <v>1.129</v>
      </c>
    </row>
    <row r="171">
      <c r="A171" s="9" t="n">
        <v>43344</v>
      </c>
      <c r="B171" s="11" t="n">
        <v>0.6022</v>
      </c>
      <c r="C171" s="11" t="n">
        <v>0.4598</v>
      </c>
      <c r="D171" s="11" t="n">
        <v>0.1198</v>
      </c>
      <c r="E171" s="11" t="n">
        <v>0.8267</v>
      </c>
      <c r="F171" s="11" t="n">
        <v>1.493</v>
      </c>
      <c r="G171" s="11" t="n">
        <v>1.117</v>
      </c>
      <c r="H171" s="11" t="n">
        <v>1.0615</v>
      </c>
      <c r="I171" s="11" t="n">
        <v>1.0053</v>
      </c>
      <c r="J171" s="11" t="n">
        <v>1.0455</v>
      </c>
      <c r="K171" s="11" t="n">
        <v>1.0152</v>
      </c>
    </row>
    <row r="172">
      <c r="A172" s="9" t="n">
        <v>43374</v>
      </c>
      <c r="B172" s="11" t="n">
        <v>1.0362</v>
      </c>
      <c r="C172" s="11" t="n">
        <v>0.4052</v>
      </c>
      <c r="D172" s="11" t="n">
        <v>0.7378</v>
      </c>
      <c r="E172" s="11" t="n">
        <v>0.7492</v>
      </c>
      <c r="F172" s="11" t="n">
        <v>1.5137</v>
      </c>
      <c r="G172" s="11" t="n">
        <v>1.0306</v>
      </c>
      <c r="H172" s="11" t="n">
        <v>0.9392</v>
      </c>
      <c r="I172" s="11" t="n">
        <v>0.8488</v>
      </c>
      <c r="J172" s="11" t="n">
        <v>0.774</v>
      </c>
      <c r="K172" s="11" t="n">
        <v>0.7762</v>
      </c>
    </row>
    <row r="173">
      <c r="A173" s="9" t="n">
        <v>43405</v>
      </c>
      <c r="B173" s="11" t="n">
        <v>1.0177</v>
      </c>
      <c r="C173" s="11" t="n">
        <v>0.1941</v>
      </c>
      <c r="D173" s="11" t="n">
        <v>0.6848</v>
      </c>
      <c r="E173" s="11" t="n">
        <v>0.6068</v>
      </c>
      <c r="F173" s="11" t="n">
        <v>1.4848</v>
      </c>
      <c r="G173" s="11" t="n">
        <v>1.0416</v>
      </c>
      <c r="H173" s="11" t="n">
        <v>0.9349</v>
      </c>
      <c r="I173" s="11" t="n">
        <v>0.8461</v>
      </c>
      <c r="J173" s="11" t="n">
        <v>0.8241000000000001</v>
      </c>
      <c r="K173" s="11" t="n">
        <v>0.7682</v>
      </c>
    </row>
    <row r="174">
      <c r="A174" s="9" t="n">
        <v>43435</v>
      </c>
      <c r="B174" s="11" t="n">
        <v>0.9719</v>
      </c>
      <c r="C174" s="11" t="n">
        <v>-0.0023</v>
      </c>
      <c r="D174" s="11" t="n">
        <v>0.7949000000000001</v>
      </c>
      <c r="E174" s="11" t="n">
        <v>0.3321</v>
      </c>
      <c r="F174" s="11" t="n">
        <v>1.0782</v>
      </c>
      <c r="G174" s="11" t="n">
        <v>0.9114</v>
      </c>
      <c r="H174" s="11" t="n">
        <v>0.8837</v>
      </c>
      <c r="I174" s="11" t="n">
        <v>0.78</v>
      </c>
      <c r="J174" s="11" t="n">
        <v>0.654</v>
      </c>
      <c r="K174" s="11" t="n">
        <v>0.5175999999999999</v>
      </c>
    </row>
    <row r="175">
      <c r="A175" s="9" t="n">
        <v>43466</v>
      </c>
      <c r="B175" s="11" t="n">
        <v>0.8552999999999999</v>
      </c>
      <c r="C175" s="11" t="n">
        <v>0.276</v>
      </c>
      <c r="D175" s="11" t="n">
        <v>0.7169</v>
      </c>
      <c r="E175" s="11" t="n">
        <v>0.5158</v>
      </c>
      <c r="F175" s="11" t="n">
        <v>0.8646</v>
      </c>
      <c r="G175" s="11" t="n">
        <v>0.7064</v>
      </c>
      <c r="H175" s="11" t="n">
        <v>0.6655</v>
      </c>
      <c r="I175" s="11" t="n">
        <v>0.6558</v>
      </c>
      <c r="J175" s="11" t="n">
        <v>0.6191</v>
      </c>
      <c r="K175" s="11" t="n">
        <v>0.5682</v>
      </c>
    </row>
    <row r="176">
      <c r="A176" s="9" t="n">
        <v>43497</v>
      </c>
      <c r="B176" s="11" t="n">
        <v>0.6575</v>
      </c>
      <c r="C176" s="11" t="n">
        <v>0.1477</v>
      </c>
      <c r="D176" s="11" t="n">
        <v>0.8091</v>
      </c>
      <c r="E176" s="11" t="n">
        <v>0.155</v>
      </c>
      <c r="F176" s="11" t="n">
        <v>1.0075</v>
      </c>
      <c r="G176" s="11" t="n">
        <v>0.7704</v>
      </c>
      <c r="H176" s="11" t="n">
        <v>0.724</v>
      </c>
      <c r="I176" s="11" t="n">
        <v>0.7562</v>
      </c>
      <c r="J176" s="11" t="n">
        <v>0.6977</v>
      </c>
      <c r="K176" s="11" t="n">
        <v>0.6452</v>
      </c>
    </row>
    <row r="177">
      <c r="A177" s="9" t="n">
        <v>43525</v>
      </c>
      <c r="B177" s="11" t="n">
        <v>0.6263</v>
      </c>
      <c r="C177" s="11" t="n">
        <v>-0.0519</v>
      </c>
      <c r="D177" s="11" t="n">
        <v>0.6959</v>
      </c>
      <c r="E177" s="11" t="n">
        <v>0.0459</v>
      </c>
      <c r="F177" s="11" t="n">
        <v>1.1426</v>
      </c>
      <c r="G177" s="11" t="n">
        <v>0.9436</v>
      </c>
      <c r="H177" s="11" t="n">
        <v>0.9036</v>
      </c>
      <c r="I177" s="11" t="n">
        <v>0.8109</v>
      </c>
      <c r="J177" s="11" t="n">
        <v>0.7451</v>
      </c>
      <c r="K177" s="11" t="n">
        <v>0.7495000000000001</v>
      </c>
    </row>
    <row r="178">
      <c r="A178" s="9" t="n">
        <v>43556</v>
      </c>
      <c r="B178" s="11" t="n">
        <v>0.7759</v>
      </c>
      <c r="C178" s="11" t="n">
        <v>0.5914</v>
      </c>
      <c r="D178" s="11" t="n">
        <v>0.7403</v>
      </c>
      <c r="E178" s="11" t="n">
        <v>0.6561</v>
      </c>
      <c r="F178" s="11" t="n">
        <v>1.2329</v>
      </c>
      <c r="G178" s="11" t="n">
        <v>1.0819</v>
      </c>
      <c r="H178" s="11" t="n">
        <v>1.0409</v>
      </c>
      <c r="I178" s="11" t="n">
        <v>0.9233</v>
      </c>
      <c r="J178" s="11" t="n">
        <v>0.8867</v>
      </c>
      <c r="K178" s="11" t="n">
        <v>0.8074</v>
      </c>
    </row>
    <row r="179">
      <c r="A179" s="9" t="n">
        <v>43586</v>
      </c>
      <c r="B179" s="11" t="n">
        <v>0.5235</v>
      </c>
      <c r="C179" s="11" t="n">
        <v>0.3495</v>
      </c>
      <c r="D179" s="11" t="n">
        <v>0.7593</v>
      </c>
      <c r="E179" s="11" t="n">
        <v>0.2183</v>
      </c>
      <c r="F179" s="11" t="n">
        <v>1.0966</v>
      </c>
      <c r="G179" s="11" t="n">
        <v>0.9782999999999999</v>
      </c>
      <c r="H179" s="11" t="n">
        <v>0.9508</v>
      </c>
      <c r="I179" s="11" t="n">
        <v>0.9127</v>
      </c>
      <c r="J179" s="11" t="n">
        <v>0.8656</v>
      </c>
      <c r="K179" s="11" t="n">
        <v>0.7913</v>
      </c>
    </row>
    <row r="180">
      <c r="A180" s="9" t="n">
        <v>43617</v>
      </c>
      <c r="B180" s="11" t="n">
        <v>0.7022</v>
      </c>
      <c r="C180" s="11" t="n">
        <v>0.1282</v>
      </c>
      <c r="D180" s="11" t="n">
        <v>0.7593</v>
      </c>
      <c r="E180" s="11" t="n">
        <v>0.2124</v>
      </c>
      <c r="F180" s="11" t="n">
        <v>0.9319</v>
      </c>
      <c r="G180" s="11" t="n">
        <v>0.8304</v>
      </c>
      <c r="H180" s="11" t="n">
        <v>0.8090000000000001</v>
      </c>
      <c r="I180" s="11" t="n">
        <v>0.7804</v>
      </c>
      <c r="J180" s="11" t="n">
        <v>0.7781</v>
      </c>
      <c r="K180" s="11" t="n">
        <v>0.7231</v>
      </c>
    </row>
    <row r="181">
      <c r="A181" s="9" t="n">
        <v>43647</v>
      </c>
      <c r="B181" s="11" t="n">
        <v>0.5862000000000001</v>
      </c>
      <c r="C181" s="11" t="n">
        <v>-0.0145</v>
      </c>
      <c r="D181" s="11" t="n">
        <v>0.7403</v>
      </c>
      <c r="E181" s="11" t="n">
        <v>0.0131</v>
      </c>
      <c r="F181" s="11" t="n">
        <v>0.4644</v>
      </c>
      <c r="G181" s="11" t="n">
        <v>0.4981</v>
      </c>
      <c r="H181" s="11" t="n">
        <v>0.5226</v>
      </c>
      <c r="I181" s="11" t="n">
        <v>0.669</v>
      </c>
      <c r="J181" s="11" t="n">
        <v>0.7309</v>
      </c>
      <c r="K181" s="11" t="n">
        <v>0.7455000000000001</v>
      </c>
    </row>
    <row r="182">
      <c r="A182" s="9" t="n">
        <v>43678</v>
      </c>
      <c r="B182" s="11" t="n">
        <v>0.5674</v>
      </c>
      <c r="C182" s="11" t="n">
        <v>0.6176</v>
      </c>
      <c r="D182" s="11" t="n">
        <v>0.8054</v>
      </c>
      <c r="E182" s="11" t="n">
        <v>0.4316</v>
      </c>
      <c r="F182" s="11" t="n">
        <v>0.6526</v>
      </c>
      <c r="G182" s="11" t="n">
        <v>0.6993</v>
      </c>
      <c r="H182" s="11" t="n">
        <v>0.7074</v>
      </c>
      <c r="I182" s="11" t="n">
        <v>0.7511</v>
      </c>
      <c r="J182" s="11" t="n">
        <v>0.7524999999999999</v>
      </c>
      <c r="K182" s="11" t="n">
        <v>0.7444</v>
      </c>
    </row>
    <row r="183">
      <c r="A183" s="9" t="n">
        <v>43709</v>
      </c>
      <c r="B183" s="11" t="n">
        <v>0.7403999999999999</v>
      </c>
      <c r="C183" s="11" t="n">
        <v>0.1402</v>
      </c>
      <c r="D183" s="11" t="n">
        <v>0.8178</v>
      </c>
      <c r="E183" s="11" t="n">
        <v>0.2179</v>
      </c>
      <c r="F183" s="11" t="n">
        <v>0.5286999999999999</v>
      </c>
      <c r="G183" s="11" t="n">
        <v>0.6694</v>
      </c>
      <c r="H183" s="11" t="n">
        <v>0.6899</v>
      </c>
      <c r="I183" s="11" t="n">
        <v>0.7258</v>
      </c>
      <c r="J183" s="11" t="n">
        <v>0.7086</v>
      </c>
      <c r="K183" s="11" t="n">
        <v>0.8092</v>
      </c>
    </row>
    <row r="184">
      <c r="A184" s="9" t="n">
        <v>43739</v>
      </c>
      <c r="B184" s="11" t="n">
        <v>0.6944</v>
      </c>
      <c r="C184" s="11" t="n">
        <v>0.5046</v>
      </c>
      <c r="D184" s="11" t="n">
        <v>0.8139</v>
      </c>
      <c r="E184" s="11" t="n">
        <v>0.46</v>
      </c>
      <c r="F184" s="11" t="n">
        <v>0.4975</v>
      </c>
      <c r="G184" s="11" t="n">
        <v>0.6963</v>
      </c>
      <c r="H184" s="11" t="n">
        <v>0.7171999999999999</v>
      </c>
      <c r="I184" s="11" t="n">
        <v>0.8151</v>
      </c>
      <c r="J184" s="11" t="n">
        <v>0.827</v>
      </c>
      <c r="K184" s="11" t="n">
        <v>0.7224</v>
      </c>
    </row>
    <row r="185">
      <c r="A185" s="9" t="n">
        <v>43770</v>
      </c>
      <c r="B185" s="11" t="n">
        <v>0.6735</v>
      </c>
      <c r="C185" s="11" t="n">
        <v>0.7347</v>
      </c>
      <c r="D185" s="11" t="n">
        <v>0.9375</v>
      </c>
      <c r="E185" s="11" t="n">
        <v>0.5302</v>
      </c>
      <c r="F185" s="11" t="n">
        <v>0.5248</v>
      </c>
      <c r="G185" s="11" t="n">
        <v>0.7594</v>
      </c>
      <c r="H185" s="11" t="n">
        <v>0.7871</v>
      </c>
      <c r="I185" s="11" t="n">
        <v>0.8346</v>
      </c>
      <c r="J185" s="11" t="n">
        <v>0.8502</v>
      </c>
      <c r="K185" s="11" t="n">
        <v>0.9091</v>
      </c>
    </row>
    <row r="186">
      <c r="A186" s="9" t="n">
        <v>43800</v>
      </c>
      <c r="B186" s="11" t="n">
        <v>0.6758</v>
      </c>
      <c r="C186" s="11" t="n">
        <v>0.5979</v>
      </c>
      <c r="D186" s="11" t="n">
        <v>0.9124</v>
      </c>
      <c r="E186" s="11" t="n">
        <v>0.4437</v>
      </c>
      <c r="F186" s="11" t="n">
        <v>0.7832</v>
      </c>
      <c r="G186" s="11" t="n">
        <v>0.8379</v>
      </c>
      <c r="H186" s="11" t="n">
        <v>0.8441</v>
      </c>
      <c r="I186" s="11" t="n">
        <v>0.8377</v>
      </c>
      <c r="J186" s="11" t="n">
        <v>0.804</v>
      </c>
      <c r="K186" s="11" t="n">
        <v>0.7883</v>
      </c>
    </row>
    <row r="187">
      <c r="A187" s="9" t="n">
        <v>43831</v>
      </c>
      <c r="B187" s="11" t="n">
        <v>0.7455000000000001</v>
      </c>
      <c r="C187" s="11" t="n">
        <v>0.3146</v>
      </c>
      <c r="D187" s="11" t="n">
        <v>0.9059</v>
      </c>
      <c r="E187" s="11" t="n">
        <v>0.2099</v>
      </c>
      <c r="F187" s="11" t="n">
        <v>0.7231</v>
      </c>
      <c r="G187" s="11" t="n">
        <v>0.8091</v>
      </c>
      <c r="H187" s="11" t="n">
        <v>0.8179</v>
      </c>
      <c r="I187" s="11" t="n">
        <v>0.8848</v>
      </c>
      <c r="J187" s="11" t="n">
        <v>0.9483</v>
      </c>
      <c r="K187" s="11" t="n">
        <v>0.9792</v>
      </c>
    </row>
    <row r="188">
      <c r="A188" s="9" t="n">
        <v>43862</v>
      </c>
      <c r="B188" s="11" t="n">
        <v>0.833</v>
      </c>
      <c r="C188" s="11" t="n">
        <v>0.3165</v>
      </c>
      <c r="D188" s="11" t="n">
        <v>1.0211</v>
      </c>
      <c r="E188" s="11" t="n">
        <v>0.1918</v>
      </c>
      <c r="F188" s="11" t="n">
        <v>0.5638</v>
      </c>
      <c r="G188" s="11" t="n">
        <v>0.7743</v>
      </c>
      <c r="H188" s="11" t="n">
        <v>0.8066</v>
      </c>
      <c r="I188" s="11" t="n">
        <v>0.849</v>
      </c>
      <c r="J188" s="11" t="n">
        <v>0.8905999999999999</v>
      </c>
      <c r="K188" s="11" t="n">
        <v>0.823</v>
      </c>
    </row>
    <row r="189">
      <c r="A189" s="9" t="n">
        <v>43891</v>
      </c>
      <c r="B189" s="11" t="n">
        <v>0.5703</v>
      </c>
      <c r="C189" s="11" t="n">
        <v>0.54</v>
      </c>
      <c r="D189" s="11" t="n">
        <v>1.178</v>
      </c>
      <c r="E189" s="11" t="n">
        <v>0.0873</v>
      </c>
      <c r="F189" s="11" t="n">
        <v>0.5021</v>
      </c>
      <c r="G189" s="11" t="n">
        <v>0.6497000000000001</v>
      </c>
      <c r="H189" s="11" t="n">
        <v>0.6847</v>
      </c>
      <c r="I189" s="11" t="n">
        <v>0.7746</v>
      </c>
      <c r="J189" s="11" t="n">
        <v>0.8427</v>
      </c>
      <c r="K189" s="11" t="n">
        <v>0.8264</v>
      </c>
    </row>
    <row r="190">
      <c r="A190" s="9" t="n">
        <v>43922</v>
      </c>
      <c r="B190" s="11" t="n">
        <v>0.518</v>
      </c>
      <c r="C190" s="11" t="n">
        <v>0.712</v>
      </c>
      <c r="D190" s="11" t="n">
        <v>0.9684</v>
      </c>
      <c r="E190" s="11" t="n">
        <v>0.3477</v>
      </c>
      <c r="F190" s="11" t="n">
        <v>0.4618</v>
      </c>
      <c r="G190" s="11" t="n">
        <v>0.9357</v>
      </c>
      <c r="H190" s="11" t="n">
        <v>0.9484</v>
      </c>
      <c r="I190" s="11" t="n">
        <v>0.9345</v>
      </c>
      <c r="J190" s="11" t="n">
        <v>0.9896</v>
      </c>
      <c r="K190" s="11" t="n">
        <v>1.006</v>
      </c>
    </row>
    <row r="191">
      <c r="A191" s="9" t="n">
        <v>43952</v>
      </c>
      <c r="B191" s="11" t="n">
        <v>0.5266</v>
      </c>
      <c r="C191" s="11" t="n">
        <v>0.5582</v>
      </c>
      <c r="D191" s="11" t="n">
        <v>0.904</v>
      </c>
      <c r="E191" s="11" t="n">
        <v>0.274</v>
      </c>
      <c r="F191" s="11" t="n">
        <v>0.1878</v>
      </c>
      <c r="G191" s="11" t="n">
        <v>0.8075</v>
      </c>
      <c r="H191" s="11" t="n">
        <v>0.8115</v>
      </c>
      <c r="I191" s="11" t="n">
        <v>0.7967</v>
      </c>
      <c r="J191" s="11" t="n">
        <v>0.8366</v>
      </c>
      <c r="K191" s="11" t="n">
        <v>0.8245</v>
      </c>
    </row>
    <row r="192">
      <c r="A192" s="9" t="n">
        <v>43983</v>
      </c>
      <c r="B192" s="11" t="n">
        <v>0.3031</v>
      </c>
      <c r="C192" s="11" t="n">
        <v>0.5618</v>
      </c>
      <c r="D192" s="11" t="n">
        <v>1.0604</v>
      </c>
      <c r="E192" s="11" t="n">
        <v>-0.0396</v>
      </c>
      <c r="F192" s="11" t="n">
        <v>0.0047</v>
      </c>
      <c r="G192" s="11" t="n">
        <v>0.6318</v>
      </c>
      <c r="H192" s="11" t="n">
        <v>0.7272999999999999</v>
      </c>
      <c r="I192" s="11" t="n">
        <v>0.8242</v>
      </c>
      <c r="J192" s="11" t="n">
        <v>0.8589</v>
      </c>
      <c r="K192" s="11" t="n">
        <v>0.7919</v>
      </c>
    </row>
    <row r="193">
      <c r="A193" s="9" t="n">
        <v>44013</v>
      </c>
      <c r="B193" s="11" t="n">
        <v>0.3217</v>
      </c>
      <c r="C193" s="11" t="n">
        <v>4.3363</v>
      </c>
      <c r="D193" s="11" t="n">
        <v>1.3745</v>
      </c>
      <c r="E193" s="11" t="n">
        <v>2.5963</v>
      </c>
      <c r="F193" s="11" t="n">
        <v>0.8348</v>
      </c>
      <c r="G193" s="11" t="n">
        <v>0.8018</v>
      </c>
      <c r="H193" s="11" t="n">
        <v>0.888</v>
      </c>
      <c r="I193" s="11" t="n">
        <v>0.9288</v>
      </c>
      <c r="J193" s="11" t="n">
        <v>0.9723000000000001</v>
      </c>
      <c r="K193" s="11" t="n">
        <v>0.9732</v>
      </c>
    </row>
    <row r="194">
      <c r="A194" s="9" t="n">
        <v>44044</v>
      </c>
      <c r="B194" s="11" t="n">
        <v>0.5181</v>
      </c>
      <c r="C194" s="11" t="n">
        <v>0.024</v>
      </c>
      <c r="D194" s="11" t="n">
        <v>1.0014</v>
      </c>
      <c r="E194" s="11" t="n">
        <v>-0.2915</v>
      </c>
      <c r="F194" s="11" t="n">
        <v>0.1323</v>
      </c>
      <c r="G194" s="11" t="n">
        <v>0.6257</v>
      </c>
      <c r="H194" s="11" t="n">
        <v>0.6636</v>
      </c>
      <c r="I194" s="11" t="n">
        <v>0.7685</v>
      </c>
      <c r="J194" s="11" t="n">
        <v>0.7653</v>
      </c>
      <c r="K194" s="11" t="n">
        <v>0.7299</v>
      </c>
    </row>
    <row r="195">
      <c r="A195" s="9" t="n">
        <v>44075</v>
      </c>
      <c r="B195" s="11" t="n">
        <v>-0.043</v>
      </c>
      <c r="C195" s="11" t="n">
        <v>-1.1427</v>
      </c>
      <c r="D195" s="11" t="n">
        <v>0.7405</v>
      </c>
      <c r="E195" s="11" t="n">
        <v>-1.489</v>
      </c>
      <c r="F195" s="11" t="n">
        <v>-0.6038</v>
      </c>
      <c r="G195" s="11" t="n">
        <v>-0.105</v>
      </c>
      <c r="H195" s="11" t="n">
        <v>0.0291</v>
      </c>
      <c r="I195" s="11" t="n">
        <v>0.2163</v>
      </c>
      <c r="J195" s="11" t="n">
        <v>0.3192</v>
      </c>
      <c r="K195" s="11" t="n">
        <v>0.3841</v>
      </c>
    </row>
    <row r="196">
      <c r="A196" s="9" t="n">
        <v>44105</v>
      </c>
      <c r="B196" s="11" t="n">
        <v>0.1794</v>
      </c>
      <c r="C196" s="11" t="n">
        <v>-0.2787</v>
      </c>
      <c r="D196" s="11" t="n">
        <v>0.8290999999999999</v>
      </c>
      <c r="E196" s="11" t="n">
        <v>-0.6616</v>
      </c>
      <c r="F196" s="11" t="n">
        <v>-0.1014</v>
      </c>
      <c r="G196" s="11" t="n">
        <v>0.3281</v>
      </c>
      <c r="H196" s="11" t="n">
        <v>0.4072</v>
      </c>
      <c r="I196" s="11" t="n">
        <v>0.5259</v>
      </c>
      <c r="J196" s="11" t="n">
        <v>0.492</v>
      </c>
      <c r="K196" s="11" t="n">
        <v>0.4494</v>
      </c>
    </row>
    <row r="197">
      <c r="A197" s="9" t="n">
        <v>44136</v>
      </c>
      <c r="B197" s="11" t="n">
        <v>0.4168</v>
      </c>
      <c r="C197" s="11" t="n">
        <v>0.0109</v>
      </c>
      <c r="D197" s="11" t="n">
        <v>0.7958</v>
      </c>
      <c r="E197" s="11" t="n">
        <v>-0.1911</v>
      </c>
      <c r="F197" s="11" t="n">
        <v>0.0956</v>
      </c>
      <c r="G197" s="11" t="n">
        <v>0.5037</v>
      </c>
      <c r="H197" s="11" t="n">
        <v>0.5345</v>
      </c>
      <c r="I197" s="11" t="n">
        <v>0.5957</v>
      </c>
      <c r="J197" s="11" t="n">
        <v>0.5927</v>
      </c>
      <c r="K197" s="11" t="n">
        <v>0.5004999999999999</v>
      </c>
    </row>
    <row r="198">
      <c r="A198" s="9" t="n">
        <v>44166</v>
      </c>
      <c r="B198" s="11" t="n">
        <v>0.4063</v>
      </c>
      <c r="C198" s="11" t="n">
        <v>0.2693</v>
      </c>
      <c r="D198" s="11" t="n">
        <v>0.8099</v>
      </c>
      <c r="E198" s="11" t="n">
        <v>0.0019</v>
      </c>
      <c r="F198" s="11" t="n">
        <v>0.0529</v>
      </c>
      <c r="G198" s="11" t="n">
        <v>0.4814</v>
      </c>
      <c r="H198" s="11" t="n">
        <v>0.5171</v>
      </c>
      <c r="I198" s="11" t="n">
        <v>0.5737</v>
      </c>
      <c r="J198" s="11" t="n">
        <v>0.6027</v>
      </c>
      <c r="K198" s="11" t="n">
        <v>0.578</v>
      </c>
    </row>
    <row r="199">
      <c r="A199" s="9" t="n">
        <v>44197</v>
      </c>
      <c r="B199" s="11" t="n">
        <v>0.5669</v>
      </c>
      <c r="C199" s="11" t="n">
        <v>2.3911</v>
      </c>
      <c r="D199" s="11" t="n">
        <v>0.9726</v>
      </c>
      <c r="E199" s="11" t="n">
        <v>1.5972</v>
      </c>
      <c r="F199" s="11" t="n">
        <v>0.8745000000000001</v>
      </c>
      <c r="G199" s="11" t="n">
        <v>0.8948</v>
      </c>
      <c r="H199" s="11" t="n">
        <v>0.8863</v>
      </c>
      <c r="I199" s="11" t="n">
        <v>0.8578</v>
      </c>
      <c r="J199" s="11" t="n">
        <v>0.7864</v>
      </c>
      <c r="K199" s="11" t="n">
        <v>0.7299</v>
      </c>
    </row>
    <row r="200">
      <c r="A200" s="9" t="n">
        <v>44228</v>
      </c>
      <c r="B200" s="11" t="n">
        <v>0.5467</v>
      </c>
      <c r="C200" s="11" t="n">
        <v>2.871</v>
      </c>
      <c r="D200" s="11" t="n">
        <v>0.7645</v>
      </c>
      <c r="E200" s="11" t="n">
        <v>2.0837</v>
      </c>
      <c r="F200" s="11" t="n">
        <v>0.9163</v>
      </c>
      <c r="G200" s="11" t="n">
        <v>0.7738</v>
      </c>
      <c r="H200" s="11" t="n">
        <v>0.7559</v>
      </c>
      <c r="I200" s="11" t="n">
        <v>0.7359</v>
      </c>
      <c r="J200" s="11" t="n">
        <v>0.7378</v>
      </c>
      <c r="K200" s="11" t="n">
        <v>0.6479</v>
      </c>
    </row>
    <row r="201">
      <c r="A201" s="9" t="n">
        <v>44256</v>
      </c>
      <c r="B201" s="11" t="n">
        <v>0.5759</v>
      </c>
      <c r="C201" s="11" t="n">
        <v>0.7922</v>
      </c>
      <c r="D201" s="11" t="n">
        <v>0.5485</v>
      </c>
      <c r="E201" s="11" t="n">
        <v>0.7369</v>
      </c>
      <c r="F201" s="11" t="n">
        <v>0.4506</v>
      </c>
      <c r="G201" s="11" t="n">
        <v>0.5078</v>
      </c>
      <c r="H201" s="11" t="n">
        <v>0.5121</v>
      </c>
      <c r="I201" s="11" t="n">
        <v>0.4998</v>
      </c>
      <c r="J201" s="11" t="n">
        <v>0.4721</v>
      </c>
      <c r="K201" s="11" t="n">
        <v>0.4603</v>
      </c>
    </row>
    <row r="202">
      <c r="A202" s="9" t="n">
        <v>44287</v>
      </c>
      <c r="B202" s="11" t="n">
        <v>0.5002</v>
      </c>
      <c r="C202" s="11" t="n">
        <v>-0.0545</v>
      </c>
      <c r="D202" s="11" t="n">
        <v>0.7682</v>
      </c>
      <c r="E202" s="11" t="n">
        <v>-0.1818</v>
      </c>
      <c r="F202" s="11" t="n">
        <v>0.9701</v>
      </c>
      <c r="G202" s="11" t="n">
        <v>0.5861</v>
      </c>
      <c r="H202" s="11" t="n">
        <v>0.5477</v>
      </c>
      <c r="I202" s="11" t="n">
        <v>0.5638</v>
      </c>
      <c r="J202" s="11" t="n">
        <v>0.5803</v>
      </c>
      <c r="K202" s="11" t="n">
        <v>0.5476</v>
      </c>
    </row>
    <row r="203">
      <c r="A203" s="9" t="n">
        <v>44317</v>
      </c>
      <c r="B203" s="11" t="n">
        <v>0.3171</v>
      </c>
      <c r="C203" s="11" t="n">
        <v>0.1181</v>
      </c>
      <c r="D203" s="11" t="n">
        <v>0.9243</v>
      </c>
      <c r="E203" s="11" t="n">
        <v>-0.3197</v>
      </c>
      <c r="F203" s="11" t="n">
        <v>1.0537</v>
      </c>
      <c r="G203" s="11" t="n">
        <v>0.555</v>
      </c>
      <c r="H203" s="11" t="n">
        <v>0.5503</v>
      </c>
      <c r="I203" s="11" t="n">
        <v>0.6221</v>
      </c>
      <c r="J203" s="11" t="n">
        <v>0.6222</v>
      </c>
      <c r="K203" s="11" t="n">
        <v>0.6572</v>
      </c>
    </row>
    <row r="204">
      <c r="A204" s="9" t="n">
        <v>44348</v>
      </c>
      <c r="B204" s="11" t="n">
        <v>0.6283</v>
      </c>
      <c r="C204" s="11" t="n">
        <v>0.0117</v>
      </c>
      <c r="D204" s="11" t="n">
        <v>1.0092</v>
      </c>
      <c r="E204" s="11" t="n">
        <v>-0.169</v>
      </c>
      <c r="F204" s="11" t="n">
        <v>1.2714</v>
      </c>
      <c r="G204" s="11" t="n">
        <v>0.8521</v>
      </c>
      <c r="H204" s="11" t="n">
        <v>0.8594000000000001</v>
      </c>
      <c r="I204" s="11" t="n">
        <v>0.8939</v>
      </c>
      <c r="J204" s="11" t="n">
        <v>0.9019</v>
      </c>
      <c r="K204" s="11" t="n">
        <v>0.9026999999999999</v>
      </c>
    </row>
    <row r="205">
      <c r="A205" s="9" t="n">
        <v>44378</v>
      </c>
      <c r="B205" s="11" t="n">
        <v>0.7351</v>
      </c>
      <c r="C205" s="11" t="n">
        <v>-2.5595</v>
      </c>
      <c r="D205" s="11" t="n">
        <v>0.8307</v>
      </c>
      <c r="E205" s="11" t="n">
        <v>-2.0524</v>
      </c>
      <c r="F205" s="11" t="n">
        <v>0.8033</v>
      </c>
      <c r="G205" s="11" t="n">
        <v>0.7916</v>
      </c>
      <c r="H205" s="11" t="n">
        <v>0.8282</v>
      </c>
      <c r="I205" s="11" t="n">
        <v>0.8754999999999999</v>
      </c>
      <c r="J205" s="11" t="n">
        <v>0.9077</v>
      </c>
      <c r="K205" s="11" t="n">
        <v>0.8208</v>
      </c>
    </row>
    <row r="206">
      <c r="A206" s="9" t="n">
        <v>44409</v>
      </c>
      <c r="B206" s="11" t="n">
        <v>0.7645999999999999</v>
      </c>
      <c r="C206" s="11" t="n">
        <v>1.1057</v>
      </c>
      <c r="D206" s="11" t="n">
        <v>1.1561</v>
      </c>
      <c r="E206" s="11" t="n">
        <v>0.6099</v>
      </c>
      <c r="F206" s="11" t="n">
        <v>2.0427</v>
      </c>
      <c r="G206" s="11" t="n">
        <v>1.4921</v>
      </c>
      <c r="H206" s="11" t="n">
        <v>1.4663</v>
      </c>
      <c r="I206" s="11" t="n">
        <v>1.4521</v>
      </c>
      <c r="J206" s="11" t="n">
        <v>1.4344</v>
      </c>
      <c r="K206" s="11" t="n">
        <v>1.3699</v>
      </c>
    </row>
    <row r="207">
      <c r="A207" s="9" t="n">
        <v>44440</v>
      </c>
      <c r="B207" s="11" t="n">
        <v>1.0556</v>
      </c>
      <c r="C207" s="11" t="n">
        <v>1.9562</v>
      </c>
      <c r="D207" s="11" t="n">
        <v>1.2306</v>
      </c>
      <c r="E207" s="11" t="n">
        <v>1.5697</v>
      </c>
      <c r="F207" s="11" t="n">
        <v>2.2927</v>
      </c>
      <c r="G207" s="11" t="n">
        <v>1.6517</v>
      </c>
      <c r="H207" s="11" t="n">
        <v>1.631</v>
      </c>
      <c r="I207" s="11" t="n">
        <v>1.5938</v>
      </c>
      <c r="J207" s="11" t="n">
        <v>1.5779</v>
      </c>
      <c r="K207" s="11" t="n">
        <v>1.5892</v>
      </c>
    </row>
    <row r="208">
      <c r="A208" s="9" t="n">
        <v>44470</v>
      </c>
      <c r="B208" s="11" t="n">
        <v>1.0422</v>
      </c>
      <c r="C208" s="11" t="n">
        <v>1.3279</v>
      </c>
      <c r="D208" s="11" t="n">
        <v>1.3145</v>
      </c>
      <c r="E208" s="11" t="n">
        <v>1.0278</v>
      </c>
      <c r="F208" s="11" t="n">
        <v>2.1281</v>
      </c>
      <c r="G208" s="11" t="n">
        <v>1.3105</v>
      </c>
      <c r="H208" s="11" t="n">
        <v>1.296</v>
      </c>
      <c r="I208" s="11" t="n">
        <v>1.2767</v>
      </c>
      <c r="J208" s="11" t="n">
        <v>1.2225</v>
      </c>
      <c r="K208" s="11" t="n">
        <v>1.1957</v>
      </c>
    </row>
    <row r="209">
      <c r="A209" s="9" t="n">
        <v>44501</v>
      </c>
      <c r="B209" s="11" t="n">
        <v>1.3693</v>
      </c>
      <c r="C209" s="11" t="n">
        <v>1.2456</v>
      </c>
      <c r="D209" s="11" t="n">
        <v>1.6489</v>
      </c>
      <c r="E209" s="11" t="n">
        <v>1.0515</v>
      </c>
      <c r="F209" s="11" t="n">
        <v>2.5748</v>
      </c>
      <c r="G209" s="11" t="n">
        <v>1.4432</v>
      </c>
      <c r="H209" s="11" t="n">
        <v>1.4233</v>
      </c>
      <c r="I209" s="11" t="n">
        <v>1.4025</v>
      </c>
      <c r="J209" s="11" t="n">
        <v>1.3525</v>
      </c>
      <c r="K209" s="11" t="n">
        <v>1.3777</v>
      </c>
    </row>
    <row r="210">
      <c r="A210" s="9" t="n">
        <v>44531</v>
      </c>
      <c r="B210" s="11" t="n">
        <v>1.5987</v>
      </c>
      <c r="C210" s="11" t="n">
        <v>1.4214</v>
      </c>
      <c r="D210" s="11" t="n">
        <v>1.9046</v>
      </c>
      <c r="E210" s="11" t="n">
        <v>1.2458</v>
      </c>
      <c r="F210" s="11" t="n">
        <v>2.8734</v>
      </c>
      <c r="G210" s="11" t="n">
        <v>1.9508</v>
      </c>
      <c r="H210" s="11" t="n">
        <v>1.9001</v>
      </c>
      <c r="I210" s="11" t="n">
        <v>1.8459</v>
      </c>
      <c r="J210" s="11" t="n">
        <v>1.8317</v>
      </c>
      <c r="K210" s="11" t="n">
        <v>1.6355</v>
      </c>
    </row>
    <row r="211">
      <c r="A211" s="9" t="n">
        <v>44562</v>
      </c>
      <c r="B211" s="11" t="n">
        <v>1.8824</v>
      </c>
      <c r="C211" s="11" t="n">
        <v>0.6132</v>
      </c>
      <c r="D211" s="11" t="n">
        <v>2.1761</v>
      </c>
      <c r="E211" s="11" t="n">
        <v>0.6157</v>
      </c>
      <c r="F211" s="11" t="n">
        <v>3.1031</v>
      </c>
      <c r="G211" s="11" t="n">
        <v>2.3072</v>
      </c>
      <c r="H211" s="11" t="n">
        <v>2.174</v>
      </c>
      <c r="I211" s="11" t="n">
        <v>2.0398</v>
      </c>
      <c r="J211" s="11" t="n">
        <v>2.0822</v>
      </c>
      <c r="K211" s="11" t="n">
        <v>2.1028</v>
      </c>
    </row>
    <row r="212">
      <c r="A212" s="9" t="n">
        <v>44593</v>
      </c>
      <c r="B212" s="11" t="n">
        <v>1.9272</v>
      </c>
      <c r="C212" s="11" t="n">
        <v>1.388</v>
      </c>
      <c r="D212" s="11" t="n">
        <v>2.6641</v>
      </c>
      <c r="E212" s="11" t="n">
        <v>0.9201</v>
      </c>
      <c r="F212" s="11" t="n">
        <v>3.7989</v>
      </c>
      <c r="G212" s="11" t="n">
        <v>2.7608</v>
      </c>
      <c r="H212" s="11" t="n">
        <v>2.6734</v>
      </c>
      <c r="I212" s="11" t="n">
        <v>2.5277</v>
      </c>
      <c r="J212" s="11" t="n">
        <v>2.5801</v>
      </c>
      <c r="K212" s="11" t="n">
        <v>2.5057</v>
      </c>
    </row>
    <row r="213">
      <c r="A213" s="9" t="n">
        <v>44621</v>
      </c>
      <c r="B213" s="11" t="n">
        <v>2.2225</v>
      </c>
      <c r="C213" s="11" t="n">
        <v>1.3855</v>
      </c>
      <c r="D213" s="11" t="n">
        <v>3.0783</v>
      </c>
      <c r="E213" s="11" t="n">
        <v>0.9359</v>
      </c>
      <c r="F213" s="11" t="n">
        <v>4.6323</v>
      </c>
      <c r="G213" s="11" t="n">
        <v>3.2476</v>
      </c>
      <c r="H213" s="11" t="n">
        <v>3.1387</v>
      </c>
      <c r="I213" s="11" t="n">
        <v>2.961</v>
      </c>
      <c r="J213" s="11" t="n">
        <v>2.9625</v>
      </c>
      <c r="K213" s="11" t="n">
        <v>2.9299</v>
      </c>
    </row>
    <row r="214">
      <c r="A214" s="9" t="n">
        <v>44652</v>
      </c>
      <c r="B214" s="11" t="n">
        <v>2.1732</v>
      </c>
      <c r="C214" s="11" t="n">
        <v>2.2826</v>
      </c>
      <c r="D214" s="11" t="n">
        <v>3.622</v>
      </c>
      <c r="E214" s="11" t="n">
        <v>1.2633</v>
      </c>
      <c r="F214" s="11" t="n">
        <v>4.4376</v>
      </c>
      <c r="G214" s="11" t="n">
        <v>3.6306</v>
      </c>
      <c r="H214" s="11" t="n">
        <v>3.5688</v>
      </c>
      <c r="I214" s="11" t="n">
        <v>3.3896</v>
      </c>
      <c r="J214" s="11" t="n">
        <v>3.3948</v>
      </c>
      <c r="K214" s="11" t="n">
        <v>3.5545</v>
      </c>
    </row>
    <row r="215">
      <c r="A215" s="9" t="n">
        <v>44682</v>
      </c>
      <c r="B215" s="11" t="n">
        <v>2.8901</v>
      </c>
      <c r="C215" s="11" t="n">
        <v>2.987</v>
      </c>
      <c r="D215" s="11" t="n">
        <v>3.9919</v>
      </c>
      <c r="E215" s="11" t="n">
        <v>2.2014</v>
      </c>
      <c r="F215" s="11" t="n">
        <v>5.1496</v>
      </c>
      <c r="G215" s="11" t="n">
        <v>4.2548</v>
      </c>
      <c r="H215" s="11" t="n">
        <v>4.1691</v>
      </c>
      <c r="I215" s="11" t="n">
        <v>3.9988</v>
      </c>
      <c r="J215" s="11" t="n">
        <v>3.9599</v>
      </c>
      <c r="K215" s="11" t="n">
        <v>4.4674</v>
      </c>
    </row>
    <row r="216">
      <c r="A216" s="9" t="n">
        <v>44713</v>
      </c>
      <c r="B216" s="11" t="n">
        <v>3.3129</v>
      </c>
      <c r="C216" s="11" t="n">
        <v>3.4647</v>
      </c>
      <c r="D216" s="11" t="n">
        <v>4.2927</v>
      </c>
      <c r="E216" s="11" t="n">
        <v>2.7516</v>
      </c>
      <c r="F216" s="11" t="n">
        <v>6.1827</v>
      </c>
      <c r="G216" s="11" t="n">
        <v>4.8242</v>
      </c>
      <c r="H216" s="11" t="n">
        <v>4.7032</v>
      </c>
      <c r="I216" s="11" t="n">
        <v>4.4628</v>
      </c>
      <c r="J216" s="11" t="n">
        <v>4.2441</v>
      </c>
      <c r="K216" s="11" t="n">
        <v>4.5714</v>
      </c>
    </row>
    <row r="217">
      <c r="A217" s="9" t="n">
        <v>44743</v>
      </c>
      <c r="B217" s="11" t="n">
        <v>3.1636</v>
      </c>
      <c r="C217" s="11" t="n">
        <v>3.6451</v>
      </c>
      <c r="D217" s="11" t="n">
        <v>4.6543</v>
      </c>
      <c r="E217" s="11" t="n">
        <v>2.4397</v>
      </c>
      <c r="F217" s="11" t="n">
        <v>6.0419</v>
      </c>
      <c r="G217" s="11" t="n">
        <v>5.1158</v>
      </c>
      <c r="H217" s="11" t="n">
        <v>5.0078</v>
      </c>
      <c r="I217" s="11" t="n">
        <v>4.8605</v>
      </c>
      <c r="J217" s="11" t="n">
        <v>4.7927</v>
      </c>
      <c r="K217" s="11" t="n">
        <v>4.9704</v>
      </c>
    </row>
    <row r="218">
      <c r="A218" s="9" t="n">
        <v>44774</v>
      </c>
      <c r="B218" s="11" t="n">
        <v>3.2312</v>
      </c>
      <c r="C218" s="11" t="n">
        <v>5.0085</v>
      </c>
      <c r="D218" s="11" t="n">
        <v>4.8933</v>
      </c>
      <c r="E218" s="11" t="n">
        <v>3.4273</v>
      </c>
      <c r="F218" s="11" t="n">
        <v>6.0068</v>
      </c>
      <c r="G218" s="11" t="n">
        <v>5.619</v>
      </c>
      <c r="H218" s="11" t="n">
        <v>5.5039</v>
      </c>
      <c r="I218" s="11" t="n">
        <v>5.2534</v>
      </c>
      <c r="J218" s="11" t="n">
        <v>5.2383</v>
      </c>
      <c r="K218" s="11" t="n">
        <v>5.2009</v>
      </c>
    </row>
    <row r="219">
      <c r="A219" s="9" t="n">
        <v>44805</v>
      </c>
      <c r="B219" s="11" t="n">
        <v>3.7788</v>
      </c>
      <c r="C219" s="11" t="n">
        <v>4.9026</v>
      </c>
      <c r="D219" s="11" t="n">
        <v>5.4996</v>
      </c>
      <c r="E219" s="11" t="n">
        <v>3.4844</v>
      </c>
      <c r="F219" s="11" t="n">
        <v>6.5563</v>
      </c>
      <c r="G219" s="11" t="n">
        <v>6.179</v>
      </c>
      <c r="H219" s="11" t="n">
        <v>6.0797</v>
      </c>
      <c r="I219" s="11" t="n">
        <v>5.7694</v>
      </c>
      <c r="J219" s="11" t="n">
        <v>5.8305</v>
      </c>
      <c r="K219" s="11" t="n">
        <v>6.0213</v>
      </c>
    </row>
    <row r="220">
      <c r="A220" s="9" t="n">
        <v>44835</v>
      </c>
      <c r="B220" s="11" t="n">
        <v>3.7938</v>
      </c>
      <c r="C220" s="11" t="n">
        <v>5.2928</v>
      </c>
      <c r="D220" s="11" t="n">
        <v>6.0052</v>
      </c>
      <c r="E220" s="11" t="n">
        <v>3.45</v>
      </c>
      <c r="F220" s="11" t="n">
        <v>6.9016</v>
      </c>
      <c r="G220" s="11" t="n">
        <v>6.2665</v>
      </c>
      <c r="H220" s="11" t="n">
        <v>6.1026</v>
      </c>
      <c r="I220" s="11" t="n">
        <v>5.9097</v>
      </c>
      <c r="J220" s="11" t="n">
        <v>6.1491</v>
      </c>
      <c r="K220" s="11" t="n">
        <v>6.5163</v>
      </c>
    </row>
    <row r="221">
      <c r="A221" s="9" t="n">
        <v>44866</v>
      </c>
      <c r="B221" s="11" t="n">
        <v>3.7602</v>
      </c>
      <c r="C221" s="11" t="n">
        <v>5.6832</v>
      </c>
      <c r="D221" s="11" t="n">
        <v>6.163</v>
      </c>
      <c r="E221" s="11" t="n">
        <v>3.5976</v>
      </c>
      <c r="F221" s="11" t="n">
        <v>6.8667</v>
      </c>
      <c r="G221" s="11" t="n">
        <v>6.2639</v>
      </c>
      <c r="H221" s="11" t="n">
        <v>6.1275</v>
      </c>
      <c r="I221" s="11" t="n">
        <v>5.845</v>
      </c>
      <c r="J221" s="11" t="n">
        <v>5.9256</v>
      </c>
      <c r="K221" s="11" t="n">
        <v>5.6625</v>
      </c>
    </row>
    <row r="222">
      <c r="A222" s="9" t="n">
        <v>44896</v>
      </c>
      <c r="B222" s="11" t="n">
        <v>3.8575</v>
      </c>
      <c r="C222" s="11" t="n">
        <v>6.0691</v>
      </c>
      <c r="D222" s="11" t="n">
        <v>6.2729</v>
      </c>
      <c r="E222" s="11" t="n">
        <v>3.9333</v>
      </c>
      <c r="F222" s="11" t="n">
        <v>6.8668</v>
      </c>
      <c r="G222" s="11" t="n">
        <v>6.2276</v>
      </c>
      <c r="H222" s="11" t="n">
        <v>6.1107</v>
      </c>
      <c r="I222" s="11" t="n">
        <v>5.8617</v>
      </c>
      <c r="J222" s="11" t="n">
        <v>5.709</v>
      </c>
      <c r="K222" s="11" t="n">
        <v>5.6433</v>
      </c>
    </row>
    <row r="223">
      <c r="A223" s="9" t="n">
        <v>44927</v>
      </c>
      <c r="B223" s="11" t="n">
        <v>3.915</v>
      </c>
      <c r="C223" s="11" t="n">
        <v>6.7433</v>
      </c>
      <c r="D223" s="11" t="n">
        <v>6.5873</v>
      </c>
      <c r="E223" s="11" t="n">
        <v>4.162</v>
      </c>
      <c r="F223" s="11" t="n">
        <v>8.043100000000001</v>
      </c>
      <c r="G223" s="11" t="n">
        <v>6.9742</v>
      </c>
      <c r="H223" s="11" t="n">
        <v>6.842</v>
      </c>
      <c r="I223" s="11" t="n">
        <v>6.7106</v>
      </c>
      <c r="J223" s="11" t="n">
        <v>6.9337</v>
      </c>
      <c r="K223" s="11" t="n">
        <v>6.9498</v>
      </c>
    </row>
    <row r="224">
      <c r="A224" s="9" t="n">
        <v>44958</v>
      </c>
      <c r="B224" s="11" t="n">
        <v>4.2385</v>
      </c>
      <c r="C224" s="11" t="n">
        <v>7.0608</v>
      </c>
      <c r="D224" s="11" t="n">
        <v>6.5511</v>
      </c>
      <c r="E224" s="11" t="n">
        <v>4.7438</v>
      </c>
      <c r="F224" s="11" t="n">
        <v>7.7996</v>
      </c>
      <c r="G224" s="11" t="n">
        <v>7.1946</v>
      </c>
      <c r="H224" s="11" t="n">
        <v>7.0308</v>
      </c>
      <c r="I224" s="11" t="n">
        <v>6.891</v>
      </c>
      <c r="J224" s="11" t="n">
        <v>6.996</v>
      </c>
      <c r="K224" s="11" t="n">
        <v>7.4246</v>
      </c>
    </row>
    <row r="225">
      <c r="A225" s="9" t="n">
        <v>44986</v>
      </c>
      <c r="B225" s="11" t="n">
        <v>4.2357</v>
      </c>
      <c r="C225" s="11" t="n">
        <v>6.4848</v>
      </c>
      <c r="D225" s="11" t="n">
        <v>6.2498</v>
      </c>
      <c r="E225" s="11" t="n">
        <v>4.5974</v>
      </c>
      <c r="F225" s="11" t="n">
        <v>6.67</v>
      </c>
      <c r="G225" s="11" t="n">
        <v>6.2015</v>
      </c>
      <c r="H225" s="11" t="n">
        <v>6.0902</v>
      </c>
      <c r="I225" s="11" t="n">
        <v>5.83</v>
      </c>
      <c r="J225" s="11" t="n">
        <v>5.8517</v>
      </c>
      <c r="K225" s="11" t="n">
        <v>5.618</v>
      </c>
    </row>
    <row r="226">
      <c r="A226" s="9" t="n">
        <v>45017</v>
      </c>
      <c r="B226" s="11" t="n">
        <v>4.3617</v>
      </c>
      <c r="C226" s="11" t="n">
        <v>6.3863</v>
      </c>
      <c r="D226" s="11" t="n">
        <v>5.9893</v>
      </c>
      <c r="E226" s="11" t="n">
        <v>4.8555</v>
      </c>
      <c r="F226" s="11" t="n">
        <v>6.9885</v>
      </c>
      <c r="G226" s="11" t="n">
        <v>6.4997</v>
      </c>
      <c r="H226" s="11" t="n">
        <v>6.3416</v>
      </c>
      <c r="I226" s="11" t="n">
        <v>5.922</v>
      </c>
      <c r="J226" s="11" t="n">
        <v>6.1469</v>
      </c>
      <c r="K226" s="11" t="n">
        <v>6.5717</v>
      </c>
    </row>
    <row r="227">
      <c r="A227" s="9" t="n">
        <v>45047</v>
      </c>
      <c r="B227" s="11" t="n">
        <v>4.366</v>
      </c>
      <c r="C227" s="11" t="n">
        <v>6.0836</v>
      </c>
      <c r="D227" s="11" t="n">
        <v>5.7566</v>
      </c>
      <c r="E227" s="11" t="n">
        <v>4.7842</v>
      </c>
      <c r="F227" s="11" t="n">
        <v>6.6028</v>
      </c>
      <c r="G227" s="11" t="n">
        <v>6.3044</v>
      </c>
      <c r="H227" s="11" t="n">
        <v>6.1725</v>
      </c>
      <c r="I227" s="11" t="n">
        <v>5.6856</v>
      </c>
      <c r="J227" s="11" t="n">
        <v>5.8745</v>
      </c>
      <c r="K227" s="11" t="n">
        <v>6.1384</v>
      </c>
    </row>
    <row r="228">
      <c r="A228" s="9" t="n">
        <v>45078</v>
      </c>
      <c r="B228" s="11" t="n">
        <v>4.336</v>
      </c>
      <c r="C228" s="11" t="n">
        <v>5.6526</v>
      </c>
      <c r="D228" s="11" t="n">
        <v>5.3785</v>
      </c>
      <c r="E228" s="11" t="n">
        <v>4.6881</v>
      </c>
      <c r="F228" s="11" t="n">
        <v>5.502</v>
      </c>
      <c r="G228" s="11" t="n">
        <v>5.2296</v>
      </c>
      <c r="H228" s="11" t="n">
        <v>5.119</v>
      </c>
      <c r="I228" s="11" t="n">
        <v>4.9798</v>
      </c>
      <c r="J228" s="11" t="n">
        <v>5.1916</v>
      </c>
      <c r="K228" s="11" t="n">
        <v>5.3377</v>
      </c>
    </row>
    <row r="229">
      <c r="A229" s="9" t="n">
        <v>45108</v>
      </c>
      <c r="B229" s="11" t="n">
        <v>4.4662</v>
      </c>
      <c r="C229" s="11" t="n">
        <v>5.0678</v>
      </c>
      <c r="D229" s="11" t="n">
        <v>5.1653</v>
      </c>
      <c r="E229" s="11" t="n">
        <v>4.4248</v>
      </c>
      <c r="F229" s="11" t="n">
        <v>5.1957</v>
      </c>
      <c r="G229" s="11" t="n">
        <v>5.0999</v>
      </c>
      <c r="H229" s="11" t="n">
        <v>5.0405</v>
      </c>
      <c r="I229" s="11" t="n">
        <v>5.0123</v>
      </c>
      <c r="J229" s="11" t="n">
        <v>5.248</v>
      </c>
      <c r="K229" s="11" t="n">
        <v>5.4645</v>
      </c>
    </row>
    <row r="230">
      <c r="A230" s="9" t="n">
        <v>45139</v>
      </c>
      <c r="B230" s="11" t="n">
        <v>4.2131</v>
      </c>
      <c r="C230" s="11" t="n">
        <v>3.8609</v>
      </c>
      <c r="D230" s="11" t="n">
        <v>4.9554</v>
      </c>
      <c r="E230" s="11" t="n">
        <v>3.3577</v>
      </c>
      <c r="F230" s="11" t="n">
        <v>4.4017</v>
      </c>
      <c r="G230" s="11" t="n">
        <v>4.5699</v>
      </c>
      <c r="H230" s="11" t="n">
        <v>4.5098</v>
      </c>
      <c r="I230" s="11" t="n">
        <v>4.4583</v>
      </c>
      <c r="J230" s="11" t="n">
        <v>4.5438</v>
      </c>
      <c r="K230" s="11" t="n">
        <v>4.8835</v>
      </c>
    </row>
    <row r="231">
      <c r="A231" s="9" t="n">
        <v>45170</v>
      </c>
      <c r="B231" s="11" t="n">
        <v>4.1357</v>
      </c>
      <c r="C231" s="11" t="n">
        <v>4.2009</v>
      </c>
      <c r="D231" s="11" t="n">
        <v>4.5701</v>
      </c>
      <c r="E231" s="11" t="n">
        <v>3.8997</v>
      </c>
      <c r="F231" s="11" t="n">
        <v>4.3057</v>
      </c>
      <c r="G231" s="11" t="n">
        <v>4.4737</v>
      </c>
      <c r="H231" s="11" t="n">
        <v>4.4613</v>
      </c>
      <c r="I231" s="11" t="n">
        <v>4.4679</v>
      </c>
      <c r="J231" s="11" t="n">
        <v>4.7613</v>
      </c>
      <c r="K231" s="11" t="n">
        <v>4.9409</v>
      </c>
    </row>
    <row r="232">
      <c r="A232" s="9" t="n">
        <v>45200</v>
      </c>
      <c r="B232" s="11" t="n">
        <v>4.0682</v>
      </c>
      <c r="C232" s="11" t="n">
        <v>3.6638</v>
      </c>
      <c r="D232" s="11" t="n">
        <v>4.0875</v>
      </c>
      <c r="E232" s="11" t="n">
        <v>3.7354</v>
      </c>
      <c r="F232" s="11" t="n">
        <v>3.4798</v>
      </c>
      <c r="G232" s="11" t="n">
        <v>4.0273</v>
      </c>
      <c r="H232" s="11" t="n">
        <v>4.0106</v>
      </c>
      <c r="I232" s="11" t="n">
        <v>4.0062</v>
      </c>
      <c r="J232" s="11" t="n">
        <v>4.1896</v>
      </c>
      <c r="K232" s="11" t="n">
        <v>4.3046</v>
      </c>
    </row>
    <row r="233">
      <c r="A233" s="9" t="n">
        <v>45231</v>
      </c>
      <c r="B233" s="11" t="n">
        <v>3.638</v>
      </c>
      <c r="C233" s="11" t="n">
        <v>2.8661</v>
      </c>
      <c r="D233" s="11" t="n">
        <v>3.6101</v>
      </c>
      <c r="E233" s="11" t="n">
        <v>3.0071</v>
      </c>
      <c r="F233" s="11" t="n">
        <v>2.6924</v>
      </c>
      <c r="G233" s="11" t="n">
        <v>3.2702</v>
      </c>
      <c r="H233" s="11" t="n">
        <v>3.2767</v>
      </c>
      <c r="I233" s="11" t="n">
        <v>3.265</v>
      </c>
      <c r="J233" s="11" t="n">
        <v>3.3002</v>
      </c>
      <c r="K233" s="11" t="n">
        <v>3.3369</v>
      </c>
    </row>
    <row r="234">
      <c r="A234" s="9" t="n">
        <v>45261</v>
      </c>
      <c r="B234" s="11" t="n">
        <v>3.57</v>
      </c>
      <c r="C234" s="11" t="n">
        <v>2.3094</v>
      </c>
      <c r="D234" s="11" t="n">
        <v>3.3238</v>
      </c>
      <c r="E234" s="11" t="n">
        <v>2.6906</v>
      </c>
      <c r="F234" s="11" t="n">
        <v>2.3522</v>
      </c>
      <c r="G234" s="11" t="n">
        <v>2.9489</v>
      </c>
      <c r="H234" s="11" t="n">
        <v>2.9563</v>
      </c>
      <c r="I234" s="11" t="n">
        <v>3.0193</v>
      </c>
      <c r="J234" s="11" t="n">
        <v>3.1057</v>
      </c>
      <c r="K234" s="11" t="n">
        <v>3.0983</v>
      </c>
    </row>
    <row r="235">
      <c r="A235" s="9" t="n">
        <v>45292</v>
      </c>
      <c r="B235" s="11" t="n">
        <v>3.1808</v>
      </c>
      <c r="C235" s="11" t="n">
        <v>2.137</v>
      </c>
      <c r="D235" s="11" t="n">
        <v>2.9242</v>
      </c>
      <c r="E235" s="11" t="n">
        <v>2.568</v>
      </c>
      <c r="F235" s="11" t="n">
        <v>2.0876</v>
      </c>
      <c r="G235" s="11" t="n">
        <v>2.5988</v>
      </c>
      <c r="H235" s="11" t="n">
        <v>2.7178</v>
      </c>
      <c r="I235" s="11" t="n">
        <v>2.8424</v>
      </c>
      <c r="J235" s="11" t="n">
        <v>2.8718</v>
      </c>
      <c r="K235" s="11" t="n">
        <v>3.1419</v>
      </c>
    </row>
    <row r="236">
      <c r="A236" s="9" t="n">
        <v>45323</v>
      </c>
      <c r="B236" s="11" t="n">
        <v>3.1285</v>
      </c>
      <c r="C236" s="11" t="n">
        <v>1.5857</v>
      </c>
      <c r="D236" s="11" t="n">
        <v>2.6238</v>
      </c>
      <c r="E236" s="11" t="n">
        <v>2.3159</v>
      </c>
      <c r="F236" s="11" t="n">
        <v>1.8238</v>
      </c>
      <c r="G236" s="11" t="n">
        <v>2.3448</v>
      </c>
      <c r="H236" s="11" t="n">
        <v>2.4277</v>
      </c>
      <c r="I236" s="11" t="n">
        <v>2.5529</v>
      </c>
      <c r="J236" s="11" t="n">
        <v>2.5688</v>
      </c>
      <c r="K236" s="11" t="n">
        <v>2.5026</v>
      </c>
    </row>
    <row r="237">
      <c r="A237" s="9" t="n">
        <v>45352</v>
      </c>
      <c r="B237" s="11" t="n">
        <v>3.1202</v>
      </c>
      <c r="C237" s="11" t="n">
        <v>1.2244</v>
      </c>
      <c r="D237" s="11" t="n">
        <v>2.5271</v>
      </c>
      <c r="E237" s="11" t="n">
        <v>2.0209</v>
      </c>
      <c r="F237" s="11" t="n">
        <v>1.7401</v>
      </c>
      <c r="G237" s="11" t="n">
        <v>2.0092</v>
      </c>
      <c r="H237" s="11" t="n">
        <v>2.0496</v>
      </c>
      <c r="I237" s="11" t="n">
        <v>2.1465</v>
      </c>
      <c r="J237" s="11" t="n">
        <v>2.2556</v>
      </c>
      <c r="K237" s="11" t="n">
        <v>2.4059</v>
      </c>
    </row>
    <row r="238">
      <c r="A238" s="9" t="n">
        <v>45383</v>
      </c>
      <c r="B238" s="11" t="n">
        <v>3.298</v>
      </c>
      <c r="C238" s="11" t="n">
        <v>0.9089</v>
      </c>
      <c r="D238" s="11" t="n">
        <v>2.4261</v>
      </c>
      <c r="E238" s="11" t="n">
        <v>2.0001</v>
      </c>
      <c r="F238" s="11" t="n">
        <v>1.5723</v>
      </c>
      <c r="G238" s="11" t="n">
        <v>2.0823</v>
      </c>
      <c r="H238" s="11" t="n">
        <v>2.1133</v>
      </c>
      <c r="I238" s="11" t="n">
        <v>2.184</v>
      </c>
      <c r="J238" s="11" t="n">
        <v>2.1457</v>
      </c>
      <c r="K238" s="11" t="n">
        <v>2.1429</v>
      </c>
    </row>
    <row r="239">
      <c r="A239" s="9" t="n">
        <v>45413</v>
      </c>
      <c r="B239" s="11" t="n">
        <v>3.3309</v>
      </c>
      <c r="C239" s="11" t="n">
        <v>0.8838</v>
      </c>
      <c r="D239" s="11" t="n">
        <v>2.2915</v>
      </c>
      <c r="E239" s="11" t="n">
        <v>2.1423</v>
      </c>
      <c r="F239" s="11" t="n">
        <v>1.4846</v>
      </c>
      <c r="G239" s="11" t="n">
        <v>1.9834</v>
      </c>
      <c r="H239" s="11" t="n">
        <v>2.0196</v>
      </c>
      <c r="I239" s="11" t="n">
        <v>2.0942</v>
      </c>
      <c r="J239" s="11" t="n">
        <v>1.9998</v>
      </c>
      <c r="K239" s="11" t="n">
        <v>2.0367</v>
      </c>
    </row>
    <row r="240">
      <c r="A240" s="9" t="n">
        <v>45444</v>
      </c>
      <c r="B240" s="11" t="n">
        <v>3.2299</v>
      </c>
      <c r="C240" s="11" t="n">
        <v>0.7306</v>
      </c>
      <c r="D240" s="11" t="n">
        <v>2.1638</v>
      </c>
      <c r="E240" s="11" t="n">
        <v>2.0353</v>
      </c>
      <c r="F240" s="11" t="n">
        <v>1.269</v>
      </c>
      <c r="G240" s="11" t="n">
        <v>1.6559</v>
      </c>
      <c r="H240" s="11" t="n">
        <v>1.6905</v>
      </c>
      <c r="I240" s="11" t="n">
        <v>1.7403</v>
      </c>
      <c r="J240" s="11" t="n">
        <v>1.641</v>
      </c>
      <c r="K240" s="11" t="n">
        <v>1.7365</v>
      </c>
    </row>
    <row r="241">
      <c r="A241" s="9" t="n">
        <v>45474</v>
      </c>
      <c r="B241" s="11" t="n">
        <v>3.2842</v>
      </c>
      <c r="C241" s="11" t="n">
        <v>1.2408</v>
      </c>
      <c r="D241" s="11" t="n">
        <v>2.0772</v>
      </c>
      <c r="E241" s="11" t="n">
        <v>2.6892</v>
      </c>
      <c r="F241" s="11" t="n">
        <v>1.418</v>
      </c>
      <c r="G241" s="11" t="n">
        <v>1.7049</v>
      </c>
      <c r="H241" s="11" t="n">
        <v>1.749</v>
      </c>
      <c r="I241" s="11" t="n">
        <v>1.9282</v>
      </c>
      <c r="J241" s="11" t="n">
        <v>1.8535</v>
      </c>
      <c r="K241" s="11" t="n">
        <v>1.7598</v>
      </c>
    </row>
    <row r="242">
      <c r="A242" s="9" t="n">
        <v>45505</v>
      </c>
      <c r="B242" s="11" t="n">
        <v>3.3162</v>
      </c>
      <c r="C242" s="11" t="n">
        <v>1.0252</v>
      </c>
      <c r="D242" s="11" t="n">
        <v>2.0488</v>
      </c>
      <c r="E242" s="11" t="n">
        <v>2.5691</v>
      </c>
      <c r="F242" s="11" t="n">
        <v>1.0807</v>
      </c>
      <c r="G242" s="11" t="n">
        <v>1.2681</v>
      </c>
      <c r="H242" s="11" t="n">
        <v>1.3113</v>
      </c>
      <c r="I242" s="11" t="n">
        <v>1.4255</v>
      </c>
      <c r="J242" s="11" t="n">
        <v>1.4275</v>
      </c>
      <c r="K242" s="11" t="n">
        <v>1.5674</v>
      </c>
    </row>
    <row r="243">
      <c r="A243" s="9" t="n">
        <v>45536</v>
      </c>
      <c r="B243" s="11" t="n">
        <v>3.1686</v>
      </c>
      <c r="C243" s="11" t="n">
        <v>0.2506</v>
      </c>
      <c r="D243" s="11" t="n">
        <v>2.0133</v>
      </c>
      <c r="E243" s="11" t="n">
        <v>1.7359</v>
      </c>
      <c r="F243" s="11" t="n">
        <v>0.726</v>
      </c>
      <c r="G243" s="11" t="n">
        <v>1.1918</v>
      </c>
      <c r="H243" s="11" t="n">
        <v>1.2341</v>
      </c>
      <c r="I243" s="11" t="n">
        <v>1.2709</v>
      </c>
      <c r="J243" s="11" t="n">
        <v>1.3377</v>
      </c>
      <c r="K243" s="11" t="n">
        <v>1.5907</v>
      </c>
    </row>
    <row r="244">
      <c r="A244" s="9" t="n">
        <v>45566</v>
      </c>
      <c r="B244" s="11" t="n">
        <v>2.9539</v>
      </c>
      <c r="C244" s="11" t="n">
        <v>0.6506</v>
      </c>
      <c r="D244" s="11" t="n">
        <v>2.0306</v>
      </c>
      <c r="E244" s="11" t="n">
        <v>1.8182</v>
      </c>
      <c r="F244" s="11" t="n">
        <v>1.052</v>
      </c>
      <c r="G244" s="11" t="n">
        <v>1.4968</v>
      </c>
      <c r="H244" s="11" t="n">
        <v>1.5672</v>
      </c>
      <c r="I244" s="11" t="n">
        <v>1.613</v>
      </c>
      <c r="J244" s="11" t="n">
        <v>1.5117</v>
      </c>
      <c r="K244" s="11" t="n">
        <v>1.641</v>
      </c>
    </row>
    <row r="245">
      <c r="A245" s="9" t="n">
        <v>45597</v>
      </c>
      <c r="B245" s="11" t="n">
        <v>2.9478</v>
      </c>
      <c r="C245" s="11" t="n">
        <v>0.8716</v>
      </c>
      <c r="D245" s="11" t="n">
        <v>2.104</v>
      </c>
      <c r="E245" s="11" t="n">
        <v>1.9123</v>
      </c>
      <c r="F245" s="11" t="n">
        <v>1.5581</v>
      </c>
      <c r="G245" s="11" t="n">
        <v>1.7543</v>
      </c>
      <c r="H245" s="11" t="n">
        <v>1.7461</v>
      </c>
      <c r="I245" s="11" t="n">
        <v>1.7343</v>
      </c>
      <c r="J245" s="11" t="n">
        <v>1.6817</v>
      </c>
      <c r="K245" s="11" t="n">
        <v>1.5464</v>
      </c>
    </row>
    <row r="246">
      <c r="A246" s="9" t="n">
        <v>45627</v>
      </c>
      <c r="B246" s="11" t="n">
        <v>2.7313</v>
      </c>
      <c r="C246" s="11" t="n">
        <v>0.576</v>
      </c>
      <c r="D246" s="11" t="n">
        <v>2.0451</v>
      </c>
      <c r="E246" s="11" t="n">
        <v>1.4862</v>
      </c>
      <c r="F246" s="11" t="n">
        <v>1.5239</v>
      </c>
      <c r="G246" s="11" t="n">
        <v>1.697</v>
      </c>
      <c r="H246" s="11" t="n">
        <v>1.7159</v>
      </c>
      <c r="I246" s="11" t="n">
        <v>1.7782</v>
      </c>
      <c r="J246" s="11" t="n">
        <v>1.8299</v>
      </c>
      <c r="K246" s="11" t="n">
        <v>1.8576</v>
      </c>
    </row>
    <row r="247">
      <c r="A247" s="9" t="n">
        <v>45658</v>
      </c>
      <c r="B247" s="11" t="n">
        <v>2.7661</v>
      </c>
      <c r="C247" s="11" t="n">
        <v>0.6148</v>
      </c>
      <c r="D247" s="11" t="n">
        <v>2.0241</v>
      </c>
      <c r="E247" s="11" t="n">
        <v>1.7001</v>
      </c>
      <c r="F247" s="11" t="n">
        <v>1.6225</v>
      </c>
      <c r="G247" s="11" t="n">
        <v>1.637</v>
      </c>
      <c r="H247" s="11" t="n">
        <v>1.6373</v>
      </c>
      <c r="I247" s="11" t="n">
        <v>1.6857</v>
      </c>
      <c r="J247" s="11" t="n">
        <v>1.7114</v>
      </c>
      <c r="K247" s="11" t="n">
        <v>1.7526</v>
      </c>
    </row>
    <row r="248">
      <c r="A248" s="9" t="n">
        <v>45689</v>
      </c>
      <c r="B248" s="11" t="n">
        <v>2.6359</v>
      </c>
      <c r="C248" s="11" t="n">
        <v>0.283</v>
      </c>
      <c r="D248" s="11" t="n">
        <v>2.1493</v>
      </c>
      <c r="E248" s="11" t="n">
        <v>1.2098</v>
      </c>
      <c r="F248" s="11" t="n">
        <v>1.6668</v>
      </c>
      <c r="G248" s="11" t="n">
        <v>1.7703</v>
      </c>
      <c r="H248" s="11" t="n">
        <v>1.7991</v>
      </c>
      <c r="I248" s="11" t="n">
        <v>1.9494</v>
      </c>
      <c r="J248" s="11" t="n">
        <v>2.0754</v>
      </c>
      <c r="K248" s="11" t="n">
        <v>1.9567</v>
      </c>
    </row>
    <row r="249">
      <c r="A249" s="9" t="n">
        <v>45717</v>
      </c>
      <c r="B249" s="11" t="n">
        <v>2.842</v>
      </c>
      <c r="C249" s="11" t="n">
        <v>0.6840000000000001</v>
      </c>
      <c r="D249" s="11" t="n">
        <v>2.2211</v>
      </c>
      <c r="E249" s="11" t="n">
        <v>1.5792</v>
      </c>
      <c r="F249" s="11" t="n">
        <v>2.1402</v>
      </c>
      <c r="G249" s="11" t="n">
        <v>2.1523</v>
      </c>
      <c r="H249" s="11" t="n">
        <v>2.1494</v>
      </c>
      <c r="I249" s="11" t="n">
        <v>2.2561</v>
      </c>
      <c r="J249" s="11" t="n">
        <v>2.2573</v>
      </c>
      <c r="K249" s="11" t="n">
        <v>2.0513</v>
      </c>
    </row>
    <row r="250">
      <c r="A250" s="9" t="n">
        <v>45748</v>
      </c>
      <c r="B250" s="11" t="n">
        <v>3.128</v>
      </c>
      <c r="C250" s="11" t="n">
        <v>1.0166</v>
      </c>
      <c r="D250" s="11" t="n">
        <v>2.3001</v>
      </c>
      <c r="E250" s="11" t="n">
        <v>2.0167</v>
      </c>
      <c r="F250" s="11" t="n">
        <v>2.1584</v>
      </c>
      <c r="G250" s="11" t="n">
        <v>2.3477</v>
      </c>
      <c r="H250" s="11" t="n">
        <v>2.3576</v>
      </c>
      <c r="I250" s="11" t="n">
        <v>2.3676</v>
      </c>
      <c r="J250" s="11" t="n">
        <v>2.4378</v>
      </c>
      <c r="K250" s="11" t="n">
        <v>2.2564</v>
      </c>
    </row>
    <row r="251">
      <c r="A251" s="9" t="n">
        <v>45778</v>
      </c>
      <c r="B251" s="11" t="n">
        <v>2.8828</v>
      </c>
      <c r="C251" s="11" t="n">
        <v>0.6850000000000001</v>
      </c>
      <c r="D251" s="11" t="n">
        <v>2.2297</v>
      </c>
      <c r="E251" s="11" t="n">
        <v>1.5612</v>
      </c>
      <c r="F251" s="11" t="n">
        <v>1.9349</v>
      </c>
      <c r="G251" s="11" t="n">
        <v>2.1279</v>
      </c>
      <c r="H251" s="11" t="n">
        <v>2.1294</v>
      </c>
      <c r="I251" s="11" t="n">
        <v>2.0858</v>
      </c>
      <c r="J251" s="11" t="n">
        <v>2.0679</v>
      </c>
      <c r="K251" s="11" t="n">
        <v>1.9447</v>
      </c>
    </row>
    <row r="252">
      <c r="A252" s="9" t="n">
        <v>45809</v>
      </c>
      <c r="B252" s="11" t="n">
        <v>2.9102</v>
      </c>
      <c r="C252" s="11" t="n">
        <v>0.8477</v>
      </c>
      <c r="D252" s="11" t="n">
        <v>2.3434</v>
      </c>
      <c r="E252" s="11" t="n">
        <v>1.6226</v>
      </c>
      <c r="F252" s="11" t="n">
        <v>1.9105</v>
      </c>
      <c r="G252" s="11" t="n">
        <v>2.0715</v>
      </c>
      <c r="H252" s="11" t="n">
        <v>2.0727</v>
      </c>
      <c r="I252" s="11" t="n">
        <v>2.0922</v>
      </c>
      <c r="J252" s="11" t="n">
        <v>2.0233</v>
      </c>
      <c r="K252" s="11" t="n">
        <v>1.9309</v>
      </c>
    </row>
    <row r="253">
      <c r="A253" s="9" t="n">
        <v>45839</v>
      </c>
      <c r="B253" s="11" t="n">
        <v>2.6832</v>
      </c>
      <c r="C253" s="11" t="n">
        <v>1.1643</v>
      </c>
      <c r="D253" s="11" t="n">
        <v>2.2609</v>
      </c>
      <c r="E253" s="11" t="n">
        <v>1.8115</v>
      </c>
      <c r="F253" s="11" t="n">
        <v>1.7768</v>
      </c>
      <c r="G253" s="11" t="n">
        <v>1.9096</v>
      </c>
      <c r="H253" s="11" t="n">
        <v>1.9267</v>
      </c>
      <c r="I253" s="11" t="n">
        <v>1.955</v>
      </c>
      <c r="J253" s="11" t="n">
        <v>1.8887</v>
      </c>
      <c r="K253" s="11" t="n">
        <v>1.8311</v>
      </c>
    </row>
    <row r="254">
      <c r="A254" s="9" t="n">
        <v>45870</v>
      </c>
      <c r="B254" s="11" t="n">
        <v>2.7274</v>
      </c>
      <c r="C254" s="11" t="n">
        <v>1.1082</v>
      </c>
      <c r="D254" s="11" t="n">
        <v>2.2079</v>
      </c>
      <c r="E254" s="11" t="n">
        <v>1.8602</v>
      </c>
      <c r="F254" s="11" t="n">
        <v>1.5616</v>
      </c>
      <c r="G254" s="11" t="n">
        <v>1.8433</v>
      </c>
      <c r="H254" s="11" t="n">
        <v>1.926</v>
      </c>
      <c r="I254" s="11" t="n">
        <v>1.9618</v>
      </c>
      <c r="J254" s="11" t="n">
        <v>1.9864</v>
      </c>
      <c r="K254" s="11" t="n">
        <v>1.925</v>
      </c>
    </row>
    <row r="255">
      <c r="A255" s="9" t="n">
        <v>45901</v>
      </c>
      <c r="B255" s="11" t="n">
        <v>2.9449</v>
      </c>
      <c r="C255" s="11" t="n">
        <v>1.0764</v>
      </c>
      <c r="D255" s="11" t="n">
        <v>2.3099</v>
      </c>
      <c r="E255" s="11" t="n">
        <v>1.8838</v>
      </c>
      <c r="F255" s="11" t="n">
        <v>1.8632</v>
      </c>
      <c r="G255" s="11" t="n">
        <v>2.061</v>
      </c>
      <c r="H255" s="11" t="n">
        <v>2.1162</v>
      </c>
      <c r="I255" s="11" t="n">
        <v>2.2393</v>
      </c>
      <c r="J255" s="11" t="n">
        <v>2.1608</v>
      </c>
      <c r="K255" s="11" t="n">
        <v>2.0134</v>
      </c>
    </row>
    <row r="256">
      <c r="A256" s="9" t="n">
        <v>45931</v>
      </c>
      <c r="B256" s="11" t="n">
        <v>2.9768</v>
      </c>
      <c r="C256" s="11" t="n">
        <v>0.7317</v>
      </c>
      <c r="D256" s="11" t="n">
        <v>2.337</v>
      </c>
      <c r="E256" s="11" t="n">
        <v>1.6214</v>
      </c>
      <c r="F256" s="11" t="n">
        <v>1.4944</v>
      </c>
      <c r="G256" s="11" t="n">
        <v>1.7843</v>
      </c>
      <c r="H256" s="11" t="n">
        <v>1.8078</v>
      </c>
      <c r="I256" s="11" t="n">
        <v>1.9121</v>
      </c>
      <c r="J256" s="11" t="n">
        <v>1.8051</v>
      </c>
      <c r="K256" s="11" t="n">
        <v>1.82</v>
      </c>
    </row>
    <row r="257">
      <c r="A257" s="9" t="n">
        <v>45962</v>
      </c>
      <c r="B257" s="11" t="n">
        <v>2.7903</v>
      </c>
      <c r="C257" s="11" t="n">
        <v>0.505</v>
      </c>
      <c r="D257" s="11" t="n">
        <v>2.2381</v>
      </c>
      <c r="E257" s="11" t="n">
        <v>1.3661</v>
      </c>
      <c r="F257" s="11" t="n">
        <v>1.3469</v>
      </c>
      <c r="G257" s="11" t="n">
        <v>1.6638</v>
      </c>
      <c r="H257" s="11" t="n">
        <v>1.6862</v>
      </c>
      <c r="I257" s="11" t="n">
        <v>1.7295</v>
      </c>
      <c r="J257" s="11" t="n">
        <v>1.673</v>
      </c>
      <c r="K257" s="11" t="n">
        <v>1.7172</v>
      </c>
    </row>
    <row r="258">
      <c r="A258" s="9" t="n">
        <v>45992</v>
      </c>
      <c r="B258" s="11" t="n">
        <v>2.6453</v>
      </c>
      <c r="C258" s="11" t="n">
        <v>0.8526</v>
      </c>
      <c r="D258" s="11" t="n">
        <v>2.3332</v>
      </c>
      <c r="E258" s="11" t="n">
        <v>1.4316</v>
      </c>
      <c r="F258" s="11" t="n">
        <v>1.4608</v>
      </c>
      <c r="G258" s="11" t="n">
        <v>1.6204</v>
      </c>
      <c r="H258" s="11" t="n">
        <v>1.6371</v>
      </c>
      <c r="I258" s="11" t="n">
        <v>1.7355</v>
      </c>
      <c r="J258" s="11" t="n">
        <v>1.6479</v>
      </c>
      <c r="K258" s="11" t="n">
        <v>1.7154</v>
      </c>
    </row>
    <row r="259">
      <c r="A259" s="9" t="n">
        <v>46023</v>
      </c>
      <c r="B259" s="11" t="n">
        <v>2.9389</v>
      </c>
      <c r="C259" s="11" t="n">
        <v>0.4092</v>
      </c>
      <c r="D259" s="11" t="n">
        <v>2.4283</v>
      </c>
      <c r="E259" s="11" t="n">
        <v>1.43</v>
      </c>
      <c r="F259" s="11" t="n">
        <v>1.3313</v>
      </c>
      <c r="G259" s="11" t="n">
        <v>1.6591</v>
      </c>
      <c r="H259" s="11" t="n">
        <v>1.7583</v>
      </c>
      <c r="I259" s="11" t="n">
        <v>1.903</v>
      </c>
      <c r="J259" s="11" t="n">
        <v>1.9862</v>
      </c>
      <c r="K259" s="11" t="n">
        <v>2.1277</v>
      </c>
    </row>
    <row r="260">
      <c r="A260" s="9" t="n">
        <v>46054</v>
      </c>
      <c r="B260" s="11" t="n">
        <v>3.8864</v>
      </c>
      <c r="C260" s="11" t="n">
        <v>1.1495</v>
      </c>
      <c r="D260" s="11" t="n">
        <v>2.4884</v>
      </c>
      <c r="E260" s="11" t="n">
        <v>2.926</v>
      </c>
      <c r="F260" s="11" t="n">
        <v>1.6792</v>
      </c>
      <c r="G260" s="11" t="n">
        <v>1.9565</v>
      </c>
      <c r="H260" s="11" t="n">
        <v>2.0223</v>
      </c>
      <c r="I260" s="11" t="n">
        <v>2.1388</v>
      </c>
      <c r="J260" s="11" t="n">
        <v>2.2386</v>
      </c>
      <c r="K260" s="11" t="n">
        <v>2.2245</v>
      </c>
    </row>
    <row r="261">
      <c r="A261" s="9" t="n">
        <v>46082</v>
      </c>
      <c r="B261" s="11" t="n">
        <v>2.9363</v>
      </c>
      <c r="C261" s="11" t="n">
        <v>0.5248</v>
      </c>
      <c r="D261" s="11" t="n">
        <v>2.4048</v>
      </c>
      <c r="E261" s="11" t="n">
        <v>1.4515</v>
      </c>
      <c r="F261" s="11" t="n">
        <v>1.8794</v>
      </c>
      <c r="G261" s="11" t="n">
        <v>2.0794</v>
      </c>
      <c r="H261" s="11" t="n">
        <v>2.1058</v>
      </c>
      <c r="I261" s="11" t="n">
        <v>2.2326</v>
      </c>
      <c r="J261" s="11" t="n">
        <v>2.3872</v>
      </c>
      <c r="K261" s="11" t="n">
        <v>2.5355</v>
      </c>
    </row>
    <row r="262">
      <c r="A262" s="9" t="n">
        <v>46113</v>
      </c>
      <c r="B262" s="11" t="n">
        <v>2.6017</v>
      </c>
      <c r="C262" s="11" t="n">
        <v>0.4473</v>
      </c>
      <c r="D262" s="11" t="n">
        <v>2.3206</v>
      </c>
      <c r="E262" s="11" t="n">
        <v>1.1042</v>
      </c>
      <c r="F262" s="11" t="n">
        <v>2.6772</v>
      </c>
      <c r="G262" s="11" t="n">
        <v>2.5085</v>
      </c>
      <c r="H262" s="11" t="n">
        <v>2.4919</v>
      </c>
      <c r="I262" s="11" t="n">
        <v>2.3997</v>
      </c>
      <c r="J262" s="11" t="n">
        <v>2.4531</v>
      </c>
      <c r="K262" s="11" t="n">
        <v>2.3976</v>
      </c>
    </row>
    <row r="263">
      <c r="A263" s="9" t="n">
        <v>46143</v>
      </c>
      <c r="B263" s="11" t="n">
        <v>2.8917</v>
      </c>
      <c r="C263" s="11" t="n">
        <v>0.7758</v>
      </c>
      <c r="D263" s="11" t="n">
        <v>2.4028</v>
      </c>
      <c r="E263" s="11" t="n">
        <v>1.5901</v>
      </c>
      <c r="F263" s="11" t="n">
        <v>2.8527</v>
      </c>
      <c r="G263" s="11" t="n">
        <v>2.5934</v>
      </c>
      <c r="H263" s="11" t="n">
        <v>2.5566</v>
      </c>
      <c r="I263" s="11" t="n">
        <v>2.5252</v>
      </c>
      <c r="J263" s="11" t="n">
        <v>2.6683</v>
      </c>
      <c r="K263" s="11" t="n">
        <v>2.9087</v>
      </c>
    </row>
    <row r="264">
      <c r="A264" s="9" t="n">
        <v>46174</v>
      </c>
      <c r="B264" s="11" t="n">
        <v>2.7017</v>
      </c>
      <c r="C264" s="11" t="n">
        <v>0.5442</v>
      </c>
      <c r="D264" s="11" t="n">
        <v>2.3046</v>
      </c>
      <c r="E264" s="11" t="n">
        <v>1.3008</v>
      </c>
      <c r="F264" s="11" t="n">
        <v>2.8369</v>
      </c>
      <c r="G264" s="11" t="n">
        <v>2.3305</v>
      </c>
      <c r="H264" s="11" t="n">
        <v>2.2959</v>
      </c>
      <c r="I264" s="11" t="n">
        <v>2.2906</v>
      </c>
      <c r="J264" s="11" t="n">
        <v>2.4462</v>
      </c>
      <c r="K264" s="11" t="n">
        <v>2.3023</v>
      </c>
    </row>
    <row r="265">
      <c r="A265" s="9" t="n">
        <v>46204</v>
      </c>
      <c r="B265" s="11" t="n">
        <v>2.8773</v>
      </c>
      <c r="C265" s="11" t="n">
        <v>0.3767</v>
      </c>
      <c r="D265" s="11" t="n">
        <v>2.2696</v>
      </c>
      <c r="E265" s="11" t="n">
        <v>1.4692</v>
      </c>
      <c r="F265" s="11" t="n">
        <v>2.6298</v>
      </c>
      <c r="G265" s="11" t="n">
        <v>2.1699</v>
      </c>
      <c r="H265" s="11" t="n">
        <v>2.126</v>
      </c>
      <c r="I265" s="11" t="n">
        <v>2.1564</v>
      </c>
      <c r="J265" s="11" t="n">
        <v>2.3062</v>
      </c>
      <c r="K265" s="11" t="n">
        <v>2.2</v>
      </c>
    </row>
    <row r="266">
      <c r="A266" s="9" t="n">
        <v>46235</v>
      </c>
      <c r="B266" s="11" t="n">
        <v>2.7531</v>
      </c>
      <c r="C266" s="11" t="n">
        <v>0.2101</v>
      </c>
      <c r="D266" s="11" t="n">
        <v>2.3562</v>
      </c>
      <c r="E266" s="11" t="n">
        <v>1.1659</v>
      </c>
      <c r="F266" s="11" t="n">
        <v>2.8687</v>
      </c>
      <c r="G266" s="11" t="n">
        <v>2.0753</v>
      </c>
      <c r="H266" s="11" t="n">
        <v>2.0174</v>
      </c>
      <c r="I266" s="11" t="n">
        <v>2.1036</v>
      </c>
      <c r="J266" s="11" t="n">
        <v>2.3691</v>
      </c>
      <c r="K266" s="11" t="n">
        <v>2.3116</v>
      </c>
    </row>
    <row r="267">
      <c r="A267" s="9" t="n">
        <v>46266</v>
      </c>
      <c r="B267" s="11" t="n">
        <v>2.6842</v>
      </c>
      <c r="C267" s="11" t="n">
        <v>0.6972</v>
      </c>
      <c r="D267" s="11" t="n">
        <v>2.2583</v>
      </c>
      <c r="E267" s="11" t="n">
        <v>1.466</v>
      </c>
      <c r="F267" s="11" t="n">
        <v>3.3263</v>
      </c>
      <c r="G267" s="11" t="n">
        <v>2.2305</v>
      </c>
      <c r="H267" s="11" t="n">
        <v>2.1143</v>
      </c>
      <c r="I267" s="11" t="n">
        <v>2.0883</v>
      </c>
      <c r="J267" s="11" t="n">
        <v>2.2702</v>
      </c>
      <c r="K267" s="11" t="n">
        <v>2.5</v>
      </c>
    </row>
    <row r="270">
      <c r="A270" s="13" t="inlineStr">
        <is>
          <t>Germania - misure sottostanti, a/a %</t>
        </is>
      </c>
    </row>
    <row r="271">
      <c r="A271" s="5" t="inlineStr">
        <is>
          <t>Mese</t>
        </is>
      </c>
      <c r="B271" s="5" t="inlineStr">
        <is>
          <t>Domestica (voci HICPX a basso import, flag BCE)</t>
        </is>
      </c>
      <c r="C271" s="5" t="inlineStr">
        <is>
          <t>Importata (voci HICPX non domestiche)</t>
        </is>
      </c>
      <c r="D271" s="5" t="inlineStr">
        <is>
          <t>Supercore (voci cicliche, flag BCE)</t>
        </is>
      </c>
      <c r="E271" s="5" t="inlineStr">
        <is>
          <t>Non Supercore (voci HICPX acicliche)</t>
        </is>
      </c>
      <c r="F271" s="5" t="inlineStr">
        <is>
          <t>Media troncata 10%</t>
        </is>
      </c>
      <c r="G271" s="5" t="inlineStr">
        <is>
          <t>Media troncata 25%</t>
        </is>
      </c>
      <c r="H271" s="5" t="inlineStr">
        <is>
          <t>Media troncata 30%</t>
        </is>
      </c>
      <c r="I271" s="5" t="inlineStr">
        <is>
          <t>Media troncata 50%</t>
        </is>
      </c>
      <c r="J271" s="5" t="inlineStr">
        <is>
          <t>Media troncata 75%</t>
        </is>
      </c>
      <c r="K271" s="5" t="inlineStr">
        <is>
          <t>Mediana ponderata</t>
        </is>
      </c>
    </row>
    <row r="272">
      <c r="A272" s="9" t="n">
        <v>42370</v>
      </c>
      <c r="B272" s="11" t="n">
        <v>1.1923</v>
      </c>
      <c r="C272" s="11" t="n">
        <v>1.0373</v>
      </c>
      <c r="D272" s="11" t="n">
        <v>1.4765</v>
      </c>
      <c r="E272" s="11" t="n">
        <v>0.9959</v>
      </c>
      <c r="F272" s="11" t="n">
        <v>0.8295</v>
      </c>
      <c r="G272" s="11" t="n">
        <v>0.9124</v>
      </c>
      <c r="H272" s="11" t="n">
        <v>0.9326</v>
      </c>
      <c r="I272" s="11" t="n">
        <v>0.9355</v>
      </c>
      <c r="J272" s="11" t="n">
        <v>0.9928</v>
      </c>
      <c r="K272" s="11" t="n">
        <v>1.0942</v>
      </c>
    </row>
    <row r="273">
      <c r="A273" s="9" t="n">
        <v>42401</v>
      </c>
      <c r="B273" s="11" t="n">
        <v>1.1912</v>
      </c>
      <c r="C273" s="11" t="n">
        <v>0.5838</v>
      </c>
      <c r="D273" s="11" t="n">
        <v>1.5607</v>
      </c>
      <c r="E273" s="11" t="n">
        <v>0.6651</v>
      </c>
      <c r="F273" s="11" t="n">
        <v>0.6228</v>
      </c>
      <c r="G273" s="11" t="n">
        <v>0.758</v>
      </c>
      <c r="H273" s="11" t="n">
        <v>0.7879</v>
      </c>
      <c r="I273" s="11" t="n">
        <v>0.8425</v>
      </c>
      <c r="J273" s="11" t="n">
        <v>0.9243</v>
      </c>
      <c r="K273" s="11" t="n">
        <v>1.1316</v>
      </c>
    </row>
    <row r="274">
      <c r="A274" s="9" t="n">
        <v>42430</v>
      </c>
      <c r="B274" s="11" t="n">
        <v>1.1676</v>
      </c>
      <c r="C274" s="11" t="n">
        <v>1.4553</v>
      </c>
      <c r="D274" s="11" t="n">
        <v>1.4603</v>
      </c>
      <c r="E274" s="11" t="n">
        <v>1.242</v>
      </c>
      <c r="F274" s="11" t="n">
        <v>0.9645</v>
      </c>
      <c r="G274" s="11" t="n">
        <v>0.9431</v>
      </c>
      <c r="H274" s="11" t="n">
        <v>0.9453</v>
      </c>
      <c r="I274" s="11" t="n">
        <v>0.9495</v>
      </c>
      <c r="J274" s="11" t="n">
        <v>0.9445</v>
      </c>
      <c r="K274" s="11" t="n">
        <v>1.1161</v>
      </c>
    </row>
    <row r="275">
      <c r="A275" s="9" t="n">
        <v>42461</v>
      </c>
      <c r="B275" s="11" t="n">
        <v>1.2252</v>
      </c>
      <c r="C275" s="11" t="n">
        <v>-0.015</v>
      </c>
      <c r="D275" s="11" t="n">
        <v>1.3008</v>
      </c>
      <c r="E275" s="11" t="n">
        <v>0.393</v>
      </c>
      <c r="F275" s="11" t="n">
        <v>0.4607</v>
      </c>
      <c r="G275" s="11" t="n">
        <v>0.8389</v>
      </c>
      <c r="H275" s="11" t="n">
        <v>0.8909</v>
      </c>
      <c r="I275" s="11" t="n">
        <v>0.9523</v>
      </c>
      <c r="J275" s="11" t="n">
        <v>0.9472</v>
      </c>
      <c r="K275" s="11" t="n">
        <v>1.079</v>
      </c>
    </row>
    <row r="276">
      <c r="A276" s="9" t="n">
        <v>42491</v>
      </c>
      <c r="B276" s="11" t="n">
        <v>1.2216</v>
      </c>
      <c r="C276" s="11" t="n">
        <v>0.7249</v>
      </c>
      <c r="D276" s="11" t="n">
        <v>1.2784</v>
      </c>
      <c r="E276" s="11" t="n">
        <v>0.8747</v>
      </c>
      <c r="F276" s="11" t="n">
        <v>0.7081</v>
      </c>
      <c r="G276" s="11" t="n">
        <v>0.902</v>
      </c>
      <c r="H276" s="11" t="n">
        <v>0.9624</v>
      </c>
      <c r="I276" s="11" t="n">
        <v>1.0794</v>
      </c>
      <c r="J276" s="11" t="n">
        <v>1.0749</v>
      </c>
      <c r="K276" s="11" t="n">
        <v>1.0544</v>
      </c>
    </row>
    <row r="277">
      <c r="A277" s="9" t="n">
        <v>42522</v>
      </c>
      <c r="B277" s="11" t="n">
        <v>1.3125</v>
      </c>
      <c r="C277" s="11" t="n">
        <v>0.6149</v>
      </c>
      <c r="D277" s="11" t="n">
        <v>1.3026</v>
      </c>
      <c r="E277" s="11" t="n">
        <v>0.8602</v>
      </c>
      <c r="F277" s="11" t="n">
        <v>0.6979</v>
      </c>
      <c r="G277" s="11" t="n">
        <v>0.8347</v>
      </c>
      <c r="H277" s="11" t="n">
        <v>0.8822</v>
      </c>
      <c r="I277" s="11" t="n">
        <v>0.9404</v>
      </c>
      <c r="J277" s="11" t="n">
        <v>1.0147</v>
      </c>
      <c r="K277" s="11" t="n">
        <v>1.0653</v>
      </c>
    </row>
    <row r="278">
      <c r="A278" s="9" t="n">
        <v>42552</v>
      </c>
      <c r="B278" s="11" t="n">
        <v>1.4062</v>
      </c>
      <c r="C278" s="11" t="n">
        <v>1.1273</v>
      </c>
      <c r="D278" s="11" t="n">
        <v>1.2947</v>
      </c>
      <c r="E278" s="11" t="n">
        <v>1.2565</v>
      </c>
      <c r="F278" s="11" t="n">
        <v>0.9026</v>
      </c>
      <c r="G278" s="11" t="n">
        <v>1.0296</v>
      </c>
      <c r="H278" s="11" t="n">
        <v>1.0388</v>
      </c>
      <c r="I278" s="11" t="n">
        <v>1.017</v>
      </c>
      <c r="J278" s="11" t="n">
        <v>1.0033</v>
      </c>
      <c r="K278" s="11" t="n">
        <v>1.1235</v>
      </c>
    </row>
    <row r="279">
      <c r="A279" s="9" t="n">
        <v>42583</v>
      </c>
      <c r="B279" s="11" t="n">
        <v>1.3788</v>
      </c>
      <c r="C279" s="11" t="n">
        <v>0.5506</v>
      </c>
      <c r="D279" s="11" t="n">
        <v>1.0419</v>
      </c>
      <c r="E279" s="11" t="n">
        <v>0.9544</v>
      </c>
      <c r="F279" s="11" t="n">
        <v>0.7198</v>
      </c>
      <c r="G279" s="11" t="n">
        <v>0.8310999999999999</v>
      </c>
      <c r="H279" s="11" t="n">
        <v>0.8628</v>
      </c>
      <c r="I279" s="11" t="n">
        <v>0.9543</v>
      </c>
      <c r="J279" s="11" t="n">
        <v>0.9798</v>
      </c>
      <c r="K279" s="11" t="n">
        <v>1.2172</v>
      </c>
    </row>
    <row r="280">
      <c r="A280" s="9" t="n">
        <v>42614</v>
      </c>
      <c r="B280" s="11" t="n">
        <v>1.4418</v>
      </c>
      <c r="C280" s="11" t="n">
        <v>0.5498</v>
      </c>
      <c r="D280" s="11" t="n">
        <v>1.1042</v>
      </c>
      <c r="E280" s="11" t="n">
        <v>0.9816</v>
      </c>
      <c r="F280" s="11" t="n">
        <v>0.7696</v>
      </c>
      <c r="G280" s="11" t="n">
        <v>0.8975</v>
      </c>
      <c r="H280" s="11" t="n">
        <v>0.9377</v>
      </c>
      <c r="I280" s="11" t="n">
        <v>1.0212</v>
      </c>
      <c r="J280" s="11" t="n">
        <v>1.0776</v>
      </c>
      <c r="K280" s="11" t="n">
        <v>1.1869</v>
      </c>
    </row>
    <row r="281">
      <c r="A281" s="9" t="n">
        <v>42644</v>
      </c>
      <c r="B281" s="11" t="n">
        <v>1.4431</v>
      </c>
      <c r="C281" s="11" t="n">
        <v>0.5708</v>
      </c>
      <c r="D281" s="11" t="n">
        <v>1.1012</v>
      </c>
      <c r="E281" s="11" t="n">
        <v>0.9989</v>
      </c>
      <c r="F281" s="11" t="n">
        <v>0.8656</v>
      </c>
      <c r="G281" s="11" t="n">
        <v>1.0036</v>
      </c>
      <c r="H281" s="11" t="n">
        <v>1.0188</v>
      </c>
      <c r="I281" s="11" t="n">
        <v>1.0705</v>
      </c>
      <c r="J281" s="11" t="n">
        <v>1.111</v>
      </c>
      <c r="K281" s="11" t="n">
        <v>0.9758</v>
      </c>
    </row>
    <row r="282">
      <c r="A282" s="9" t="n">
        <v>42675</v>
      </c>
      <c r="B282" s="11" t="n">
        <v>1.4321</v>
      </c>
      <c r="C282" s="11" t="n">
        <v>0.6401</v>
      </c>
      <c r="D282" s="11" t="n">
        <v>1.0475</v>
      </c>
      <c r="E282" s="11" t="n">
        <v>1.0791</v>
      </c>
      <c r="F282" s="11" t="n">
        <v>0.8501</v>
      </c>
      <c r="G282" s="11" t="n">
        <v>1.0213</v>
      </c>
      <c r="H282" s="11" t="n">
        <v>1.0541</v>
      </c>
      <c r="I282" s="11" t="n">
        <v>1.1599</v>
      </c>
      <c r="J282" s="11" t="n">
        <v>1.2679</v>
      </c>
      <c r="K282" s="11" t="n">
        <v>1.4619</v>
      </c>
    </row>
    <row r="283">
      <c r="A283" s="9" t="n">
        <v>42705</v>
      </c>
      <c r="B283" s="11" t="n">
        <v>1.4428</v>
      </c>
      <c r="C283" s="11" t="n">
        <v>1.0185</v>
      </c>
      <c r="D283" s="11" t="n">
        <v>1.1191</v>
      </c>
      <c r="E283" s="11" t="n">
        <v>1.294</v>
      </c>
      <c r="F283" s="11" t="n">
        <v>1.4631</v>
      </c>
      <c r="G283" s="11" t="n">
        <v>1.3994</v>
      </c>
      <c r="H283" s="11" t="n">
        <v>1.4094</v>
      </c>
      <c r="I283" s="11" t="n">
        <v>1.4444</v>
      </c>
      <c r="J283" s="11" t="n">
        <v>1.5215</v>
      </c>
      <c r="K283" s="11" t="n">
        <v>1.5439</v>
      </c>
    </row>
    <row r="284">
      <c r="A284" s="9" t="n">
        <v>42736</v>
      </c>
      <c r="B284" s="11" t="n">
        <v>1.0934</v>
      </c>
      <c r="C284" s="11" t="n">
        <v>0.7658</v>
      </c>
      <c r="D284" s="11" t="n">
        <v>1.1144</v>
      </c>
      <c r="E284" s="11" t="n">
        <v>0.8663</v>
      </c>
      <c r="F284" s="11" t="n">
        <v>1.5298</v>
      </c>
      <c r="G284" s="11" t="n">
        <v>1.3441</v>
      </c>
      <c r="H284" s="11" t="n">
        <v>1.3551</v>
      </c>
      <c r="I284" s="11" t="n">
        <v>1.3515</v>
      </c>
      <c r="J284" s="11" t="n">
        <v>1.3814</v>
      </c>
      <c r="K284" s="11" t="n">
        <v>1.3872</v>
      </c>
    </row>
    <row r="285">
      <c r="A285" s="9" t="n">
        <v>42767</v>
      </c>
      <c r="B285" s="11" t="n">
        <v>1.1668</v>
      </c>
      <c r="C285" s="11" t="n">
        <v>0.9129</v>
      </c>
      <c r="D285" s="11" t="n">
        <v>1.2197</v>
      </c>
      <c r="E285" s="11" t="n">
        <v>0.9762999999999999</v>
      </c>
      <c r="F285" s="11" t="n">
        <v>1.6749</v>
      </c>
      <c r="G285" s="11" t="n">
        <v>1.382</v>
      </c>
      <c r="H285" s="11" t="n">
        <v>1.3778</v>
      </c>
      <c r="I285" s="11" t="n">
        <v>1.3853</v>
      </c>
      <c r="J285" s="11" t="n">
        <v>1.4904</v>
      </c>
      <c r="K285" s="11" t="n">
        <v>1.4919</v>
      </c>
    </row>
    <row r="286">
      <c r="A286" s="9" t="n">
        <v>42795</v>
      </c>
      <c r="B286" s="11" t="n">
        <v>1.0945</v>
      </c>
      <c r="C286" s="11" t="n">
        <v>0.5276999999999999</v>
      </c>
      <c r="D286" s="11" t="n">
        <v>1.1802</v>
      </c>
      <c r="E286" s="11" t="n">
        <v>0.6929</v>
      </c>
      <c r="F286" s="11" t="n">
        <v>1.4799</v>
      </c>
      <c r="G286" s="11" t="n">
        <v>1.4844</v>
      </c>
      <c r="H286" s="11" t="n">
        <v>1.4878</v>
      </c>
      <c r="I286" s="11" t="n">
        <v>1.5016</v>
      </c>
      <c r="J286" s="11" t="n">
        <v>1.5486</v>
      </c>
      <c r="K286" s="11" t="n">
        <v>1.644</v>
      </c>
    </row>
    <row r="287">
      <c r="A287" s="9" t="n">
        <v>42826</v>
      </c>
      <c r="B287" s="11" t="n">
        <v>1.1185</v>
      </c>
      <c r="C287" s="11" t="n">
        <v>2.1645</v>
      </c>
      <c r="D287" s="11" t="n">
        <v>1.233</v>
      </c>
      <c r="E287" s="11" t="n">
        <v>1.7473</v>
      </c>
      <c r="F287" s="11" t="n">
        <v>1.8963</v>
      </c>
      <c r="G287" s="11" t="n">
        <v>1.5883</v>
      </c>
      <c r="H287" s="11" t="n">
        <v>1.5643</v>
      </c>
      <c r="I287" s="11" t="n">
        <v>1.4826</v>
      </c>
      <c r="J287" s="11" t="n">
        <v>1.5833</v>
      </c>
      <c r="K287" s="11" t="n">
        <v>1.6652</v>
      </c>
    </row>
    <row r="288">
      <c r="A288" s="9" t="n">
        <v>42856</v>
      </c>
      <c r="B288" s="11" t="n">
        <v>1.1833</v>
      </c>
      <c r="C288" s="11" t="n">
        <v>0.9347</v>
      </c>
      <c r="D288" s="11" t="n">
        <v>1.2816</v>
      </c>
      <c r="E288" s="11" t="n">
        <v>0.9844000000000001</v>
      </c>
      <c r="F288" s="11" t="n">
        <v>1.3654</v>
      </c>
      <c r="G288" s="11" t="n">
        <v>1.4133</v>
      </c>
      <c r="H288" s="11" t="n">
        <v>1.4192</v>
      </c>
      <c r="I288" s="11" t="n">
        <v>1.4394</v>
      </c>
      <c r="J288" s="11" t="n">
        <v>1.5586</v>
      </c>
      <c r="K288" s="11" t="n">
        <v>1.5081</v>
      </c>
    </row>
    <row r="289">
      <c r="A289" s="9" t="n">
        <v>42887</v>
      </c>
      <c r="B289" s="11" t="n">
        <v>1.2347</v>
      </c>
      <c r="C289" s="11" t="n">
        <v>2.2578</v>
      </c>
      <c r="D289" s="11" t="n">
        <v>1.3834</v>
      </c>
      <c r="E289" s="11" t="n">
        <v>1.8417</v>
      </c>
      <c r="F289" s="11" t="n">
        <v>1.5176</v>
      </c>
      <c r="G289" s="11" t="n">
        <v>1.4312</v>
      </c>
      <c r="H289" s="11" t="n">
        <v>1.423</v>
      </c>
      <c r="I289" s="11" t="n">
        <v>1.4302</v>
      </c>
      <c r="J289" s="11" t="n">
        <v>1.58</v>
      </c>
      <c r="K289" s="11" t="n">
        <v>1.6295</v>
      </c>
    </row>
    <row r="290">
      <c r="A290" s="9" t="n">
        <v>42917</v>
      </c>
      <c r="B290" s="11" t="n">
        <v>1.2287</v>
      </c>
      <c r="C290" s="11" t="n">
        <v>1.9951</v>
      </c>
      <c r="D290" s="11" t="n">
        <v>1.5157</v>
      </c>
      <c r="E290" s="11" t="n">
        <v>1.6247</v>
      </c>
      <c r="F290" s="11" t="n">
        <v>1.6054</v>
      </c>
      <c r="G290" s="11" t="n">
        <v>1.5642</v>
      </c>
      <c r="H290" s="11" t="n">
        <v>1.5547</v>
      </c>
      <c r="I290" s="11" t="n">
        <v>1.5665</v>
      </c>
      <c r="J290" s="11" t="n">
        <v>1.606</v>
      </c>
      <c r="K290" s="11" t="n">
        <v>1.7766</v>
      </c>
    </row>
    <row r="291">
      <c r="A291" s="9" t="n">
        <v>42948</v>
      </c>
      <c r="B291" s="11" t="n">
        <v>1.3207</v>
      </c>
      <c r="C291" s="11" t="n">
        <v>2.0319</v>
      </c>
      <c r="D291" s="11" t="n">
        <v>1.6962</v>
      </c>
      <c r="E291" s="11" t="n">
        <v>1.6467</v>
      </c>
      <c r="F291" s="11" t="n">
        <v>1.8134</v>
      </c>
      <c r="G291" s="11" t="n">
        <v>1.7932</v>
      </c>
      <c r="H291" s="11" t="n">
        <v>1.7844</v>
      </c>
      <c r="I291" s="11" t="n">
        <v>1.7636</v>
      </c>
      <c r="J291" s="11" t="n">
        <v>1.783</v>
      </c>
      <c r="K291" s="11" t="n">
        <v>1.7046</v>
      </c>
    </row>
    <row r="292">
      <c r="A292" s="9" t="n">
        <v>42979</v>
      </c>
      <c r="B292" s="11" t="n">
        <v>1.2699</v>
      </c>
      <c r="C292" s="11" t="n">
        <v>1.9043</v>
      </c>
      <c r="D292" s="11" t="n">
        <v>1.6736</v>
      </c>
      <c r="E292" s="11" t="n">
        <v>1.5308</v>
      </c>
      <c r="F292" s="11" t="n">
        <v>1.7542</v>
      </c>
      <c r="G292" s="11" t="n">
        <v>1.7331</v>
      </c>
      <c r="H292" s="11" t="n">
        <v>1.7075</v>
      </c>
      <c r="I292" s="11" t="n">
        <v>1.7019</v>
      </c>
      <c r="J292" s="11" t="n">
        <v>1.7247</v>
      </c>
      <c r="K292" s="11" t="n">
        <v>1.6317</v>
      </c>
    </row>
    <row r="293">
      <c r="A293" s="9" t="n">
        <v>43009</v>
      </c>
      <c r="B293" s="11" t="n">
        <v>1.0973</v>
      </c>
      <c r="C293" s="11" t="n">
        <v>1.0303</v>
      </c>
      <c r="D293" s="11" t="n">
        <v>1.6639</v>
      </c>
      <c r="E293" s="11" t="n">
        <v>0.8383</v>
      </c>
      <c r="F293" s="11" t="n">
        <v>1.3913</v>
      </c>
      <c r="G293" s="11" t="n">
        <v>1.3552</v>
      </c>
      <c r="H293" s="11" t="n">
        <v>1.3516</v>
      </c>
      <c r="I293" s="11" t="n">
        <v>1.3706</v>
      </c>
      <c r="J293" s="11" t="n">
        <v>1.4547</v>
      </c>
      <c r="K293" s="11" t="n">
        <v>1.5473</v>
      </c>
    </row>
    <row r="294">
      <c r="A294" s="9" t="n">
        <v>43040</v>
      </c>
      <c r="B294" s="11" t="n">
        <v>1.1026</v>
      </c>
      <c r="C294" s="11" t="n">
        <v>1.4807</v>
      </c>
      <c r="D294" s="11" t="n">
        <v>1.7798</v>
      </c>
      <c r="E294" s="11" t="n">
        <v>1.0747</v>
      </c>
      <c r="F294" s="11" t="n">
        <v>1.743</v>
      </c>
      <c r="G294" s="11" t="n">
        <v>1.6899</v>
      </c>
      <c r="H294" s="11" t="n">
        <v>1.6536</v>
      </c>
      <c r="I294" s="11" t="n">
        <v>1.5761</v>
      </c>
      <c r="J294" s="11" t="n">
        <v>1.6415</v>
      </c>
      <c r="K294" s="11" t="n">
        <v>1.6152</v>
      </c>
    </row>
    <row r="295">
      <c r="A295" s="9" t="n">
        <v>43070</v>
      </c>
      <c r="B295" s="11" t="n">
        <v>1.1257</v>
      </c>
      <c r="C295" s="11" t="n">
        <v>1.4038</v>
      </c>
      <c r="D295" s="11" t="n">
        <v>1.8076</v>
      </c>
      <c r="E295" s="11" t="n">
        <v>1.04</v>
      </c>
      <c r="F295" s="11" t="n">
        <v>1.5644</v>
      </c>
      <c r="G295" s="11" t="n">
        <v>1.556</v>
      </c>
      <c r="H295" s="11" t="n">
        <v>1.5563</v>
      </c>
      <c r="I295" s="11" t="n">
        <v>1.5787</v>
      </c>
      <c r="J295" s="11" t="n">
        <v>1.5938</v>
      </c>
      <c r="K295" s="11" t="n">
        <v>1.6481</v>
      </c>
    </row>
    <row r="296">
      <c r="A296" s="9" t="n">
        <v>43101</v>
      </c>
      <c r="B296" s="11" t="n">
        <v>1.5195</v>
      </c>
      <c r="C296" s="11" t="n">
        <v>0.8539</v>
      </c>
      <c r="D296" s="11" t="n">
        <v>1.8171</v>
      </c>
      <c r="E296" s="11" t="n">
        <v>0.9556</v>
      </c>
      <c r="F296" s="11" t="n">
        <v>1.3548</v>
      </c>
      <c r="G296" s="11" t="n">
        <v>1.2738</v>
      </c>
      <c r="H296" s="11" t="n">
        <v>1.2588</v>
      </c>
      <c r="I296" s="11" t="n">
        <v>1.3234</v>
      </c>
      <c r="J296" s="11" t="n">
        <v>1.5011</v>
      </c>
      <c r="K296" s="11" t="n">
        <v>1.5714</v>
      </c>
    </row>
    <row r="297">
      <c r="A297" s="9" t="n">
        <v>43132</v>
      </c>
      <c r="B297" s="11" t="n">
        <v>1.482</v>
      </c>
      <c r="C297" s="11" t="n">
        <v>1.11</v>
      </c>
      <c r="D297" s="11" t="n">
        <v>1.6694</v>
      </c>
      <c r="E297" s="11" t="n">
        <v>1.1548</v>
      </c>
      <c r="F297" s="11" t="n">
        <v>1.4315</v>
      </c>
      <c r="G297" s="11" t="n">
        <v>1.4327</v>
      </c>
      <c r="H297" s="11" t="n">
        <v>1.4554</v>
      </c>
      <c r="I297" s="11" t="n">
        <v>1.5194</v>
      </c>
      <c r="J297" s="11" t="n">
        <v>1.5263</v>
      </c>
      <c r="K297" s="11" t="n">
        <v>1.5016</v>
      </c>
    </row>
    <row r="298">
      <c r="A298" s="9" t="n">
        <v>43160</v>
      </c>
      <c r="B298" s="11" t="n">
        <v>1.5843</v>
      </c>
      <c r="C298" s="11" t="n">
        <v>1.4913</v>
      </c>
      <c r="D298" s="11" t="n">
        <v>1.748</v>
      </c>
      <c r="E298" s="11" t="n">
        <v>1.4542</v>
      </c>
      <c r="F298" s="11" t="n">
        <v>1.6661</v>
      </c>
      <c r="G298" s="11" t="n">
        <v>1.4689</v>
      </c>
      <c r="H298" s="11" t="n">
        <v>1.4566</v>
      </c>
      <c r="I298" s="11" t="n">
        <v>1.4884</v>
      </c>
      <c r="J298" s="11" t="n">
        <v>1.5146</v>
      </c>
      <c r="K298" s="11" t="n">
        <v>1.5857</v>
      </c>
    </row>
    <row r="299">
      <c r="A299" s="9" t="n">
        <v>43191</v>
      </c>
      <c r="B299" s="11" t="n">
        <v>1.5274</v>
      </c>
      <c r="C299" s="11" t="n">
        <v>0.0919</v>
      </c>
      <c r="D299" s="11" t="n">
        <v>1.7047</v>
      </c>
      <c r="E299" s="11" t="n">
        <v>0.52</v>
      </c>
      <c r="F299" s="11" t="n">
        <v>1.2646</v>
      </c>
      <c r="G299" s="11" t="n">
        <v>1.3237</v>
      </c>
      <c r="H299" s="11" t="n">
        <v>1.3287</v>
      </c>
      <c r="I299" s="11" t="n">
        <v>1.4164</v>
      </c>
      <c r="J299" s="11" t="n">
        <v>1.5131</v>
      </c>
      <c r="K299" s="11" t="n">
        <v>1.603</v>
      </c>
    </row>
    <row r="300">
      <c r="A300" s="9" t="n">
        <v>43221</v>
      </c>
      <c r="B300" s="11" t="n">
        <v>1.455</v>
      </c>
      <c r="C300" s="11" t="n">
        <v>2.1763</v>
      </c>
      <c r="D300" s="11" t="n">
        <v>1.6048</v>
      </c>
      <c r="E300" s="11" t="n">
        <v>1.8662</v>
      </c>
      <c r="F300" s="11" t="n">
        <v>2.0452</v>
      </c>
      <c r="G300" s="11" t="n">
        <v>1.7159</v>
      </c>
      <c r="H300" s="11" t="n">
        <v>1.686</v>
      </c>
      <c r="I300" s="11" t="n">
        <v>1.6495</v>
      </c>
      <c r="J300" s="11" t="n">
        <v>1.6612</v>
      </c>
      <c r="K300" s="11" t="n">
        <v>1.6008</v>
      </c>
    </row>
    <row r="301">
      <c r="A301" s="9" t="n">
        <v>43252</v>
      </c>
      <c r="B301" s="11" t="n">
        <v>1.4946</v>
      </c>
      <c r="C301" s="11" t="n">
        <v>0.7331</v>
      </c>
      <c r="D301" s="11" t="n">
        <v>1.6287</v>
      </c>
      <c r="E301" s="11" t="n">
        <v>0.947</v>
      </c>
      <c r="F301" s="11" t="n">
        <v>1.6732</v>
      </c>
      <c r="G301" s="11" t="n">
        <v>1.5309</v>
      </c>
      <c r="H301" s="11" t="n">
        <v>1.522</v>
      </c>
      <c r="I301" s="11" t="n">
        <v>1.5514</v>
      </c>
      <c r="J301" s="11" t="n">
        <v>1.6231</v>
      </c>
      <c r="K301" s="11" t="n">
        <v>1.6337</v>
      </c>
    </row>
    <row r="302">
      <c r="A302" s="9" t="n">
        <v>43282</v>
      </c>
      <c r="B302" s="11" t="n">
        <v>1.4636</v>
      </c>
      <c r="C302" s="11" t="n">
        <v>1.419</v>
      </c>
      <c r="D302" s="11" t="n">
        <v>1.6034</v>
      </c>
      <c r="E302" s="11" t="n">
        <v>1.3897</v>
      </c>
      <c r="F302" s="11" t="n">
        <v>1.7335</v>
      </c>
      <c r="G302" s="11" t="n">
        <v>1.6683</v>
      </c>
      <c r="H302" s="11" t="n">
        <v>1.6543</v>
      </c>
      <c r="I302" s="11" t="n">
        <v>1.6471</v>
      </c>
      <c r="J302" s="11" t="n">
        <v>1.7158</v>
      </c>
      <c r="K302" s="11" t="n">
        <v>1.6316</v>
      </c>
    </row>
    <row r="303">
      <c r="A303" s="9" t="n">
        <v>43313</v>
      </c>
      <c r="B303" s="11" t="n">
        <v>1.2012</v>
      </c>
      <c r="C303" s="11" t="n">
        <v>1.466</v>
      </c>
      <c r="D303" s="11" t="n">
        <v>1.4106</v>
      </c>
      <c r="E303" s="11" t="n">
        <v>1.305</v>
      </c>
      <c r="F303" s="11" t="n">
        <v>1.6539</v>
      </c>
      <c r="G303" s="11" t="n">
        <v>1.6552</v>
      </c>
      <c r="H303" s="11" t="n">
        <v>1.6452</v>
      </c>
      <c r="I303" s="11" t="n">
        <v>1.6559</v>
      </c>
      <c r="J303" s="11" t="n">
        <v>1.6586</v>
      </c>
      <c r="K303" s="11" t="n">
        <v>1.6531</v>
      </c>
    </row>
    <row r="304">
      <c r="A304" s="9" t="n">
        <v>43344</v>
      </c>
      <c r="B304" s="11" t="n">
        <v>1.2963</v>
      </c>
      <c r="C304" s="11" t="n">
        <v>1.2983</v>
      </c>
      <c r="D304" s="11" t="n">
        <v>1.5633</v>
      </c>
      <c r="E304" s="11" t="n">
        <v>1.2015</v>
      </c>
      <c r="F304" s="11" t="n">
        <v>1.7894</v>
      </c>
      <c r="G304" s="11" t="n">
        <v>1.6367</v>
      </c>
      <c r="H304" s="11" t="n">
        <v>1.6395</v>
      </c>
      <c r="I304" s="11" t="n">
        <v>1.6942</v>
      </c>
      <c r="J304" s="11" t="n">
        <v>1.72</v>
      </c>
      <c r="K304" s="11" t="n">
        <v>1.6399</v>
      </c>
    </row>
    <row r="305">
      <c r="A305" s="9" t="n">
        <v>43374</v>
      </c>
      <c r="B305" s="11" t="n">
        <v>1.4624</v>
      </c>
      <c r="C305" s="11" t="n">
        <v>2.2672</v>
      </c>
      <c r="D305" s="11" t="n">
        <v>1.5672</v>
      </c>
      <c r="E305" s="11" t="n">
        <v>1.9533</v>
      </c>
      <c r="F305" s="11" t="n">
        <v>2.0904</v>
      </c>
      <c r="G305" s="11" t="n">
        <v>1.7171</v>
      </c>
      <c r="H305" s="11" t="n">
        <v>1.7021</v>
      </c>
      <c r="I305" s="11" t="n">
        <v>1.7175</v>
      </c>
      <c r="J305" s="11" t="n">
        <v>1.682</v>
      </c>
      <c r="K305" s="11" t="n">
        <v>1.626</v>
      </c>
    </row>
    <row r="306">
      <c r="A306" s="9" t="n">
        <v>43405</v>
      </c>
      <c r="B306" s="11" t="n">
        <v>1.4633</v>
      </c>
      <c r="C306" s="11" t="n">
        <v>0.6776</v>
      </c>
      <c r="D306" s="11" t="n">
        <v>1.5614</v>
      </c>
      <c r="E306" s="11" t="n">
        <v>0.9087</v>
      </c>
      <c r="F306" s="11" t="n">
        <v>1.5332</v>
      </c>
      <c r="G306" s="11" t="n">
        <v>1.4433</v>
      </c>
      <c r="H306" s="11" t="n">
        <v>1.4587</v>
      </c>
      <c r="I306" s="11" t="n">
        <v>1.5036</v>
      </c>
      <c r="J306" s="11" t="n">
        <v>1.5251</v>
      </c>
      <c r="K306" s="11" t="n">
        <v>1.6123</v>
      </c>
    </row>
    <row r="307">
      <c r="A307" s="9" t="n">
        <v>43435</v>
      </c>
      <c r="B307" s="11" t="n">
        <v>1.4621</v>
      </c>
      <c r="C307" s="11" t="n">
        <v>0.8262</v>
      </c>
      <c r="D307" s="11" t="n">
        <v>1.6047</v>
      </c>
      <c r="E307" s="11" t="n">
        <v>0.9919</v>
      </c>
      <c r="F307" s="11" t="n">
        <v>1.4444</v>
      </c>
      <c r="G307" s="11" t="n">
        <v>1.35</v>
      </c>
      <c r="H307" s="11" t="n">
        <v>1.3653</v>
      </c>
      <c r="I307" s="11" t="n">
        <v>1.4148</v>
      </c>
      <c r="J307" s="11" t="n">
        <v>1.4531</v>
      </c>
      <c r="K307" s="11" t="n">
        <v>1.5529</v>
      </c>
    </row>
    <row r="308">
      <c r="A308" s="9" t="n">
        <v>43466</v>
      </c>
      <c r="B308" s="11" t="n">
        <v>1.5585</v>
      </c>
      <c r="C308" s="11" t="n">
        <v>1.8657</v>
      </c>
      <c r="D308" s="11" t="n">
        <v>1.6955</v>
      </c>
      <c r="E308" s="11" t="n">
        <v>1.7764</v>
      </c>
      <c r="F308" s="11" t="n">
        <v>1.4701</v>
      </c>
      <c r="G308" s="11" t="n">
        <v>1.5359</v>
      </c>
      <c r="H308" s="11" t="n">
        <v>1.5624</v>
      </c>
      <c r="I308" s="11" t="n">
        <v>1.6233</v>
      </c>
      <c r="J308" s="11" t="n">
        <v>1.6966</v>
      </c>
      <c r="K308" s="11" t="n">
        <v>1.5381</v>
      </c>
    </row>
    <row r="309">
      <c r="A309" s="9" t="n">
        <v>43497</v>
      </c>
      <c r="B309" s="11" t="n">
        <v>1.5899</v>
      </c>
      <c r="C309" s="11" t="n">
        <v>1.391</v>
      </c>
      <c r="D309" s="11" t="n">
        <v>1.7768</v>
      </c>
      <c r="E309" s="11" t="n">
        <v>1.4431</v>
      </c>
      <c r="F309" s="11" t="n">
        <v>1.48</v>
      </c>
      <c r="G309" s="11" t="n">
        <v>1.5496</v>
      </c>
      <c r="H309" s="11" t="n">
        <v>1.5677</v>
      </c>
      <c r="I309" s="11" t="n">
        <v>1.628</v>
      </c>
      <c r="J309" s="11" t="n">
        <v>1.6408</v>
      </c>
      <c r="K309" s="11" t="n">
        <v>1.536</v>
      </c>
    </row>
    <row r="310">
      <c r="A310" s="9" t="n">
        <v>43525</v>
      </c>
      <c r="B310" s="11" t="n">
        <v>1.5342</v>
      </c>
      <c r="C310" s="11" t="n">
        <v>0.3576</v>
      </c>
      <c r="D310" s="11" t="n">
        <v>1.652</v>
      </c>
      <c r="E310" s="11" t="n">
        <v>0.758</v>
      </c>
      <c r="F310" s="11" t="n">
        <v>1.4481</v>
      </c>
      <c r="G310" s="11" t="n">
        <v>1.5046</v>
      </c>
      <c r="H310" s="11" t="n">
        <v>1.5077</v>
      </c>
      <c r="I310" s="11" t="n">
        <v>1.5448</v>
      </c>
      <c r="J310" s="11" t="n">
        <v>1.4971</v>
      </c>
      <c r="K310" s="11" t="n">
        <v>1.5115</v>
      </c>
    </row>
    <row r="311">
      <c r="A311" s="9" t="n">
        <v>43556</v>
      </c>
      <c r="B311" s="11" t="n">
        <v>1.6741</v>
      </c>
      <c r="C311" s="11" t="n">
        <v>2.3793</v>
      </c>
      <c r="D311" s="11" t="n">
        <v>1.9359</v>
      </c>
      <c r="E311" s="11" t="n">
        <v>2.0304</v>
      </c>
      <c r="F311" s="11" t="n">
        <v>2.0264</v>
      </c>
      <c r="G311" s="11" t="n">
        <v>1.9384</v>
      </c>
      <c r="H311" s="11" t="n">
        <v>1.923</v>
      </c>
      <c r="I311" s="11" t="n">
        <v>1.9186</v>
      </c>
      <c r="J311" s="11" t="n">
        <v>1.8313</v>
      </c>
      <c r="K311" s="11" t="n">
        <v>1.7949</v>
      </c>
    </row>
    <row r="312">
      <c r="A312" s="9" t="n">
        <v>43586</v>
      </c>
      <c r="B312" s="11" t="n">
        <v>1.8029</v>
      </c>
      <c r="C312" s="11" t="n">
        <v>-0.0474</v>
      </c>
      <c r="D312" s="11" t="n">
        <v>2.0536</v>
      </c>
      <c r="E312" s="11" t="n">
        <v>0.5059</v>
      </c>
      <c r="F312" s="11" t="n">
        <v>1.8156</v>
      </c>
      <c r="G312" s="11" t="n">
        <v>1.8328</v>
      </c>
      <c r="H312" s="11" t="n">
        <v>1.8218</v>
      </c>
      <c r="I312" s="11" t="n">
        <v>1.8009</v>
      </c>
      <c r="J312" s="11" t="n">
        <v>1.7247</v>
      </c>
      <c r="K312" s="11" t="n">
        <v>1.709</v>
      </c>
    </row>
    <row r="313">
      <c r="A313" s="9" t="n">
        <v>43617</v>
      </c>
      <c r="B313" s="11" t="n">
        <v>1.6883</v>
      </c>
      <c r="C313" s="11" t="n">
        <v>1.2778</v>
      </c>
      <c r="D313" s="11" t="n">
        <v>1.9208</v>
      </c>
      <c r="E313" s="11" t="n">
        <v>1.3151</v>
      </c>
      <c r="F313" s="11" t="n">
        <v>1.8857</v>
      </c>
      <c r="G313" s="11" t="n">
        <v>1.8617</v>
      </c>
      <c r="H313" s="11" t="n">
        <v>1.8709</v>
      </c>
      <c r="I313" s="11" t="n">
        <v>1.9087</v>
      </c>
      <c r="J313" s="11" t="n">
        <v>1.9215</v>
      </c>
      <c r="K313" s="11" t="n">
        <v>1.8331</v>
      </c>
    </row>
    <row r="314">
      <c r="A314" s="9" t="n">
        <v>43647</v>
      </c>
      <c r="B314" s="11" t="n">
        <v>1.7204</v>
      </c>
      <c r="C314" s="11" t="n">
        <v>0.0374</v>
      </c>
      <c r="D314" s="11" t="n">
        <v>1.9487</v>
      </c>
      <c r="E314" s="11" t="n">
        <v>0.4905</v>
      </c>
      <c r="F314" s="11" t="n">
        <v>1.91</v>
      </c>
      <c r="G314" s="11" t="n">
        <v>1.8472</v>
      </c>
      <c r="H314" s="11" t="n">
        <v>1.8398</v>
      </c>
      <c r="I314" s="11" t="n">
        <v>1.8285</v>
      </c>
      <c r="J314" s="11" t="n">
        <v>1.7678</v>
      </c>
      <c r="K314" s="11" t="n">
        <v>1.7074</v>
      </c>
    </row>
    <row r="315">
      <c r="A315" s="9" t="n">
        <v>43678</v>
      </c>
      <c r="B315" s="11" t="n">
        <v>1.921</v>
      </c>
      <c r="C315" s="11" t="n">
        <v>-0.3196</v>
      </c>
      <c r="D315" s="11" t="n">
        <v>2.0484</v>
      </c>
      <c r="E315" s="11" t="n">
        <v>0.367</v>
      </c>
      <c r="F315" s="11" t="n">
        <v>1.5933</v>
      </c>
      <c r="G315" s="11" t="n">
        <v>1.6422</v>
      </c>
      <c r="H315" s="11" t="n">
        <v>1.6375</v>
      </c>
      <c r="I315" s="11" t="n">
        <v>1.6503</v>
      </c>
      <c r="J315" s="11" t="n">
        <v>1.6757</v>
      </c>
      <c r="K315" s="11" t="n">
        <v>1.4681</v>
      </c>
    </row>
    <row r="316">
      <c r="A316" s="9" t="n">
        <v>43709</v>
      </c>
      <c r="B316" s="11" t="n">
        <v>1.7698</v>
      </c>
      <c r="C316" s="11" t="n">
        <v>0.3879</v>
      </c>
      <c r="D316" s="11" t="n">
        <v>1.9189</v>
      </c>
      <c r="E316" s="11" t="n">
        <v>0.782</v>
      </c>
      <c r="F316" s="11" t="n">
        <v>1.4173</v>
      </c>
      <c r="G316" s="11" t="n">
        <v>1.5109</v>
      </c>
      <c r="H316" s="11" t="n">
        <v>1.4978</v>
      </c>
      <c r="I316" s="11" t="n">
        <v>1.4932</v>
      </c>
      <c r="J316" s="11" t="n">
        <v>1.478</v>
      </c>
      <c r="K316" s="11" t="n">
        <v>1.4781</v>
      </c>
    </row>
    <row r="317">
      <c r="A317" s="9" t="n">
        <v>43739</v>
      </c>
      <c r="B317" s="11" t="n">
        <v>1.8815</v>
      </c>
      <c r="C317" s="11" t="n">
        <v>0.4183</v>
      </c>
      <c r="D317" s="11" t="n">
        <v>1.9491</v>
      </c>
      <c r="E317" s="11" t="n">
        <v>0.8742</v>
      </c>
      <c r="F317" s="11" t="n">
        <v>1.317</v>
      </c>
      <c r="G317" s="11" t="n">
        <v>1.503</v>
      </c>
      <c r="H317" s="11" t="n">
        <v>1.5019</v>
      </c>
      <c r="I317" s="11" t="n">
        <v>1.5169</v>
      </c>
      <c r="J317" s="11" t="n">
        <v>1.5146</v>
      </c>
      <c r="K317" s="11" t="n">
        <v>1.5211</v>
      </c>
    </row>
    <row r="318">
      <c r="A318" s="9" t="n">
        <v>43770</v>
      </c>
      <c r="B318" s="11" t="n">
        <v>1.899</v>
      </c>
      <c r="C318" s="11" t="n">
        <v>1.7919</v>
      </c>
      <c r="D318" s="11" t="n">
        <v>2.0138</v>
      </c>
      <c r="E318" s="11" t="n">
        <v>1.823</v>
      </c>
      <c r="F318" s="11" t="n">
        <v>1.4586</v>
      </c>
      <c r="G318" s="11" t="n">
        <v>1.6337</v>
      </c>
      <c r="H318" s="11" t="n">
        <v>1.617</v>
      </c>
      <c r="I318" s="11" t="n">
        <v>1.5729</v>
      </c>
      <c r="J318" s="11" t="n">
        <v>1.58</v>
      </c>
      <c r="K318" s="11" t="n">
        <v>1.5766</v>
      </c>
    </row>
    <row r="319">
      <c r="A319" s="9" t="n">
        <v>43800</v>
      </c>
      <c r="B319" s="11" t="n">
        <v>1.8987</v>
      </c>
      <c r="C319" s="11" t="n">
        <v>1.536</v>
      </c>
      <c r="D319" s="11" t="n">
        <v>2.0302</v>
      </c>
      <c r="E319" s="11" t="n">
        <v>1.6184</v>
      </c>
      <c r="F319" s="11" t="n">
        <v>1.7165</v>
      </c>
      <c r="G319" s="11" t="n">
        <v>1.8356</v>
      </c>
      <c r="H319" s="11" t="n">
        <v>1.8253</v>
      </c>
      <c r="I319" s="11" t="n">
        <v>1.7898</v>
      </c>
      <c r="J319" s="11" t="n">
        <v>1.6926</v>
      </c>
      <c r="K319" s="11" t="n">
        <v>1.5559</v>
      </c>
    </row>
    <row r="320">
      <c r="A320" s="9" t="n">
        <v>43831</v>
      </c>
      <c r="B320" s="11" t="n">
        <v>1.7765</v>
      </c>
      <c r="C320" s="11" t="n">
        <v>0.5451</v>
      </c>
      <c r="D320" s="11" t="n">
        <v>2.0259</v>
      </c>
      <c r="E320" s="11" t="n">
        <v>0.8907</v>
      </c>
      <c r="F320" s="11" t="n">
        <v>1.842</v>
      </c>
      <c r="G320" s="11" t="n">
        <v>1.8393</v>
      </c>
      <c r="H320" s="11" t="n">
        <v>1.8231</v>
      </c>
      <c r="I320" s="11" t="n">
        <v>1.795</v>
      </c>
      <c r="J320" s="11" t="n">
        <v>1.7064</v>
      </c>
      <c r="K320" s="11" t="n">
        <v>1.5545</v>
      </c>
    </row>
    <row r="321">
      <c r="A321" s="9" t="n">
        <v>43862</v>
      </c>
      <c r="B321" s="11" t="n">
        <v>1.7595</v>
      </c>
      <c r="C321" s="11" t="n">
        <v>0.8378</v>
      </c>
      <c r="D321" s="11" t="n">
        <v>1.9128</v>
      </c>
      <c r="E321" s="11" t="n">
        <v>1.1088</v>
      </c>
      <c r="F321" s="11" t="n">
        <v>1.8865</v>
      </c>
      <c r="G321" s="11" t="n">
        <v>1.8531</v>
      </c>
      <c r="H321" s="11" t="n">
        <v>1.8389</v>
      </c>
      <c r="I321" s="11" t="n">
        <v>1.8279</v>
      </c>
      <c r="J321" s="11" t="n">
        <v>1.7381</v>
      </c>
      <c r="K321" s="11" t="n">
        <v>1.7549</v>
      </c>
    </row>
    <row r="322">
      <c r="A322" s="9" t="n">
        <v>43891</v>
      </c>
      <c r="B322" s="11" t="n">
        <v>1.7633</v>
      </c>
      <c r="C322" s="11" t="n">
        <v>0.6135</v>
      </c>
      <c r="D322" s="11" t="n">
        <v>2.0211</v>
      </c>
      <c r="E322" s="11" t="n">
        <v>0.9298</v>
      </c>
      <c r="F322" s="11" t="n">
        <v>1.4896</v>
      </c>
      <c r="G322" s="11" t="n">
        <v>1.6473</v>
      </c>
      <c r="H322" s="11" t="n">
        <v>1.6769</v>
      </c>
      <c r="I322" s="11" t="n">
        <v>1.7271</v>
      </c>
      <c r="J322" s="11" t="n">
        <v>1.6669</v>
      </c>
      <c r="K322" s="11" t="n">
        <v>1.5338</v>
      </c>
    </row>
    <row r="323">
      <c r="A323" s="9" t="n">
        <v>43922</v>
      </c>
      <c r="B323" s="11" t="n">
        <v>1.7062</v>
      </c>
      <c r="C323" s="11" t="n">
        <v>0.3378</v>
      </c>
      <c r="D323" s="11" t="n">
        <v>1.9996</v>
      </c>
      <c r="E323" s="11" t="n">
        <v>0.7234</v>
      </c>
      <c r="F323" s="11" t="n">
        <v>1.3254</v>
      </c>
      <c r="G323" s="11" t="n">
        <v>1.5344</v>
      </c>
      <c r="H323" s="11" t="n">
        <v>1.5465</v>
      </c>
      <c r="I323" s="11" t="n">
        <v>1.6165</v>
      </c>
      <c r="J323" s="11" t="n">
        <v>1.6337</v>
      </c>
      <c r="K323" s="11" t="n">
        <v>1.527</v>
      </c>
    </row>
    <row r="324">
      <c r="A324" s="9" t="n">
        <v>43952</v>
      </c>
      <c r="B324" s="11" t="n">
        <v>1.6464</v>
      </c>
      <c r="C324" s="11" t="n">
        <v>0.4421</v>
      </c>
      <c r="D324" s="11" t="n">
        <v>1.8724</v>
      </c>
      <c r="E324" s="11" t="n">
        <v>0.7932</v>
      </c>
      <c r="F324" s="11" t="n">
        <v>1.306</v>
      </c>
      <c r="G324" s="11" t="n">
        <v>1.4761</v>
      </c>
      <c r="H324" s="11" t="n">
        <v>1.464</v>
      </c>
      <c r="I324" s="11" t="n">
        <v>1.4652</v>
      </c>
      <c r="J324" s="11" t="n">
        <v>1.4602</v>
      </c>
      <c r="K324" s="11" t="n">
        <v>1.4402</v>
      </c>
    </row>
    <row r="325">
      <c r="A325" s="9" t="n">
        <v>43983</v>
      </c>
      <c r="B325" s="11" t="n">
        <v>1.7967</v>
      </c>
      <c r="C325" s="11" t="n">
        <v>0.4516</v>
      </c>
      <c r="D325" s="11" t="n">
        <v>2.0595</v>
      </c>
      <c r="E325" s="11" t="n">
        <v>0.8426</v>
      </c>
      <c r="F325" s="11" t="n">
        <v>1.3485</v>
      </c>
      <c r="G325" s="11" t="n">
        <v>1.4418</v>
      </c>
      <c r="H325" s="11" t="n">
        <v>1.4329</v>
      </c>
      <c r="I325" s="11" t="n">
        <v>1.4457</v>
      </c>
      <c r="J325" s="11" t="n">
        <v>1.406</v>
      </c>
      <c r="K325" s="11" t="n">
        <v>1.4275</v>
      </c>
    </row>
    <row r="326">
      <c r="A326" s="9" t="n">
        <v>44013</v>
      </c>
      <c r="B326" s="11" t="n">
        <v>1.4686</v>
      </c>
      <c r="C326" s="11" t="n">
        <v>-0.4444</v>
      </c>
      <c r="D326" s="11" t="n">
        <v>0.9375</v>
      </c>
      <c r="E326" s="11" t="n">
        <v>0.4629</v>
      </c>
      <c r="F326" s="11" t="n">
        <v>0.3156</v>
      </c>
      <c r="G326" s="11" t="n">
        <v>0.3708</v>
      </c>
      <c r="H326" s="11" t="n">
        <v>0.3826</v>
      </c>
      <c r="I326" s="11" t="n">
        <v>0.4349</v>
      </c>
      <c r="J326" s="11" t="n">
        <v>0.5713</v>
      </c>
      <c r="K326" s="11" t="n">
        <v>0.5661</v>
      </c>
    </row>
    <row r="327">
      <c r="A327" s="9" t="n">
        <v>44044</v>
      </c>
      <c r="B327" s="11" t="n">
        <v>1.4836</v>
      </c>
      <c r="C327" s="11" t="n">
        <v>-0.6554</v>
      </c>
      <c r="D327" s="11" t="n">
        <v>1.0071</v>
      </c>
      <c r="E327" s="11" t="n">
        <v>0.3127</v>
      </c>
      <c r="F327" s="11" t="n">
        <v>0.251</v>
      </c>
      <c r="G327" s="11" t="n">
        <v>0.3766</v>
      </c>
      <c r="H327" s="11" t="n">
        <v>0.4112</v>
      </c>
      <c r="I327" s="11" t="n">
        <v>0.4946</v>
      </c>
      <c r="J327" s="11" t="n">
        <v>0.5937</v>
      </c>
      <c r="K327" s="11" t="n">
        <v>0.7064</v>
      </c>
    </row>
    <row r="328">
      <c r="A328" s="9" t="n">
        <v>44075</v>
      </c>
      <c r="B328" s="11" t="n">
        <v>1.476</v>
      </c>
      <c r="C328" s="11" t="n">
        <v>-1.1845</v>
      </c>
      <c r="D328" s="11" t="n">
        <v>0.9728</v>
      </c>
      <c r="E328" s="11" t="n">
        <v>-0.017</v>
      </c>
      <c r="F328" s="11" t="n">
        <v>0.1211</v>
      </c>
      <c r="G328" s="11" t="n">
        <v>0.258</v>
      </c>
      <c r="H328" s="11" t="n">
        <v>0.292</v>
      </c>
      <c r="I328" s="11" t="n">
        <v>0.4313</v>
      </c>
      <c r="J328" s="11" t="n">
        <v>0.4754</v>
      </c>
      <c r="K328" s="11" t="n">
        <v>0.3811</v>
      </c>
    </row>
    <row r="329">
      <c r="A329" s="9" t="n">
        <v>44105</v>
      </c>
      <c r="B329" s="11" t="n">
        <v>1.1798</v>
      </c>
      <c r="C329" s="11" t="n">
        <v>-1.3517</v>
      </c>
      <c r="D329" s="11" t="n">
        <v>0.881</v>
      </c>
      <c r="E329" s="11" t="n">
        <v>-0.3104</v>
      </c>
      <c r="F329" s="11" t="n">
        <v>0.0186</v>
      </c>
      <c r="G329" s="11" t="n">
        <v>0.2188</v>
      </c>
      <c r="H329" s="11" t="n">
        <v>0.2573</v>
      </c>
      <c r="I329" s="11" t="n">
        <v>0.3477</v>
      </c>
      <c r="J329" s="11" t="n">
        <v>0.422</v>
      </c>
      <c r="K329" s="11" t="n">
        <v>0.3239</v>
      </c>
    </row>
    <row r="330">
      <c r="A330" s="9" t="n">
        <v>44136</v>
      </c>
      <c r="B330" s="11" t="n">
        <v>1.1584</v>
      </c>
      <c r="C330" s="11" t="n">
        <v>-1.591</v>
      </c>
      <c r="D330" s="11" t="n">
        <v>0.7184</v>
      </c>
      <c r="E330" s="11" t="n">
        <v>-0.4091</v>
      </c>
      <c r="F330" s="11" t="n">
        <v>-0.077</v>
      </c>
      <c r="G330" s="11" t="n">
        <v>0.0752</v>
      </c>
      <c r="H330" s="11" t="n">
        <v>0.1081</v>
      </c>
      <c r="I330" s="11" t="n">
        <v>0.188</v>
      </c>
      <c r="J330" s="11" t="n">
        <v>0.2372</v>
      </c>
      <c r="K330" s="11" t="n">
        <v>0.0844</v>
      </c>
    </row>
    <row r="331">
      <c r="A331" s="9" t="n">
        <v>44166</v>
      </c>
      <c r="B331" s="11" t="n">
        <v>1.1757</v>
      </c>
      <c r="C331" s="11" t="n">
        <v>-1.6923</v>
      </c>
      <c r="D331" s="11" t="n">
        <v>0.865</v>
      </c>
      <c r="E331" s="11" t="n">
        <v>-0.522</v>
      </c>
      <c r="F331" s="11" t="n">
        <v>-0.2666</v>
      </c>
      <c r="G331" s="11" t="n">
        <v>-0.0401</v>
      </c>
      <c r="H331" s="11" t="n">
        <v>-0.0071</v>
      </c>
      <c r="I331" s="11" t="n">
        <v>0.143</v>
      </c>
      <c r="J331" s="11" t="n">
        <v>0.2176</v>
      </c>
      <c r="K331" s="11" t="n">
        <v>0.0147</v>
      </c>
    </row>
    <row r="332">
      <c r="A332" s="9" t="n">
        <v>44197</v>
      </c>
      <c r="B332" s="11" t="n">
        <v>1.65</v>
      </c>
      <c r="C332" s="11" t="n">
        <v>2.4734</v>
      </c>
      <c r="D332" s="11" t="n">
        <v>1.8708</v>
      </c>
      <c r="E332" s="11" t="n">
        <v>2.0877</v>
      </c>
      <c r="F332" s="11" t="n">
        <v>1.2377</v>
      </c>
      <c r="G332" s="11" t="n">
        <v>1.3202</v>
      </c>
      <c r="H332" s="11" t="n">
        <v>1.3314</v>
      </c>
      <c r="I332" s="11" t="n">
        <v>1.3537</v>
      </c>
      <c r="J332" s="11" t="n">
        <v>1.3346</v>
      </c>
      <c r="K332" s="11" t="n">
        <v>1.2935</v>
      </c>
    </row>
    <row r="333">
      <c r="A333" s="9" t="n">
        <v>44228</v>
      </c>
      <c r="B333" s="11" t="n">
        <v>1.6012</v>
      </c>
      <c r="C333" s="11" t="n">
        <v>1.8522</v>
      </c>
      <c r="D333" s="11" t="n">
        <v>1.9137</v>
      </c>
      <c r="E333" s="11" t="n">
        <v>1.6342</v>
      </c>
      <c r="F333" s="11" t="n">
        <v>1.3466</v>
      </c>
      <c r="G333" s="11" t="n">
        <v>1.3795</v>
      </c>
      <c r="H333" s="11" t="n">
        <v>1.3775</v>
      </c>
      <c r="I333" s="11" t="n">
        <v>1.3616</v>
      </c>
      <c r="J333" s="11" t="n">
        <v>1.336</v>
      </c>
      <c r="K333" s="11" t="n">
        <v>1.292</v>
      </c>
    </row>
    <row r="334">
      <c r="A334" s="9" t="n">
        <v>44256</v>
      </c>
      <c r="B334" s="11" t="n">
        <v>1.6947</v>
      </c>
      <c r="C334" s="11" t="n">
        <v>1.347</v>
      </c>
      <c r="D334" s="11" t="n">
        <v>1.8855</v>
      </c>
      <c r="E334" s="11" t="n">
        <v>1.3995</v>
      </c>
      <c r="F334" s="11" t="n">
        <v>1.4558</v>
      </c>
      <c r="G334" s="11" t="n">
        <v>1.423</v>
      </c>
      <c r="H334" s="11" t="n">
        <v>1.4067</v>
      </c>
      <c r="I334" s="11" t="n">
        <v>1.4338</v>
      </c>
      <c r="J334" s="11" t="n">
        <v>1.4392</v>
      </c>
      <c r="K334" s="11" t="n">
        <v>1.3941</v>
      </c>
    </row>
    <row r="335">
      <c r="A335" s="9" t="n">
        <v>44287</v>
      </c>
      <c r="B335" s="11" t="n">
        <v>1.7344</v>
      </c>
      <c r="C335" s="11" t="n">
        <v>0.4208</v>
      </c>
      <c r="D335" s="11" t="n">
        <v>1.8122</v>
      </c>
      <c r="E335" s="11" t="n">
        <v>0.8651</v>
      </c>
      <c r="F335" s="11" t="n">
        <v>1.4857</v>
      </c>
      <c r="G335" s="11" t="n">
        <v>1.4156</v>
      </c>
      <c r="H335" s="11" t="n">
        <v>1.4018</v>
      </c>
      <c r="I335" s="11" t="n">
        <v>1.4124</v>
      </c>
      <c r="J335" s="11" t="n">
        <v>1.4335</v>
      </c>
      <c r="K335" s="11" t="n">
        <v>1.3818</v>
      </c>
    </row>
    <row r="336">
      <c r="A336" s="9" t="n">
        <v>44317</v>
      </c>
      <c r="B336" s="11" t="n">
        <v>1.7657</v>
      </c>
      <c r="C336" s="11" t="n">
        <v>1.3133</v>
      </c>
      <c r="D336" s="11" t="n">
        <v>2.0218</v>
      </c>
      <c r="E336" s="11" t="n">
        <v>1.3617</v>
      </c>
      <c r="F336" s="11" t="n">
        <v>1.7018</v>
      </c>
      <c r="G336" s="11" t="n">
        <v>1.5479</v>
      </c>
      <c r="H336" s="11" t="n">
        <v>1.5237</v>
      </c>
      <c r="I336" s="11" t="n">
        <v>1.4758</v>
      </c>
      <c r="J336" s="11" t="n">
        <v>1.4964</v>
      </c>
      <c r="K336" s="11" t="n">
        <v>1.3733</v>
      </c>
    </row>
    <row r="337">
      <c r="A337" s="9" t="n">
        <v>44348</v>
      </c>
      <c r="B337" s="11" t="n">
        <v>1.8554</v>
      </c>
      <c r="C337" s="11" t="n">
        <v>0.3662</v>
      </c>
      <c r="D337" s="11" t="n">
        <v>2.2741</v>
      </c>
      <c r="E337" s="11" t="n">
        <v>0.7302</v>
      </c>
      <c r="F337" s="11" t="n">
        <v>1.7667</v>
      </c>
      <c r="G337" s="11" t="n">
        <v>1.6657</v>
      </c>
      <c r="H337" s="11" t="n">
        <v>1.6582</v>
      </c>
      <c r="I337" s="11" t="n">
        <v>1.6341</v>
      </c>
      <c r="J337" s="11" t="n">
        <v>1.5724</v>
      </c>
      <c r="K337" s="11" t="n">
        <v>1.3862</v>
      </c>
    </row>
    <row r="338">
      <c r="A338" s="9" t="n">
        <v>44378</v>
      </c>
      <c r="B338" s="11" t="n">
        <v>2.4834</v>
      </c>
      <c r="C338" s="11" t="n">
        <v>1.0882</v>
      </c>
      <c r="D338" s="11" t="n">
        <v>4.049</v>
      </c>
      <c r="E338" s="11" t="n">
        <v>0.9685</v>
      </c>
      <c r="F338" s="11" t="n">
        <v>3.2177</v>
      </c>
      <c r="G338" s="11" t="n">
        <v>3.0714</v>
      </c>
      <c r="H338" s="11" t="n">
        <v>3.0319</v>
      </c>
      <c r="I338" s="11" t="n">
        <v>2.9507</v>
      </c>
      <c r="J338" s="11" t="n">
        <v>2.9002</v>
      </c>
      <c r="K338" s="11" t="n">
        <v>2.8729</v>
      </c>
    </row>
    <row r="339">
      <c r="A339" s="9" t="n">
        <v>44409</v>
      </c>
      <c r="B339" s="11" t="n">
        <v>2.5146</v>
      </c>
      <c r="C339" s="11" t="n">
        <v>1.5415</v>
      </c>
      <c r="D339" s="11" t="n">
        <v>4.1789</v>
      </c>
      <c r="E339" s="11" t="n">
        <v>1.2312</v>
      </c>
      <c r="F339" s="11" t="n">
        <v>3.2819</v>
      </c>
      <c r="G339" s="11" t="n">
        <v>3.1088</v>
      </c>
      <c r="H339" s="11" t="n">
        <v>3.0897</v>
      </c>
      <c r="I339" s="11" t="n">
        <v>3.0391</v>
      </c>
      <c r="J339" s="11" t="n">
        <v>3.1033</v>
      </c>
      <c r="K339" s="11" t="n">
        <v>3.2087</v>
      </c>
    </row>
    <row r="340">
      <c r="A340" s="9" t="n">
        <v>44440</v>
      </c>
      <c r="B340" s="11" t="n">
        <v>2.4086</v>
      </c>
      <c r="C340" s="11" t="n">
        <v>2.7441</v>
      </c>
      <c r="D340" s="11" t="n">
        <v>3.9699</v>
      </c>
      <c r="E340" s="11" t="n">
        <v>1.9779</v>
      </c>
      <c r="F340" s="11" t="n">
        <v>3.4092</v>
      </c>
      <c r="G340" s="11" t="n">
        <v>3.3137</v>
      </c>
      <c r="H340" s="11" t="n">
        <v>3.2836</v>
      </c>
      <c r="I340" s="11" t="n">
        <v>3.1945</v>
      </c>
      <c r="J340" s="11" t="n">
        <v>3.1381</v>
      </c>
      <c r="K340" s="11" t="n">
        <v>3.1437</v>
      </c>
    </row>
    <row r="341">
      <c r="A341" s="9" t="n">
        <v>44470</v>
      </c>
      <c r="B341" s="11" t="n">
        <v>2.7429</v>
      </c>
      <c r="C341" s="11" t="n">
        <v>3.0384</v>
      </c>
      <c r="D341" s="11" t="n">
        <v>4.4374</v>
      </c>
      <c r="E341" s="11" t="n">
        <v>2.2371</v>
      </c>
      <c r="F341" s="11" t="n">
        <v>3.5605</v>
      </c>
      <c r="G341" s="11" t="n">
        <v>3.4137</v>
      </c>
      <c r="H341" s="11" t="n">
        <v>3.3776</v>
      </c>
      <c r="I341" s="11" t="n">
        <v>3.2783</v>
      </c>
      <c r="J341" s="11" t="n">
        <v>3.0619</v>
      </c>
      <c r="K341" s="11" t="n">
        <v>2.9916</v>
      </c>
    </row>
    <row r="342">
      <c r="A342" s="9" t="n">
        <v>44501</v>
      </c>
      <c r="B342" s="11" t="n">
        <v>2.9279</v>
      </c>
      <c r="C342" s="11" t="n">
        <v>5.5481</v>
      </c>
      <c r="D342" s="11" t="n">
        <v>4.8903</v>
      </c>
      <c r="E342" s="11" t="n">
        <v>3.7659</v>
      </c>
      <c r="F342" s="11" t="n">
        <v>4.006</v>
      </c>
      <c r="G342" s="11" t="n">
        <v>3.8358</v>
      </c>
      <c r="H342" s="11" t="n">
        <v>3.7846</v>
      </c>
      <c r="I342" s="11" t="n">
        <v>3.6696</v>
      </c>
      <c r="J342" s="11" t="n">
        <v>3.5514</v>
      </c>
      <c r="K342" s="11" t="n">
        <v>3.6248</v>
      </c>
    </row>
    <row r="343">
      <c r="A343" s="9" t="n">
        <v>44531</v>
      </c>
      <c r="B343" s="11" t="n">
        <v>3.0111</v>
      </c>
      <c r="C343" s="11" t="n">
        <v>5.0622</v>
      </c>
      <c r="D343" s="11" t="n">
        <v>5.0308</v>
      </c>
      <c r="E343" s="11" t="n">
        <v>3.4701</v>
      </c>
      <c r="F343" s="11" t="n">
        <v>4.5232</v>
      </c>
      <c r="G343" s="11" t="n">
        <v>4.3163</v>
      </c>
      <c r="H343" s="11" t="n">
        <v>4.2776</v>
      </c>
      <c r="I343" s="11" t="n">
        <v>4.1704</v>
      </c>
      <c r="J343" s="11" t="n">
        <v>4.041</v>
      </c>
      <c r="K343" s="11" t="n">
        <v>3.9118</v>
      </c>
    </row>
    <row r="344">
      <c r="A344" s="9" t="n">
        <v>44562</v>
      </c>
      <c r="B344" s="11" t="n">
        <v>2.4557</v>
      </c>
      <c r="C344" s="11" t="n">
        <v>3.4022</v>
      </c>
      <c r="D344" s="11" t="n">
        <v>4.4416</v>
      </c>
      <c r="E344" s="11" t="n">
        <v>2.2655</v>
      </c>
      <c r="F344" s="11" t="n">
        <v>4.6204</v>
      </c>
      <c r="G344" s="11" t="n">
        <v>3.8705</v>
      </c>
      <c r="H344" s="11" t="n">
        <v>3.7404</v>
      </c>
      <c r="I344" s="11" t="n">
        <v>3.5115</v>
      </c>
      <c r="J344" s="11" t="n">
        <v>3.5937</v>
      </c>
      <c r="K344" s="11" t="n">
        <v>3.848</v>
      </c>
    </row>
    <row r="345">
      <c r="A345" s="9" t="n">
        <v>44593</v>
      </c>
      <c r="B345" s="11" t="n">
        <v>2.5314</v>
      </c>
      <c r="C345" s="11" t="n">
        <v>3.5288</v>
      </c>
      <c r="D345" s="11" t="n">
        <v>4.8456</v>
      </c>
      <c r="E345" s="11" t="n">
        <v>2.2427</v>
      </c>
      <c r="F345" s="11" t="n">
        <v>4.8804</v>
      </c>
      <c r="G345" s="11" t="n">
        <v>4.1005</v>
      </c>
      <c r="H345" s="11" t="n">
        <v>3.9787</v>
      </c>
      <c r="I345" s="11" t="n">
        <v>3.6687</v>
      </c>
      <c r="J345" s="11" t="n">
        <v>3.5767</v>
      </c>
      <c r="K345" s="11" t="n">
        <v>3.5555</v>
      </c>
    </row>
    <row r="346">
      <c r="A346" s="9" t="n">
        <v>44621</v>
      </c>
      <c r="B346" s="11" t="n">
        <v>2.5641</v>
      </c>
      <c r="C346" s="11" t="n">
        <v>4.4039</v>
      </c>
      <c r="D346" s="11" t="n">
        <v>5.3145</v>
      </c>
      <c r="E346" s="11" t="n">
        <v>2.6117</v>
      </c>
      <c r="F346" s="11" t="n">
        <v>5.7427</v>
      </c>
      <c r="G346" s="11" t="n">
        <v>4.5273</v>
      </c>
      <c r="H346" s="11" t="n">
        <v>4.3893</v>
      </c>
      <c r="I346" s="11" t="n">
        <v>4.0259</v>
      </c>
      <c r="J346" s="11" t="n">
        <v>3.9422</v>
      </c>
      <c r="K346" s="11" t="n">
        <v>3.7762</v>
      </c>
    </row>
    <row r="347">
      <c r="A347" s="9" t="n">
        <v>44652</v>
      </c>
      <c r="B347" s="11" t="n">
        <v>2.8027</v>
      </c>
      <c r="C347" s="11" t="n">
        <v>5.2996</v>
      </c>
      <c r="D347" s="11" t="n">
        <v>6.2282</v>
      </c>
      <c r="E347" s="11" t="n">
        <v>2.9836</v>
      </c>
      <c r="F347" s="11" t="n">
        <v>6.6288</v>
      </c>
      <c r="G347" s="11" t="n">
        <v>5.2501</v>
      </c>
      <c r="H347" s="11" t="n">
        <v>5.1099</v>
      </c>
      <c r="I347" s="11" t="n">
        <v>4.8066</v>
      </c>
      <c r="J347" s="11" t="n">
        <v>4.5886</v>
      </c>
      <c r="K347" s="11" t="n">
        <v>4.604</v>
      </c>
    </row>
    <row r="348">
      <c r="A348" s="9" t="n">
        <v>44682</v>
      </c>
      <c r="B348" s="11" t="n">
        <v>2.9221</v>
      </c>
      <c r="C348" s="11" t="n">
        <v>5.3903</v>
      </c>
      <c r="D348" s="11" t="n">
        <v>6.9165</v>
      </c>
      <c r="E348" s="11" t="n">
        <v>2.8672</v>
      </c>
      <c r="F348" s="11" t="n">
        <v>7.3494</v>
      </c>
      <c r="G348" s="11" t="n">
        <v>5.6866</v>
      </c>
      <c r="H348" s="11" t="n">
        <v>5.4556</v>
      </c>
      <c r="I348" s="11" t="n">
        <v>5.0407</v>
      </c>
      <c r="J348" s="11" t="n">
        <v>4.8474</v>
      </c>
      <c r="K348" s="11" t="n">
        <v>4.7972</v>
      </c>
    </row>
    <row r="349">
      <c r="A349" s="9" t="n">
        <v>44713</v>
      </c>
      <c r="B349" s="11" t="n">
        <v>2.8983</v>
      </c>
      <c r="C349" s="11" t="n">
        <v>3.6513</v>
      </c>
      <c r="D349" s="11" t="n">
        <v>7.1647</v>
      </c>
      <c r="E349" s="11" t="n">
        <v>1.7016</v>
      </c>
      <c r="F349" s="11" t="n">
        <v>7.5246</v>
      </c>
      <c r="G349" s="11" t="n">
        <v>6.2048</v>
      </c>
      <c r="H349" s="11" t="n">
        <v>5.9369</v>
      </c>
      <c r="I349" s="11" t="n">
        <v>5.3647</v>
      </c>
      <c r="J349" s="11" t="n">
        <v>5.2265</v>
      </c>
      <c r="K349" s="11" t="n">
        <v>4.8674</v>
      </c>
    </row>
    <row r="350">
      <c r="A350" s="9" t="n">
        <v>44743</v>
      </c>
      <c r="B350" s="11" t="n">
        <v>2.9103</v>
      </c>
      <c r="C350" s="11" t="n">
        <v>3.6333</v>
      </c>
      <c r="D350" s="11" t="n">
        <v>7.4638</v>
      </c>
      <c r="E350" s="11" t="n">
        <v>1.5801</v>
      </c>
      <c r="F350" s="11" t="n">
        <v>7.2115</v>
      </c>
      <c r="G350" s="11" t="n">
        <v>6.367</v>
      </c>
      <c r="H350" s="11" t="n">
        <v>6.1273</v>
      </c>
      <c r="I350" s="11" t="n">
        <v>5.4966</v>
      </c>
      <c r="J350" s="11" t="n">
        <v>5.4535</v>
      </c>
      <c r="K350" s="11" t="n">
        <v>5.6116</v>
      </c>
    </row>
    <row r="351">
      <c r="A351" s="9" t="n">
        <v>44774</v>
      </c>
      <c r="B351" s="11" t="n">
        <v>2.9679</v>
      </c>
      <c r="C351" s="11" t="n">
        <v>4.0371</v>
      </c>
      <c r="D351" s="11" t="n">
        <v>7.7764</v>
      </c>
      <c r="E351" s="11" t="n">
        <v>1.7443</v>
      </c>
      <c r="F351" s="11" t="n">
        <v>7.3072</v>
      </c>
      <c r="G351" s="11" t="n">
        <v>6.6065</v>
      </c>
      <c r="H351" s="11" t="n">
        <v>6.4292</v>
      </c>
      <c r="I351" s="11" t="n">
        <v>5.7701</v>
      </c>
      <c r="J351" s="11" t="n">
        <v>5.7318</v>
      </c>
      <c r="K351" s="11" t="n">
        <v>5.6509</v>
      </c>
    </row>
    <row r="352">
      <c r="A352" s="9" t="n">
        <v>44805</v>
      </c>
      <c r="B352" s="11" t="n">
        <v>3.2952</v>
      </c>
      <c r="C352" s="11" t="n">
        <v>6.5132</v>
      </c>
      <c r="D352" s="11" t="n">
        <v>8.488799999999999</v>
      </c>
      <c r="E352" s="11" t="n">
        <v>3.2268</v>
      </c>
      <c r="F352" s="11" t="n">
        <v>8.5943</v>
      </c>
      <c r="G352" s="11" t="n">
        <v>7.3574</v>
      </c>
      <c r="H352" s="11" t="n">
        <v>7.0804</v>
      </c>
      <c r="I352" s="11" t="n">
        <v>6.2914</v>
      </c>
      <c r="J352" s="11" t="n">
        <v>6.2787</v>
      </c>
      <c r="K352" s="11" t="n">
        <v>6.1986</v>
      </c>
    </row>
    <row r="353">
      <c r="A353" s="9" t="n">
        <v>44835</v>
      </c>
      <c r="B353" s="11" t="n">
        <v>3.5035</v>
      </c>
      <c r="C353" s="11" t="n">
        <v>7.2862</v>
      </c>
      <c r="D353" s="11" t="n">
        <v>9.0794</v>
      </c>
      <c r="E353" s="11" t="n">
        <v>3.6232</v>
      </c>
      <c r="F353" s="11" t="n">
        <v>8.960699999999999</v>
      </c>
      <c r="G353" s="11" t="n">
        <v>8.046099999999999</v>
      </c>
      <c r="H353" s="11" t="n">
        <v>7.7658</v>
      </c>
      <c r="I353" s="11" t="n">
        <v>6.8465</v>
      </c>
      <c r="J353" s="11" t="n">
        <v>6.7334</v>
      </c>
      <c r="K353" s="11" t="n">
        <v>6.864</v>
      </c>
    </row>
    <row r="354">
      <c r="A354" s="9" t="n">
        <v>44866</v>
      </c>
      <c r="B354" s="11" t="n">
        <v>3.6367</v>
      </c>
      <c r="C354" s="11" t="n">
        <v>6.9897</v>
      </c>
      <c r="D354" s="11" t="n">
        <v>9.4849</v>
      </c>
      <c r="E354" s="11" t="n">
        <v>3.3771</v>
      </c>
      <c r="F354" s="11" t="n">
        <v>8.799799999999999</v>
      </c>
      <c r="G354" s="11" t="n">
        <v>7.7253</v>
      </c>
      <c r="H354" s="11" t="n">
        <v>7.5021</v>
      </c>
      <c r="I354" s="11" t="n">
        <v>6.9076</v>
      </c>
      <c r="J354" s="11" t="n">
        <v>6.7997</v>
      </c>
      <c r="K354" s="11" t="n">
        <v>7.1633</v>
      </c>
    </row>
    <row r="355">
      <c r="A355" s="9" t="n">
        <v>44896</v>
      </c>
      <c r="B355" s="11" t="n">
        <v>3.8469</v>
      </c>
      <c r="C355" s="11" t="n">
        <v>7.2022</v>
      </c>
      <c r="D355" s="11" t="n">
        <v>9.9703</v>
      </c>
      <c r="E355" s="11" t="n">
        <v>3.4852</v>
      </c>
      <c r="F355" s="11" t="n">
        <v>8.4322</v>
      </c>
      <c r="G355" s="11" t="n">
        <v>7.3465</v>
      </c>
      <c r="H355" s="11" t="n">
        <v>7.1155</v>
      </c>
      <c r="I355" s="11" t="n">
        <v>6.6218</v>
      </c>
      <c r="J355" s="11" t="n">
        <v>6.6508</v>
      </c>
      <c r="K355" s="11" t="n">
        <v>6.9401</v>
      </c>
    </row>
    <row r="356">
      <c r="A356" s="9" t="n">
        <v>44927</v>
      </c>
      <c r="B356" s="11" t="n">
        <v>4.697</v>
      </c>
      <c r="C356" s="11" t="n">
        <v>5.9527</v>
      </c>
      <c r="D356" s="11" t="n">
        <v>10.2167</v>
      </c>
      <c r="E356" s="11" t="n">
        <v>2.9347</v>
      </c>
      <c r="F356" s="11" t="n">
        <v>8.9262</v>
      </c>
      <c r="G356" s="11" t="n">
        <v>8.224399999999999</v>
      </c>
      <c r="H356" s="11" t="n">
        <v>8.0669</v>
      </c>
      <c r="I356" s="11" t="n">
        <v>7.6435</v>
      </c>
      <c r="J356" s="11" t="n">
        <v>7.805</v>
      </c>
      <c r="K356" s="11" t="n">
        <v>7.88</v>
      </c>
    </row>
    <row r="357">
      <c r="A357" s="9" t="n">
        <v>44958</v>
      </c>
      <c r="B357" s="11" t="n">
        <v>4.9622</v>
      </c>
      <c r="C357" s="11" t="n">
        <v>6.3612</v>
      </c>
      <c r="D357" s="11" t="n">
        <v>10.4259</v>
      </c>
      <c r="E357" s="11" t="n">
        <v>3.3671</v>
      </c>
      <c r="F357" s="11" t="n">
        <v>8.9878</v>
      </c>
      <c r="G357" s="11" t="n">
        <v>8.317500000000001</v>
      </c>
      <c r="H357" s="11" t="n">
        <v>8.1439</v>
      </c>
      <c r="I357" s="11" t="n">
        <v>7.5655</v>
      </c>
      <c r="J357" s="11" t="n">
        <v>7.6462</v>
      </c>
      <c r="K357" s="11" t="n">
        <v>7.7913</v>
      </c>
    </row>
    <row r="358">
      <c r="A358" s="9" t="n">
        <v>44986</v>
      </c>
      <c r="B358" s="11" t="n">
        <v>4.9865</v>
      </c>
      <c r="C358" s="11" t="n">
        <v>7.1434</v>
      </c>
      <c r="D358" s="11" t="n">
        <v>10.1707</v>
      </c>
      <c r="E358" s="11" t="n">
        <v>4.1151</v>
      </c>
      <c r="F358" s="11" t="n">
        <v>8.645899999999999</v>
      </c>
      <c r="G358" s="11" t="n">
        <v>8.0555</v>
      </c>
      <c r="H358" s="11" t="n">
        <v>7.8997</v>
      </c>
      <c r="I358" s="11" t="n">
        <v>7.317</v>
      </c>
      <c r="J358" s="11" t="n">
        <v>7.3576</v>
      </c>
      <c r="K358" s="11" t="n">
        <v>7.3702</v>
      </c>
    </row>
    <row r="359">
      <c r="A359" s="9" t="n">
        <v>45017</v>
      </c>
      <c r="B359" s="11" t="n">
        <v>4.9676</v>
      </c>
      <c r="C359" s="11" t="n">
        <v>6.5689</v>
      </c>
      <c r="D359" s="11" t="n">
        <v>9.5289</v>
      </c>
      <c r="E359" s="11" t="n">
        <v>4.0447</v>
      </c>
      <c r="F359" s="11" t="n">
        <v>7.4134</v>
      </c>
      <c r="G359" s="11" t="n">
        <v>7.0033</v>
      </c>
      <c r="H359" s="11" t="n">
        <v>6.8868</v>
      </c>
      <c r="I359" s="11" t="n">
        <v>6.7916</v>
      </c>
      <c r="J359" s="11" t="n">
        <v>6.6623</v>
      </c>
      <c r="K359" s="11" t="n">
        <v>6.8646</v>
      </c>
    </row>
    <row r="360">
      <c r="A360" s="9" t="n">
        <v>45047</v>
      </c>
      <c r="B360" s="11" t="n">
        <v>5.0798</v>
      </c>
      <c r="C360" s="11" t="n">
        <v>5.2865</v>
      </c>
      <c r="D360" s="11" t="n">
        <v>8.8049</v>
      </c>
      <c r="E360" s="11" t="n">
        <v>3.5522</v>
      </c>
      <c r="F360" s="11" t="n">
        <v>6.7927</v>
      </c>
      <c r="G360" s="11" t="n">
        <v>6.5182</v>
      </c>
      <c r="H360" s="11" t="n">
        <v>6.4463</v>
      </c>
      <c r="I360" s="11" t="n">
        <v>6.4031</v>
      </c>
      <c r="J360" s="11" t="n">
        <v>6.5219</v>
      </c>
      <c r="K360" s="11" t="n">
        <v>6.7504</v>
      </c>
    </row>
    <row r="361">
      <c r="A361" s="9" t="n">
        <v>45078</v>
      </c>
      <c r="B361" s="11" t="n">
        <v>5.2219</v>
      </c>
      <c r="C361" s="11" t="n">
        <v>7.4478</v>
      </c>
      <c r="D361" s="11" t="n">
        <v>8.4543</v>
      </c>
      <c r="E361" s="11" t="n">
        <v>5.1403</v>
      </c>
      <c r="F361" s="11" t="n">
        <v>6.6094</v>
      </c>
      <c r="G361" s="11" t="n">
        <v>6.2915</v>
      </c>
      <c r="H361" s="11" t="n">
        <v>6.2456</v>
      </c>
      <c r="I361" s="11" t="n">
        <v>6.2298</v>
      </c>
      <c r="J361" s="11" t="n">
        <v>6.4064</v>
      </c>
      <c r="K361" s="11" t="n">
        <v>6.4584</v>
      </c>
    </row>
    <row r="362">
      <c r="A362" s="9" t="n">
        <v>45108</v>
      </c>
      <c r="B362" s="11" t="n">
        <v>5.1821</v>
      </c>
      <c r="C362" s="11" t="n">
        <v>7.6298</v>
      </c>
      <c r="D362" s="11" t="n">
        <v>7.7285</v>
      </c>
      <c r="E362" s="11" t="n">
        <v>5.5814</v>
      </c>
      <c r="F362" s="11" t="n">
        <v>6.0874</v>
      </c>
      <c r="G362" s="11" t="n">
        <v>6.0533</v>
      </c>
      <c r="H362" s="11" t="n">
        <v>5.9815</v>
      </c>
      <c r="I362" s="11" t="n">
        <v>5.8663</v>
      </c>
      <c r="J362" s="11" t="n">
        <v>5.988</v>
      </c>
      <c r="K362" s="11" t="n">
        <v>6.0042</v>
      </c>
    </row>
    <row r="363">
      <c r="A363" s="9" t="n">
        <v>45139</v>
      </c>
      <c r="B363" s="11" t="n">
        <v>5.2707</v>
      </c>
      <c r="C363" s="11" t="n">
        <v>7.536</v>
      </c>
      <c r="D363" s="11" t="n">
        <v>7.3776</v>
      </c>
      <c r="E363" s="11" t="n">
        <v>5.7405</v>
      </c>
      <c r="F363" s="11" t="n">
        <v>6.1772</v>
      </c>
      <c r="G363" s="11" t="n">
        <v>5.9886</v>
      </c>
      <c r="H363" s="11" t="n">
        <v>5.8942</v>
      </c>
      <c r="I363" s="11" t="n">
        <v>5.8461</v>
      </c>
      <c r="J363" s="11" t="n">
        <v>5.9928</v>
      </c>
      <c r="K363" s="11" t="n">
        <v>5.81</v>
      </c>
    </row>
    <row r="364">
      <c r="A364" s="9" t="n">
        <v>45170</v>
      </c>
      <c r="B364" s="11" t="n">
        <v>5.2192</v>
      </c>
      <c r="C364" s="11" t="n">
        <v>4.3272</v>
      </c>
      <c r="D364" s="11" t="n">
        <v>6.9027</v>
      </c>
      <c r="E364" s="11" t="n">
        <v>3.8739</v>
      </c>
      <c r="F364" s="11" t="n">
        <v>5.0466</v>
      </c>
      <c r="G364" s="11" t="n">
        <v>5.1207</v>
      </c>
      <c r="H364" s="11" t="n">
        <v>5.0747</v>
      </c>
      <c r="I364" s="11" t="n">
        <v>5.0265</v>
      </c>
      <c r="J364" s="11" t="n">
        <v>4.9678</v>
      </c>
      <c r="K364" s="11" t="n">
        <v>4.8619</v>
      </c>
    </row>
    <row r="365">
      <c r="A365" s="9" t="n">
        <v>45200</v>
      </c>
      <c r="B365" s="11" t="n">
        <v>4.9039</v>
      </c>
      <c r="C365" s="11" t="n">
        <v>3.3582</v>
      </c>
      <c r="D365" s="11" t="n">
        <v>6.0081</v>
      </c>
      <c r="E365" s="11" t="n">
        <v>3.3589</v>
      </c>
      <c r="F365" s="11" t="n">
        <v>4.1679</v>
      </c>
      <c r="G365" s="11" t="n">
        <v>4.312</v>
      </c>
      <c r="H365" s="11" t="n">
        <v>4.2816</v>
      </c>
      <c r="I365" s="11" t="n">
        <v>4.2213</v>
      </c>
      <c r="J365" s="11" t="n">
        <v>4.0925</v>
      </c>
      <c r="K365" s="11" t="n">
        <v>4.0835</v>
      </c>
    </row>
    <row r="366">
      <c r="A366" s="9" t="n">
        <v>45231</v>
      </c>
      <c r="B366" s="11" t="n">
        <v>4.6384</v>
      </c>
      <c r="C366" s="11" t="n">
        <v>2.447</v>
      </c>
      <c r="D366" s="11" t="n">
        <v>5.4151</v>
      </c>
      <c r="E366" s="11" t="n">
        <v>2.6467</v>
      </c>
      <c r="F366" s="11" t="n">
        <v>4.0178</v>
      </c>
      <c r="G366" s="11" t="n">
        <v>4.1484</v>
      </c>
      <c r="H366" s="11" t="n">
        <v>4.1534</v>
      </c>
      <c r="I366" s="11" t="n">
        <v>4.0977</v>
      </c>
      <c r="J366" s="11" t="n">
        <v>4.0568</v>
      </c>
      <c r="K366" s="11" t="n">
        <v>3.7917</v>
      </c>
    </row>
    <row r="367">
      <c r="A367" s="9" t="n">
        <v>45261</v>
      </c>
      <c r="B367" s="11" t="n">
        <v>4.3434</v>
      </c>
      <c r="C367" s="11" t="n">
        <v>2.3773</v>
      </c>
      <c r="D367" s="11" t="n">
        <v>4.6724</v>
      </c>
      <c r="E367" s="11" t="n">
        <v>2.7621</v>
      </c>
      <c r="F367" s="11" t="n">
        <v>3.7841</v>
      </c>
      <c r="G367" s="11" t="n">
        <v>3.7525</v>
      </c>
      <c r="H367" s="11" t="n">
        <v>3.7497</v>
      </c>
      <c r="I367" s="11" t="n">
        <v>3.6938</v>
      </c>
      <c r="J367" s="11" t="n">
        <v>3.5303</v>
      </c>
      <c r="K367" s="11" t="n">
        <v>3.3195</v>
      </c>
    </row>
    <row r="368">
      <c r="A368" s="9" t="n">
        <v>45292</v>
      </c>
      <c r="B368" s="11" t="n">
        <v>4.6619</v>
      </c>
      <c r="C368" s="11" t="n">
        <v>2.1047</v>
      </c>
      <c r="D368" s="11" t="n">
        <v>4.5683</v>
      </c>
      <c r="E368" s="11" t="n">
        <v>2.892</v>
      </c>
      <c r="F368" s="11" t="n">
        <v>3.2666</v>
      </c>
      <c r="G368" s="11" t="n">
        <v>3.52</v>
      </c>
      <c r="H368" s="11" t="n">
        <v>3.5951</v>
      </c>
      <c r="I368" s="11" t="n">
        <v>3.6332</v>
      </c>
      <c r="J368" s="11" t="n">
        <v>3.5136</v>
      </c>
      <c r="K368" s="11" t="n">
        <v>3.5493</v>
      </c>
    </row>
    <row r="369">
      <c r="A369" s="9" t="n">
        <v>45323</v>
      </c>
      <c r="B369" s="11" t="n">
        <v>4.675</v>
      </c>
      <c r="C369" s="11" t="n">
        <v>2.0767</v>
      </c>
      <c r="D369" s="11" t="n">
        <v>4.1534</v>
      </c>
      <c r="E369" s="11" t="n">
        <v>3.0661</v>
      </c>
      <c r="F369" s="11" t="n">
        <v>2.9983</v>
      </c>
      <c r="G369" s="11" t="n">
        <v>3.3179</v>
      </c>
      <c r="H369" s="11" t="n">
        <v>3.3361</v>
      </c>
      <c r="I369" s="11" t="n">
        <v>3.3869</v>
      </c>
      <c r="J369" s="11" t="n">
        <v>3.3139</v>
      </c>
      <c r="K369" s="11" t="n">
        <v>3.4079</v>
      </c>
    </row>
    <row r="370">
      <c r="A370" s="9" t="n">
        <v>45352</v>
      </c>
      <c r="B370" s="11" t="n">
        <v>4.8122</v>
      </c>
      <c r="C370" s="11" t="n">
        <v>1.6773</v>
      </c>
      <c r="D370" s="11" t="n">
        <v>4.1095</v>
      </c>
      <c r="E370" s="11" t="n">
        <v>2.88</v>
      </c>
      <c r="F370" s="11" t="n">
        <v>2.7455</v>
      </c>
      <c r="G370" s="11" t="n">
        <v>3.0738</v>
      </c>
      <c r="H370" s="11" t="n">
        <v>3.081</v>
      </c>
      <c r="I370" s="11" t="n">
        <v>3.124</v>
      </c>
      <c r="J370" s="11" t="n">
        <v>3.1833</v>
      </c>
      <c r="K370" s="11" t="n">
        <v>3.1369</v>
      </c>
    </row>
    <row r="371">
      <c r="A371" s="9" t="n">
        <v>45383</v>
      </c>
      <c r="B371" s="11" t="n">
        <v>4.8624</v>
      </c>
      <c r="C371" s="11" t="n">
        <v>0.9187</v>
      </c>
      <c r="D371" s="11" t="n">
        <v>3.6959</v>
      </c>
      <c r="E371" s="11" t="n">
        <v>2.5555</v>
      </c>
      <c r="F371" s="11" t="n">
        <v>2.5697</v>
      </c>
      <c r="G371" s="11" t="n">
        <v>2.8484</v>
      </c>
      <c r="H371" s="11" t="n">
        <v>2.8539</v>
      </c>
      <c r="I371" s="11" t="n">
        <v>2.8545</v>
      </c>
      <c r="J371" s="11" t="n">
        <v>2.6988</v>
      </c>
      <c r="K371" s="11" t="n">
        <v>2.6975</v>
      </c>
    </row>
    <row r="372">
      <c r="A372" s="9" t="n">
        <v>45413</v>
      </c>
      <c r="B372" s="11" t="n">
        <v>4.7773</v>
      </c>
      <c r="C372" s="11" t="n">
        <v>2.0528</v>
      </c>
      <c r="D372" s="11" t="n">
        <v>3.5462</v>
      </c>
      <c r="E372" s="11" t="n">
        <v>3.3851</v>
      </c>
      <c r="F372" s="11" t="n">
        <v>2.6957</v>
      </c>
      <c r="G372" s="11" t="n">
        <v>2.7872</v>
      </c>
      <c r="H372" s="11" t="n">
        <v>2.7751</v>
      </c>
      <c r="I372" s="11" t="n">
        <v>2.6701</v>
      </c>
      <c r="J372" s="11" t="n">
        <v>2.4224</v>
      </c>
      <c r="K372" s="11" t="n">
        <v>2.2121</v>
      </c>
    </row>
    <row r="373">
      <c r="A373" s="9" t="n">
        <v>45444</v>
      </c>
      <c r="B373" s="11" t="n">
        <v>4.7532</v>
      </c>
      <c r="C373" s="11" t="n">
        <v>1.7478</v>
      </c>
      <c r="D373" s="11" t="n">
        <v>3.2626</v>
      </c>
      <c r="E373" s="11" t="n">
        <v>3.2722</v>
      </c>
      <c r="F373" s="11" t="n">
        <v>2.4781</v>
      </c>
      <c r="G373" s="11" t="n">
        <v>2.5887</v>
      </c>
      <c r="H373" s="11" t="n">
        <v>2.5667</v>
      </c>
      <c r="I373" s="11" t="n">
        <v>2.5007</v>
      </c>
      <c r="J373" s="11" t="n">
        <v>2.3503</v>
      </c>
      <c r="K373" s="11" t="n">
        <v>2.1932</v>
      </c>
    </row>
    <row r="374">
      <c r="A374" s="9" t="n">
        <v>45474</v>
      </c>
      <c r="B374" s="11" t="n">
        <v>4.7428</v>
      </c>
      <c r="C374" s="11" t="n">
        <v>1.6547</v>
      </c>
      <c r="D374" s="11" t="n">
        <v>3.0518</v>
      </c>
      <c r="E374" s="11" t="n">
        <v>3.2794</v>
      </c>
      <c r="F374" s="11" t="n">
        <v>2.4057</v>
      </c>
      <c r="G374" s="11" t="n">
        <v>2.4308</v>
      </c>
      <c r="H374" s="11" t="n">
        <v>2.4253</v>
      </c>
      <c r="I374" s="11" t="n">
        <v>2.4104</v>
      </c>
      <c r="J374" s="11" t="n">
        <v>2.3966</v>
      </c>
      <c r="K374" s="11" t="n">
        <v>2.2797</v>
      </c>
    </row>
    <row r="375">
      <c r="A375" s="9" t="n">
        <v>45505</v>
      </c>
      <c r="B375" s="11" t="n">
        <v>4.6228</v>
      </c>
      <c r="C375" s="11" t="n">
        <v>1.36</v>
      </c>
      <c r="D375" s="11" t="n">
        <v>2.8726</v>
      </c>
      <c r="E375" s="11" t="n">
        <v>3.0603</v>
      </c>
      <c r="F375" s="11" t="n">
        <v>1.9815</v>
      </c>
      <c r="G375" s="11" t="n">
        <v>2.2546</v>
      </c>
      <c r="H375" s="11" t="n">
        <v>2.2763</v>
      </c>
      <c r="I375" s="11" t="n">
        <v>2.2415</v>
      </c>
      <c r="J375" s="11" t="n">
        <v>2.179</v>
      </c>
      <c r="K375" s="11" t="n">
        <v>2.1122</v>
      </c>
    </row>
    <row r="376">
      <c r="A376" s="9" t="n">
        <v>45536</v>
      </c>
      <c r="B376" s="11" t="n">
        <v>4.599</v>
      </c>
      <c r="C376" s="11" t="n">
        <v>1.4467</v>
      </c>
      <c r="D376" s="11" t="n">
        <v>2.8525</v>
      </c>
      <c r="E376" s="11" t="n">
        <v>3.1211</v>
      </c>
      <c r="F376" s="11" t="n">
        <v>2.016</v>
      </c>
      <c r="G376" s="11" t="n">
        <v>2.2808</v>
      </c>
      <c r="H376" s="11" t="n">
        <v>2.2938</v>
      </c>
      <c r="I376" s="11" t="n">
        <v>2.2458</v>
      </c>
      <c r="J376" s="11" t="n">
        <v>2.1919</v>
      </c>
      <c r="K376" s="11" t="n">
        <v>2.1617</v>
      </c>
    </row>
    <row r="377">
      <c r="A377" s="9" t="n">
        <v>45566</v>
      </c>
      <c r="B377" s="11" t="n">
        <v>4.7115</v>
      </c>
      <c r="C377" s="11" t="n">
        <v>1.7691</v>
      </c>
      <c r="D377" s="11" t="n">
        <v>2.9652</v>
      </c>
      <c r="E377" s="11" t="n">
        <v>3.3891</v>
      </c>
      <c r="F377" s="11" t="n">
        <v>2.2936</v>
      </c>
      <c r="G377" s="11" t="n">
        <v>2.5159</v>
      </c>
      <c r="H377" s="11" t="n">
        <v>2.5301</v>
      </c>
      <c r="I377" s="11" t="n">
        <v>2.4896</v>
      </c>
      <c r="J377" s="11" t="n">
        <v>2.4443</v>
      </c>
      <c r="K377" s="11" t="n">
        <v>2.2445</v>
      </c>
    </row>
    <row r="378">
      <c r="A378" s="9" t="n">
        <v>45597</v>
      </c>
      <c r="B378" s="11" t="n">
        <v>4.6681</v>
      </c>
      <c r="C378" s="11" t="n">
        <v>1.5317</v>
      </c>
      <c r="D378" s="11" t="n">
        <v>2.912</v>
      </c>
      <c r="E378" s="11" t="n">
        <v>3.2506</v>
      </c>
      <c r="F378" s="11" t="n">
        <v>2.1569</v>
      </c>
      <c r="G378" s="11" t="n">
        <v>2.2919</v>
      </c>
      <c r="H378" s="11" t="n">
        <v>2.2925</v>
      </c>
      <c r="I378" s="11" t="n">
        <v>2.285</v>
      </c>
      <c r="J378" s="11" t="n">
        <v>2.3147</v>
      </c>
      <c r="K378" s="11" t="n">
        <v>2.2183</v>
      </c>
    </row>
    <row r="379">
      <c r="A379" s="9" t="n">
        <v>45627</v>
      </c>
      <c r="B379" s="11" t="n">
        <v>4.6605</v>
      </c>
      <c r="C379" s="11" t="n">
        <v>2.0393</v>
      </c>
      <c r="D379" s="11" t="n">
        <v>3.1206</v>
      </c>
      <c r="E379" s="11" t="n">
        <v>3.4936</v>
      </c>
      <c r="F379" s="11" t="n">
        <v>2.5315</v>
      </c>
      <c r="G379" s="11" t="n">
        <v>2.6197</v>
      </c>
      <c r="H379" s="11" t="n">
        <v>2.5873</v>
      </c>
      <c r="I379" s="11" t="n">
        <v>2.4417</v>
      </c>
      <c r="J379" s="11" t="n">
        <v>2.4496</v>
      </c>
      <c r="K379" s="11" t="n">
        <v>2.2612</v>
      </c>
    </row>
    <row r="380">
      <c r="A380" s="9" t="n">
        <v>45658</v>
      </c>
      <c r="B380" s="11" t="n">
        <v>4.1771</v>
      </c>
      <c r="C380" s="11" t="n">
        <v>2.9033</v>
      </c>
      <c r="D380" s="11" t="n">
        <v>2.4181</v>
      </c>
      <c r="E380" s="11" t="n">
        <v>4.1578</v>
      </c>
      <c r="F380" s="11" t="n">
        <v>2.4378</v>
      </c>
      <c r="G380" s="11" t="n">
        <v>2.4051</v>
      </c>
      <c r="H380" s="11" t="n">
        <v>2.4067</v>
      </c>
      <c r="I380" s="11" t="n">
        <v>2.403</v>
      </c>
      <c r="J380" s="11" t="n">
        <v>2.3837</v>
      </c>
      <c r="K380" s="11" t="n">
        <v>2.1976</v>
      </c>
    </row>
    <row r="381">
      <c r="A381" s="9" t="n">
        <v>45689</v>
      </c>
      <c r="B381" s="11" t="n">
        <v>4.0054</v>
      </c>
      <c r="C381" s="11" t="n">
        <v>2.1459</v>
      </c>
      <c r="D381" s="11" t="n">
        <v>2.2662</v>
      </c>
      <c r="E381" s="11" t="n">
        <v>3.5499</v>
      </c>
      <c r="F381" s="11" t="n">
        <v>2.3711</v>
      </c>
      <c r="G381" s="11" t="n">
        <v>2.316</v>
      </c>
      <c r="H381" s="11" t="n">
        <v>2.2946</v>
      </c>
      <c r="I381" s="11" t="n">
        <v>2.3037</v>
      </c>
      <c r="J381" s="11" t="n">
        <v>2.304</v>
      </c>
      <c r="K381" s="11" t="n">
        <v>2.0381</v>
      </c>
    </row>
    <row r="382">
      <c r="A382" s="9" t="n">
        <v>45717</v>
      </c>
      <c r="B382" s="11" t="n">
        <v>3.9598</v>
      </c>
      <c r="C382" s="11" t="n">
        <v>1.5912</v>
      </c>
      <c r="D382" s="11" t="n">
        <v>2.3533</v>
      </c>
      <c r="E382" s="11" t="n">
        <v>3.0605</v>
      </c>
      <c r="F382" s="11" t="n">
        <v>2.2433</v>
      </c>
      <c r="G382" s="11" t="n">
        <v>2.3179</v>
      </c>
      <c r="H382" s="11" t="n">
        <v>2.3303</v>
      </c>
      <c r="I382" s="11" t="n">
        <v>2.3682</v>
      </c>
      <c r="J382" s="11" t="n">
        <v>2.3112</v>
      </c>
      <c r="K382" s="11" t="n">
        <v>2.291</v>
      </c>
    </row>
    <row r="383">
      <c r="A383" s="9" t="n">
        <v>45748</v>
      </c>
      <c r="B383" s="11" t="n">
        <v>3.8137</v>
      </c>
      <c r="C383" s="11" t="n">
        <v>2.3117</v>
      </c>
      <c r="D383" s="11" t="n">
        <v>2.3348</v>
      </c>
      <c r="E383" s="11" t="n">
        <v>3.4498</v>
      </c>
      <c r="F383" s="11" t="n">
        <v>2.3653</v>
      </c>
      <c r="G383" s="11" t="n">
        <v>2.4002</v>
      </c>
      <c r="H383" s="11" t="n">
        <v>2.41</v>
      </c>
      <c r="I383" s="11" t="n">
        <v>2.4438</v>
      </c>
      <c r="J383" s="11" t="n">
        <v>2.4476</v>
      </c>
      <c r="K383" s="11" t="n">
        <v>2.1011</v>
      </c>
    </row>
    <row r="384">
      <c r="A384" s="9" t="n">
        <v>45778</v>
      </c>
      <c r="B384" s="11" t="n">
        <v>3.9914</v>
      </c>
      <c r="C384" s="11" t="n">
        <v>1.3305</v>
      </c>
      <c r="D384" s="11" t="n">
        <v>2.4676</v>
      </c>
      <c r="E384" s="11" t="n">
        <v>2.8417</v>
      </c>
      <c r="F384" s="11" t="n">
        <v>2.1925</v>
      </c>
      <c r="G384" s="11" t="n">
        <v>2.2512</v>
      </c>
      <c r="H384" s="11" t="n">
        <v>2.279</v>
      </c>
      <c r="I384" s="11" t="n">
        <v>2.3377</v>
      </c>
      <c r="J384" s="11" t="n">
        <v>2.3516</v>
      </c>
      <c r="K384" s="11" t="n">
        <v>2.1699</v>
      </c>
    </row>
    <row r="385">
      <c r="A385" s="9" t="n">
        <v>45809</v>
      </c>
      <c r="B385" s="11" t="n">
        <v>3.778</v>
      </c>
      <c r="C385" s="11" t="n">
        <v>1.1938</v>
      </c>
      <c r="D385" s="11" t="n">
        <v>2.5181</v>
      </c>
      <c r="E385" s="11" t="n">
        <v>2.5589</v>
      </c>
      <c r="F385" s="11" t="n">
        <v>2.0273</v>
      </c>
      <c r="G385" s="11" t="n">
        <v>2.1227</v>
      </c>
      <c r="H385" s="11" t="n">
        <v>2.1491</v>
      </c>
      <c r="I385" s="11" t="n">
        <v>2.2512</v>
      </c>
      <c r="J385" s="11" t="n">
        <v>2.2869</v>
      </c>
      <c r="K385" s="11" t="n">
        <v>2.1359</v>
      </c>
    </row>
    <row r="386">
      <c r="A386" s="9" t="n">
        <v>45839</v>
      </c>
      <c r="B386" s="11" t="n">
        <v>3.679</v>
      </c>
      <c r="C386" s="11" t="n">
        <v>0.8762</v>
      </c>
      <c r="D386" s="11" t="n">
        <v>2.5186</v>
      </c>
      <c r="E386" s="11" t="n">
        <v>2.2436</v>
      </c>
      <c r="F386" s="11" t="n">
        <v>2.0477</v>
      </c>
      <c r="G386" s="11" t="n">
        <v>2.1604</v>
      </c>
      <c r="H386" s="11" t="n">
        <v>2.1804</v>
      </c>
      <c r="I386" s="11" t="n">
        <v>2.2808</v>
      </c>
      <c r="J386" s="11" t="n">
        <v>2.2745</v>
      </c>
      <c r="K386" s="11" t="n">
        <v>2.1939</v>
      </c>
    </row>
    <row r="387">
      <c r="A387" s="9" t="n">
        <v>45870</v>
      </c>
      <c r="B387" s="11" t="n">
        <v>3.7658</v>
      </c>
      <c r="C387" s="11" t="n">
        <v>0.8167</v>
      </c>
      <c r="D387" s="11" t="n">
        <v>2.5618</v>
      </c>
      <c r="E387" s="11" t="n">
        <v>2.254</v>
      </c>
      <c r="F387" s="11" t="n">
        <v>2.1714</v>
      </c>
      <c r="G387" s="11" t="n">
        <v>2.2069</v>
      </c>
      <c r="H387" s="11" t="n">
        <v>2.2202</v>
      </c>
      <c r="I387" s="11" t="n">
        <v>2.2565</v>
      </c>
      <c r="J387" s="11" t="n">
        <v>2.3075</v>
      </c>
      <c r="K387" s="11" t="n">
        <v>2.1907</v>
      </c>
    </row>
    <row r="388">
      <c r="A388" s="9" t="n">
        <v>45901</v>
      </c>
      <c r="B388" s="11" t="n">
        <v>3.8196</v>
      </c>
      <c r="C388" s="11" t="n">
        <v>1.2239</v>
      </c>
      <c r="D388" s="11" t="n">
        <v>2.5919</v>
      </c>
      <c r="E388" s="11" t="n">
        <v>2.568</v>
      </c>
      <c r="F388" s="11" t="n">
        <v>2.3869</v>
      </c>
      <c r="G388" s="11" t="n">
        <v>2.4035</v>
      </c>
      <c r="H388" s="11" t="n">
        <v>2.4016</v>
      </c>
      <c r="I388" s="11" t="n">
        <v>2.3777</v>
      </c>
      <c r="J388" s="11" t="n">
        <v>2.3816</v>
      </c>
      <c r="K388" s="11" t="n">
        <v>2.1567</v>
      </c>
    </row>
    <row r="389">
      <c r="A389" s="9" t="n">
        <v>45931</v>
      </c>
      <c r="B389" s="11" t="n">
        <v>3.7014</v>
      </c>
      <c r="C389" s="11" t="n">
        <v>1.6576</v>
      </c>
      <c r="D389" s="11" t="n">
        <v>2.5529</v>
      </c>
      <c r="E389" s="11" t="n">
        <v>2.7893</v>
      </c>
      <c r="F389" s="11" t="n">
        <v>2.3679</v>
      </c>
      <c r="G389" s="11" t="n">
        <v>2.3415</v>
      </c>
      <c r="H389" s="11" t="n">
        <v>2.3423</v>
      </c>
      <c r="I389" s="11" t="n">
        <v>2.3702</v>
      </c>
      <c r="J389" s="11" t="n">
        <v>2.4076</v>
      </c>
      <c r="K389" s="11" t="n">
        <v>2.3109</v>
      </c>
    </row>
    <row r="390">
      <c r="A390" s="9" t="n">
        <v>45962</v>
      </c>
      <c r="B390" s="11" t="n">
        <v>3.6609</v>
      </c>
      <c r="C390" s="11" t="n">
        <v>2.1957</v>
      </c>
      <c r="D390" s="11" t="n">
        <v>2.3427</v>
      </c>
      <c r="E390" s="11" t="n">
        <v>3.2829</v>
      </c>
      <c r="F390" s="11" t="n">
        <v>2.3941</v>
      </c>
      <c r="G390" s="11" t="n">
        <v>2.3954</v>
      </c>
      <c r="H390" s="11" t="n">
        <v>2.393</v>
      </c>
      <c r="I390" s="11" t="n">
        <v>2.408</v>
      </c>
      <c r="J390" s="11" t="n">
        <v>2.4485</v>
      </c>
      <c r="K390" s="11" t="n">
        <v>2.231</v>
      </c>
    </row>
    <row r="391">
      <c r="A391" s="9" t="n">
        <v>45992</v>
      </c>
      <c r="B391" s="11" t="n">
        <v>3.6851</v>
      </c>
      <c r="C391" s="11" t="n">
        <v>1.1509</v>
      </c>
      <c r="D391" s="11" t="n">
        <v>1.9834</v>
      </c>
      <c r="E391" s="11" t="n">
        <v>2.7061</v>
      </c>
      <c r="F391" s="11" t="n">
        <v>2.0258</v>
      </c>
      <c r="G391" s="11" t="n">
        <v>1.9963</v>
      </c>
      <c r="H391" s="11" t="n">
        <v>1.9993</v>
      </c>
      <c r="I391" s="11" t="n">
        <v>2.0685</v>
      </c>
      <c r="J391" s="11" t="n">
        <v>2.2385</v>
      </c>
      <c r="K391" s="11" t="n">
        <v>2.3096</v>
      </c>
    </row>
    <row r="392">
      <c r="A392" s="9" t="n">
        <v>46023</v>
      </c>
      <c r="B392" s="11" t="n">
        <v>3.411</v>
      </c>
      <c r="C392" s="11" t="n">
        <v>1.3197</v>
      </c>
      <c r="D392" s="11" t="n">
        <v>2.2513</v>
      </c>
      <c r="E392" s="11" t="n">
        <v>2.5178</v>
      </c>
      <c r="F392" s="11" t="n">
        <v>2.2027</v>
      </c>
      <c r="G392" s="11" t="n">
        <v>2.24</v>
      </c>
      <c r="H392" s="11" t="n">
        <v>2.2461</v>
      </c>
      <c r="I392" s="11" t="n">
        <v>2.2263</v>
      </c>
      <c r="J392" s="11" t="n">
        <v>2.2231</v>
      </c>
      <c r="K392" s="11" t="n">
        <v>2.3044</v>
      </c>
    </row>
    <row r="393">
      <c r="A393" s="9" t="n">
        <v>46054</v>
      </c>
      <c r="B393" s="11" t="n">
        <v>3.377</v>
      </c>
      <c r="C393" s="11" t="n">
        <v>1.5113</v>
      </c>
      <c r="D393" s="11" t="n">
        <v>2.2145</v>
      </c>
      <c r="E393" s="11" t="n">
        <v>2.6329</v>
      </c>
      <c r="F393" s="11" t="n">
        <v>2.153</v>
      </c>
      <c r="G393" s="11" t="n">
        <v>2.2513</v>
      </c>
      <c r="H393" s="11" t="n">
        <v>2.2626</v>
      </c>
      <c r="I393" s="11" t="n">
        <v>2.2447</v>
      </c>
      <c r="J393" s="11" t="n">
        <v>2.196</v>
      </c>
      <c r="K393" s="11" t="n">
        <v>2.3202</v>
      </c>
    </row>
    <row r="394">
      <c r="A394" s="9" t="n">
        <v>46082</v>
      </c>
      <c r="B394" s="11" t="n">
        <v>3.2814</v>
      </c>
      <c r="C394" s="11" t="n">
        <v>1.6886</v>
      </c>
      <c r="D394" s="11" t="n">
        <v>1.9871</v>
      </c>
      <c r="E394" s="11" t="n">
        <v>2.7718</v>
      </c>
      <c r="F394" s="11" t="n">
        <v>2.4564</v>
      </c>
      <c r="G394" s="11" t="n">
        <v>2.4796</v>
      </c>
      <c r="H394" s="11" t="n">
        <v>2.4733</v>
      </c>
      <c r="I394" s="11" t="n">
        <v>2.4159</v>
      </c>
      <c r="J394" s="11" t="n">
        <v>2.4355</v>
      </c>
      <c r="K394" s="11" t="n">
        <v>2.2918</v>
      </c>
    </row>
    <row r="395">
      <c r="A395" s="9" t="n">
        <v>46113</v>
      </c>
      <c r="B395" s="11" t="n">
        <v>3.4899</v>
      </c>
      <c r="C395" s="11" t="n">
        <v>0.9101</v>
      </c>
      <c r="D395" s="11" t="n">
        <v>2.2697</v>
      </c>
      <c r="E395" s="11" t="n">
        <v>2.282</v>
      </c>
      <c r="F395" s="11" t="n">
        <v>2.2729</v>
      </c>
      <c r="G395" s="11" t="n">
        <v>2.3224</v>
      </c>
      <c r="H395" s="11" t="n">
        <v>2.3361</v>
      </c>
      <c r="I395" s="11" t="n">
        <v>2.3009</v>
      </c>
      <c r="J395" s="11" t="n">
        <v>2.3128</v>
      </c>
      <c r="K395" s="11" t="n">
        <v>2.1482</v>
      </c>
    </row>
    <row r="396">
      <c r="A396" s="9" t="n">
        <v>46143</v>
      </c>
      <c r="B396" s="11" t="n">
        <v>3.1773</v>
      </c>
      <c r="C396" s="11" t="n">
        <v>1.8452</v>
      </c>
      <c r="D396" s="11" t="n">
        <v>2.0738</v>
      </c>
      <c r="E396" s="11" t="n">
        <v>2.7574</v>
      </c>
      <c r="F396" s="11" t="n">
        <v>2.3747</v>
      </c>
      <c r="G396" s="11" t="n">
        <v>2.3566</v>
      </c>
      <c r="H396" s="11" t="n">
        <v>2.3282</v>
      </c>
      <c r="I396" s="11" t="n">
        <v>2.2755</v>
      </c>
      <c r="J396" s="11" t="n">
        <v>2.2908</v>
      </c>
      <c r="K396" s="11" t="n">
        <v>2.1439</v>
      </c>
    </row>
    <row r="397">
      <c r="A397" s="9" t="n">
        <v>46174</v>
      </c>
      <c r="B397" s="11" t="n">
        <v>3.1147</v>
      </c>
      <c r="C397" s="11" t="n">
        <v>1.8148</v>
      </c>
      <c r="D397" s="11" t="n">
        <v>2.0725</v>
      </c>
      <c r="E397" s="11" t="n">
        <v>2.6895</v>
      </c>
      <c r="F397" s="11" t="n">
        <v>2.3183</v>
      </c>
      <c r="G397" s="11" t="n">
        <v>2.297</v>
      </c>
      <c r="H397" s="11" t="n">
        <v>2.29</v>
      </c>
      <c r="I397" s="11" t="n">
        <v>2.2813</v>
      </c>
      <c r="J397" s="11" t="n">
        <v>2.2704</v>
      </c>
      <c r="K397" s="11" t="n">
        <v>2.2483</v>
      </c>
    </row>
    <row r="398">
      <c r="A398" s="9" t="n">
        <v>46204</v>
      </c>
      <c r="B398" s="11" t="n">
        <v>2.9842</v>
      </c>
      <c r="C398" s="11" t="n">
        <v>2.2147</v>
      </c>
      <c r="D398" s="11" t="n">
        <v>2.1132</v>
      </c>
      <c r="E398" s="11" t="n">
        <v>2.8366</v>
      </c>
      <c r="F398" s="11" t="n">
        <v>2.3121</v>
      </c>
      <c r="G398" s="11" t="n">
        <v>2.2652</v>
      </c>
      <c r="H398" s="11" t="n">
        <v>2.268</v>
      </c>
      <c r="I398" s="11" t="n">
        <v>2.2529</v>
      </c>
      <c r="J398" s="11" t="n">
        <v>2.2785</v>
      </c>
      <c r="K398" s="11" t="n">
        <v>2.2167</v>
      </c>
    </row>
    <row r="399">
      <c r="A399" s="9" t="n">
        <v>46235</v>
      </c>
      <c r="B399" s="11" t="n">
        <v>2.8674</v>
      </c>
      <c r="C399" s="11" t="n">
        <v>2.2405</v>
      </c>
      <c r="D399" s="11" t="n">
        <v>2.2299</v>
      </c>
      <c r="E399" s="11" t="n">
        <v>2.7171</v>
      </c>
      <c r="F399" s="11" t="n">
        <v>2.2285</v>
      </c>
      <c r="G399" s="11" t="n">
        <v>2.1835</v>
      </c>
      <c r="H399" s="11" t="n">
        <v>2.1995</v>
      </c>
      <c r="I399" s="11" t="n">
        <v>2.1838</v>
      </c>
      <c r="J399" s="11" t="n">
        <v>2.1993</v>
      </c>
      <c r="K399" s="11" t="n">
        <v>2.2435</v>
      </c>
    </row>
    <row r="400">
      <c r="A400" s="9" t="n">
        <v>46266</v>
      </c>
      <c r="B400" s="11" t="n">
        <v>2.8004</v>
      </c>
      <c r="C400" s="11" t="n">
        <v>2.2247</v>
      </c>
      <c r="D400" s="11" t="n">
        <v>2.0103</v>
      </c>
      <c r="E400" s="11" t="n">
        <v>2.7466</v>
      </c>
      <c r="F400" s="11" t="n">
        <v>2.2007</v>
      </c>
      <c r="G400" s="11" t="n">
        <v>2.135</v>
      </c>
      <c r="H400" s="11" t="n">
        <v>2.1198</v>
      </c>
      <c r="I400" s="11" t="n">
        <v>2.0829</v>
      </c>
      <c r="J400" s="11" t="n">
        <v>2.1539</v>
      </c>
      <c r="K400" s="11" t="n">
        <v>2.2505</v>
      </c>
    </row>
    <row r="403">
      <c r="A403" s="13" t="inlineStr">
        <is>
          <t>Francia - misure sottostanti, a/a %</t>
        </is>
      </c>
    </row>
    <row r="404">
      <c r="A404" s="5" t="inlineStr">
        <is>
          <t>Mese</t>
        </is>
      </c>
      <c r="B404" s="5" t="inlineStr">
        <is>
          <t>Domestica (voci HICPX a basso import, flag BCE)</t>
        </is>
      </c>
      <c r="C404" s="5" t="inlineStr">
        <is>
          <t>Importata (voci HICPX non domestiche)</t>
        </is>
      </c>
      <c r="D404" s="5" t="inlineStr">
        <is>
          <t>Supercore (voci cicliche, flag BCE)</t>
        </is>
      </c>
      <c r="E404" s="5" t="inlineStr">
        <is>
          <t>Non Supercore (voci HICPX acicliche)</t>
        </is>
      </c>
      <c r="F404" s="5" t="inlineStr">
        <is>
          <t>Media troncata 10%</t>
        </is>
      </c>
      <c r="G404" s="5" t="inlineStr">
        <is>
          <t>Media troncata 25%</t>
        </is>
      </c>
      <c r="H404" s="5" t="inlineStr">
        <is>
          <t>Media troncata 30%</t>
        </is>
      </c>
      <c r="I404" s="5" t="inlineStr">
        <is>
          <t>Media troncata 50%</t>
        </is>
      </c>
      <c r="J404" s="5" t="inlineStr">
        <is>
          <t>Media troncata 75%</t>
        </is>
      </c>
      <c r="K404" s="5" t="inlineStr">
        <is>
          <t>Mediana ponderata</t>
        </is>
      </c>
    </row>
    <row r="405">
      <c r="A405" s="9" t="n">
        <v>42370</v>
      </c>
      <c r="B405" s="11" t="n">
        <v>1.1873</v>
      </c>
      <c r="C405" s="11" t="n">
        <v>0.4457</v>
      </c>
      <c r="D405" s="11" t="n">
        <v>0.8813</v>
      </c>
      <c r="E405" s="11" t="n">
        <v>0.9209000000000001</v>
      </c>
      <c r="F405" s="11" t="n">
        <v>0.42</v>
      </c>
      <c r="G405" s="11" t="n">
        <v>0.5854</v>
      </c>
      <c r="H405" s="11" t="n">
        <v>0.5957</v>
      </c>
      <c r="I405" s="11" t="n">
        <v>0.6358</v>
      </c>
      <c r="J405" s="11" t="n">
        <v>0.6771</v>
      </c>
      <c r="K405" s="11" t="n">
        <v>0.6066</v>
      </c>
    </row>
    <row r="406">
      <c r="A406" s="9" t="n">
        <v>42401</v>
      </c>
      <c r="B406" s="11" t="n">
        <v>0.8851</v>
      </c>
      <c r="C406" s="11" t="n">
        <v>0.4271</v>
      </c>
      <c r="D406" s="11" t="n">
        <v>0.7866</v>
      </c>
      <c r="E406" s="11" t="n">
        <v>0.6681</v>
      </c>
      <c r="F406" s="11" t="n">
        <v>0.2466</v>
      </c>
      <c r="G406" s="11" t="n">
        <v>0.5165</v>
      </c>
      <c r="H406" s="11" t="n">
        <v>0.5382</v>
      </c>
      <c r="I406" s="11" t="n">
        <v>0.6002999999999999</v>
      </c>
      <c r="J406" s="11" t="n">
        <v>0.6299</v>
      </c>
      <c r="K406" s="11" t="n">
        <v>0.6405</v>
      </c>
    </row>
    <row r="407">
      <c r="A407" s="9" t="n">
        <v>42430</v>
      </c>
      <c r="B407" s="11" t="n">
        <v>0.9987</v>
      </c>
      <c r="C407" s="11" t="n">
        <v>0.2594</v>
      </c>
      <c r="D407" s="11" t="n">
        <v>0.7077</v>
      </c>
      <c r="E407" s="11" t="n">
        <v>0.6613</v>
      </c>
      <c r="F407" s="11" t="n">
        <v>0.3683</v>
      </c>
      <c r="G407" s="11" t="n">
        <v>0.5473</v>
      </c>
      <c r="H407" s="11" t="n">
        <v>0.5622</v>
      </c>
      <c r="I407" s="11" t="n">
        <v>0.5856</v>
      </c>
      <c r="J407" s="11" t="n">
        <v>0.5623</v>
      </c>
      <c r="K407" s="11" t="n">
        <v>0.5128</v>
      </c>
    </row>
    <row r="408">
      <c r="A408" s="9" t="n">
        <v>42461</v>
      </c>
      <c r="B408" s="11" t="n">
        <v>1.2495</v>
      </c>
      <c r="C408" s="11" t="n">
        <v>-0.1752</v>
      </c>
      <c r="D408" s="11" t="n">
        <v>0.6322</v>
      </c>
      <c r="E408" s="11" t="n">
        <v>0.6223</v>
      </c>
      <c r="F408" s="11" t="n">
        <v>0.2123</v>
      </c>
      <c r="G408" s="11" t="n">
        <v>0.4954</v>
      </c>
      <c r="H408" s="11" t="n">
        <v>0.5069</v>
      </c>
      <c r="I408" s="11" t="n">
        <v>0.5152</v>
      </c>
      <c r="J408" s="11" t="n">
        <v>0.4536</v>
      </c>
      <c r="K408" s="11" t="n">
        <v>0.3514</v>
      </c>
    </row>
    <row r="409">
      <c r="A409" s="9" t="n">
        <v>42491</v>
      </c>
      <c r="B409" s="11" t="n">
        <v>1.3047</v>
      </c>
      <c r="C409" s="11" t="n">
        <v>-0.3822</v>
      </c>
      <c r="D409" s="11" t="n">
        <v>0.6385</v>
      </c>
      <c r="E409" s="11" t="n">
        <v>0.5188</v>
      </c>
      <c r="F409" s="11" t="n">
        <v>0.2091</v>
      </c>
      <c r="G409" s="11" t="n">
        <v>0.4561</v>
      </c>
      <c r="H409" s="11" t="n">
        <v>0.4624</v>
      </c>
      <c r="I409" s="11" t="n">
        <v>0.4807</v>
      </c>
      <c r="J409" s="11" t="n">
        <v>0.428</v>
      </c>
      <c r="K409" s="11" t="n">
        <v>0.3292</v>
      </c>
    </row>
    <row r="410">
      <c r="A410" s="9" t="n">
        <v>42522</v>
      </c>
      <c r="B410" s="11" t="n">
        <v>1.231</v>
      </c>
      <c r="C410" s="11" t="n">
        <v>-0.1161</v>
      </c>
      <c r="D410" s="11" t="n">
        <v>0.7171999999999999</v>
      </c>
      <c r="E410" s="11" t="n">
        <v>0.5924</v>
      </c>
      <c r="F410" s="11" t="n">
        <v>0.3161</v>
      </c>
      <c r="G410" s="11" t="n">
        <v>0.4388</v>
      </c>
      <c r="H410" s="11" t="n">
        <v>0.4485</v>
      </c>
      <c r="I410" s="11" t="n">
        <v>0.4746</v>
      </c>
      <c r="J410" s="11" t="n">
        <v>0.4126</v>
      </c>
      <c r="K410" s="11" t="n">
        <v>0.4097</v>
      </c>
    </row>
    <row r="411">
      <c r="A411" s="9" t="n">
        <v>42552</v>
      </c>
      <c r="B411" s="11" t="n">
        <v>1.115</v>
      </c>
      <c r="C411" s="11" t="n">
        <v>-0.0713</v>
      </c>
      <c r="D411" s="11" t="n">
        <v>0.756</v>
      </c>
      <c r="E411" s="11" t="n">
        <v>0.5065</v>
      </c>
      <c r="F411" s="11" t="n">
        <v>0.389</v>
      </c>
      <c r="G411" s="11" t="n">
        <v>0.5016</v>
      </c>
      <c r="H411" s="11" t="n">
        <v>0.5099</v>
      </c>
      <c r="I411" s="11" t="n">
        <v>0.5447</v>
      </c>
      <c r="J411" s="11" t="n">
        <v>0.4593</v>
      </c>
      <c r="K411" s="11" t="n">
        <v>0.4224</v>
      </c>
    </row>
    <row r="412">
      <c r="A412" s="9" t="n">
        <v>42583</v>
      </c>
      <c r="B412" s="11" t="n">
        <v>1.0423</v>
      </c>
      <c r="C412" s="11" t="n">
        <v>-0.2751</v>
      </c>
      <c r="D412" s="11" t="n">
        <v>0.5471</v>
      </c>
      <c r="E412" s="11" t="n">
        <v>0.3987</v>
      </c>
      <c r="F412" s="11" t="n">
        <v>0.3021</v>
      </c>
      <c r="G412" s="11" t="n">
        <v>0.4611</v>
      </c>
      <c r="H412" s="11" t="n">
        <v>0.4866</v>
      </c>
      <c r="I412" s="11" t="n">
        <v>0.5064</v>
      </c>
      <c r="J412" s="11" t="n">
        <v>0.3918</v>
      </c>
      <c r="K412" s="11" t="n">
        <v>0.3257</v>
      </c>
    </row>
    <row r="413">
      <c r="A413" s="9" t="n">
        <v>42614</v>
      </c>
      <c r="B413" s="11" t="n">
        <v>1.2711</v>
      </c>
      <c r="C413" s="11" t="n">
        <v>-0.07679999999999999</v>
      </c>
      <c r="D413" s="11" t="n">
        <v>0.6545</v>
      </c>
      <c r="E413" s="11" t="n">
        <v>0.7135</v>
      </c>
      <c r="F413" s="11" t="n">
        <v>0.4483</v>
      </c>
      <c r="G413" s="11" t="n">
        <v>0.4618</v>
      </c>
      <c r="H413" s="11" t="n">
        <v>0.4745</v>
      </c>
      <c r="I413" s="11" t="n">
        <v>0.4517</v>
      </c>
      <c r="J413" s="11" t="n">
        <v>0.3254</v>
      </c>
      <c r="K413" s="11" t="n">
        <v>0.2905</v>
      </c>
    </row>
    <row r="414">
      <c r="A414" s="9" t="n">
        <v>42644</v>
      </c>
      <c r="B414" s="11" t="n">
        <v>1.1948</v>
      </c>
      <c r="C414" s="11" t="n">
        <v>-0.1398</v>
      </c>
      <c r="D414" s="11" t="n">
        <v>0.6481</v>
      </c>
      <c r="E414" s="11" t="n">
        <v>0.6087</v>
      </c>
      <c r="F414" s="11" t="n">
        <v>0.4486</v>
      </c>
      <c r="G414" s="11" t="n">
        <v>0.4532</v>
      </c>
      <c r="H414" s="11" t="n">
        <v>0.4591</v>
      </c>
      <c r="I414" s="11" t="n">
        <v>0.471</v>
      </c>
      <c r="J414" s="11" t="n">
        <v>0.2809</v>
      </c>
      <c r="K414" s="11" t="n">
        <v>0.241</v>
      </c>
    </row>
    <row r="415">
      <c r="A415" s="9" t="n">
        <v>42675</v>
      </c>
      <c r="B415" s="11" t="n">
        <v>1.178</v>
      </c>
      <c r="C415" s="11" t="n">
        <v>-0.0321</v>
      </c>
      <c r="D415" s="11" t="n">
        <v>0.6958</v>
      </c>
      <c r="E415" s="11" t="n">
        <v>0.6539</v>
      </c>
      <c r="F415" s="11" t="n">
        <v>0.6818</v>
      </c>
      <c r="G415" s="11" t="n">
        <v>0.6079</v>
      </c>
      <c r="H415" s="11" t="n">
        <v>0.6083</v>
      </c>
      <c r="I415" s="11" t="n">
        <v>0.5873</v>
      </c>
      <c r="J415" s="11" t="n">
        <v>0.415</v>
      </c>
      <c r="K415" s="11" t="n">
        <v>0.3027</v>
      </c>
    </row>
    <row r="416">
      <c r="A416" s="9" t="n">
        <v>42705</v>
      </c>
      <c r="B416" s="11" t="n">
        <v>1.033</v>
      </c>
      <c r="C416" s="11" t="n">
        <v>-0.3449</v>
      </c>
      <c r="D416" s="11" t="n">
        <v>0.7155</v>
      </c>
      <c r="E416" s="11" t="n">
        <v>0.2681</v>
      </c>
      <c r="F416" s="11" t="n">
        <v>0.6943</v>
      </c>
      <c r="G416" s="11" t="n">
        <v>0.5661</v>
      </c>
      <c r="H416" s="11" t="n">
        <v>0.5722</v>
      </c>
      <c r="I416" s="11" t="n">
        <v>0.5505</v>
      </c>
      <c r="J416" s="11" t="n">
        <v>0.4191</v>
      </c>
      <c r="K416" s="11" t="n">
        <v>0.2629</v>
      </c>
    </row>
    <row r="417">
      <c r="A417" s="9" t="n">
        <v>42736</v>
      </c>
      <c r="B417" s="11" t="n">
        <v>0.9346</v>
      </c>
      <c r="C417" s="11" t="n">
        <v>0.3518</v>
      </c>
      <c r="D417" s="11" t="n">
        <v>0.8415</v>
      </c>
      <c r="E417" s="11" t="n">
        <v>0.5905</v>
      </c>
      <c r="F417" s="11" t="n">
        <v>1.122</v>
      </c>
      <c r="G417" s="11" t="n">
        <v>0.854</v>
      </c>
      <c r="H417" s="11" t="n">
        <v>0.8117</v>
      </c>
      <c r="I417" s="11" t="n">
        <v>0.7746</v>
      </c>
      <c r="J417" s="11" t="n">
        <v>0.7069</v>
      </c>
      <c r="K417" s="11" t="n">
        <v>0.6884</v>
      </c>
    </row>
    <row r="418">
      <c r="A418" s="9" t="n">
        <v>42767</v>
      </c>
      <c r="B418" s="11" t="n">
        <v>1.0689</v>
      </c>
      <c r="C418" s="11" t="n">
        <v>-0.7963</v>
      </c>
      <c r="D418" s="11" t="n">
        <v>0.6748</v>
      </c>
      <c r="E418" s="11" t="n">
        <v>0.0238</v>
      </c>
      <c r="F418" s="11" t="n">
        <v>0.8250999999999999</v>
      </c>
      <c r="G418" s="11" t="n">
        <v>0.6556999999999999</v>
      </c>
      <c r="H418" s="11" t="n">
        <v>0.6561</v>
      </c>
      <c r="I418" s="11" t="n">
        <v>0.6808</v>
      </c>
      <c r="J418" s="11" t="n">
        <v>0.639</v>
      </c>
      <c r="K418" s="11" t="n">
        <v>0.5271</v>
      </c>
    </row>
    <row r="419">
      <c r="A419" s="9" t="n">
        <v>42795</v>
      </c>
      <c r="B419" s="11" t="n">
        <v>1.1354</v>
      </c>
      <c r="C419" s="11" t="n">
        <v>-0.331</v>
      </c>
      <c r="D419" s="11" t="n">
        <v>0.8195</v>
      </c>
      <c r="E419" s="11" t="n">
        <v>0.3118</v>
      </c>
      <c r="F419" s="11" t="n">
        <v>0.9817</v>
      </c>
      <c r="G419" s="11" t="n">
        <v>0.8579</v>
      </c>
      <c r="H419" s="11" t="n">
        <v>0.83</v>
      </c>
      <c r="I419" s="11" t="n">
        <v>0.7964</v>
      </c>
      <c r="J419" s="11" t="n">
        <v>0.8073</v>
      </c>
      <c r="K419" s="11" t="n">
        <v>0.7104</v>
      </c>
    </row>
    <row r="420">
      <c r="A420" s="9" t="n">
        <v>42826</v>
      </c>
      <c r="B420" s="11" t="n">
        <v>0.8067</v>
      </c>
      <c r="C420" s="11" t="n">
        <v>0.2723</v>
      </c>
      <c r="D420" s="11" t="n">
        <v>0.8921</v>
      </c>
      <c r="E420" s="11" t="n">
        <v>0.3939</v>
      </c>
      <c r="F420" s="11" t="n">
        <v>1.0833</v>
      </c>
      <c r="G420" s="11" t="n">
        <v>0.8522</v>
      </c>
      <c r="H420" s="11" t="n">
        <v>0.8167</v>
      </c>
      <c r="I420" s="11" t="n">
        <v>0.7697000000000001</v>
      </c>
      <c r="J420" s="11" t="n">
        <v>0.7188</v>
      </c>
      <c r="K420" s="11" t="n">
        <v>0.5316</v>
      </c>
    </row>
    <row r="421">
      <c r="A421" s="9" t="n">
        <v>42856</v>
      </c>
      <c r="B421" s="11" t="n">
        <v>0.8884</v>
      </c>
      <c r="C421" s="11" t="n">
        <v>-0.0539</v>
      </c>
      <c r="D421" s="11" t="n">
        <v>0.8519</v>
      </c>
      <c r="E421" s="11" t="n">
        <v>0.2661</v>
      </c>
      <c r="F421" s="11" t="n">
        <v>0.9402</v>
      </c>
      <c r="G421" s="11" t="n">
        <v>0.8508</v>
      </c>
      <c r="H421" s="11" t="n">
        <v>0.842</v>
      </c>
      <c r="I421" s="11" t="n">
        <v>0.83</v>
      </c>
      <c r="J421" s="11" t="n">
        <v>0.858</v>
      </c>
      <c r="K421" s="11" t="n">
        <v>0.9692</v>
      </c>
    </row>
    <row r="422">
      <c r="A422" s="9" t="n">
        <v>42887</v>
      </c>
      <c r="B422" s="11" t="n">
        <v>0.7668</v>
      </c>
      <c r="C422" s="11" t="n">
        <v>0.3277</v>
      </c>
      <c r="D422" s="11" t="n">
        <v>0.8591</v>
      </c>
      <c r="E422" s="11" t="n">
        <v>0.415</v>
      </c>
      <c r="F422" s="11" t="n">
        <v>0.8933</v>
      </c>
      <c r="G422" s="11" t="n">
        <v>0.915</v>
      </c>
      <c r="H422" s="11" t="n">
        <v>0.9116</v>
      </c>
      <c r="I422" s="11" t="n">
        <v>0.8808</v>
      </c>
      <c r="J422" s="11" t="n">
        <v>0.9046999999999999</v>
      </c>
      <c r="K422" s="11" t="n">
        <v>0.8917</v>
      </c>
    </row>
    <row r="423">
      <c r="A423" s="9" t="n">
        <v>42917</v>
      </c>
      <c r="B423" s="11" t="n">
        <v>0.7537</v>
      </c>
      <c r="C423" s="11" t="n">
        <v>0.3665</v>
      </c>
      <c r="D423" s="11" t="n">
        <v>0.9018</v>
      </c>
      <c r="E423" s="11" t="n">
        <v>0.4043</v>
      </c>
      <c r="F423" s="11" t="n">
        <v>0.8923</v>
      </c>
      <c r="G423" s="11" t="n">
        <v>0.8851</v>
      </c>
      <c r="H423" s="11" t="n">
        <v>0.8851</v>
      </c>
      <c r="I423" s="11" t="n">
        <v>0.8696</v>
      </c>
      <c r="J423" s="11" t="n">
        <v>0.8989</v>
      </c>
      <c r="K423" s="11" t="n">
        <v>0.9661</v>
      </c>
    </row>
    <row r="424">
      <c r="A424" s="9" t="n">
        <v>42948</v>
      </c>
      <c r="B424" s="11" t="n">
        <v>0.8923</v>
      </c>
      <c r="C424" s="11" t="n">
        <v>0.1677</v>
      </c>
      <c r="D424" s="11" t="n">
        <v>0.9542</v>
      </c>
      <c r="E424" s="11" t="n">
        <v>0.3648</v>
      </c>
      <c r="F424" s="11" t="n">
        <v>0.9658</v>
      </c>
      <c r="G424" s="11" t="n">
        <v>0.9805</v>
      </c>
      <c r="H424" s="11" t="n">
        <v>0.989</v>
      </c>
      <c r="I424" s="11" t="n">
        <v>0.9959</v>
      </c>
      <c r="J424" s="11" t="n">
        <v>1.058</v>
      </c>
      <c r="K424" s="11" t="n">
        <v>1.1085</v>
      </c>
    </row>
    <row r="425">
      <c r="A425" s="9" t="n">
        <v>42979</v>
      </c>
      <c r="B425" s="11" t="n">
        <v>0.8636</v>
      </c>
      <c r="C425" s="11" t="n">
        <v>0.1712</v>
      </c>
      <c r="D425" s="11" t="n">
        <v>0.8941</v>
      </c>
      <c r="E425" s="11" t="n">
        <v>0.3741</v>
      </c>
      <c r="F425" s="11" t="n">
        <v>1.0552</v>
      </c>
      <c r="G425" s="11" t="n">
        <v>1.0103</v>
      </c>
      <c r="H425" s="11" t="n">
        <v>1.0077</v>
      </c>
      <c r="I425" s="11" t="n">
        <v>1.0078</v>
      </c>
      <c r="J425" s="11" t="n">
        <v>1.0637</v>
      </c>
      <c r="K425" s="11" t="n">
        <v>1.0544</v>
      </c>
    </row>
    <row r="426">
      <c r="A426" s="9" t="n">
        <v>43009</v>
      </c>
      <c r="B426" s="11" t="n">
        <v>0.8276</v>
      </c>
      <c r="C426" s="11" t="n">
        <v>0.2591</v>
      </c>
      <c r="D426" s="11" t="n">
        <v>0.9204</v>
      </c>
      <c r="E426" s="11" t="n">
        <v>0.3871</v>
      </c>
      <c r="F426" s="11" t="n">
        <v>1.1421</v>
      </c>
      <c r="G426" s="11" t="n">
        <v>1.095</v>
      </c>
      <c r="H426" s="11" t="n">
        <v>1.0801</v>
      </c>
      <c r="I426" s="11" t="n">
        <v>1.0657</v>
      </c>
      <c r="J426" s="11" t="n">
        <v>1.1648</v>
      </c>
      <c r="K426" s="11" t="n">
        <v>1.3141</v>
      </c>
    </row>
    <row r="427">
      <c r="A427" s="9" t="n">
        <v>43040</v>
      </c>
      <c r="B427" s="11" t="n">
        <v>0.8854</v>
      </c>
      <c r="C427" s="11" t="n">
        <v>0.2211</v>
      </c>
      <c r="D427" s="11" t="n">
        <v>0.9330000000000001</v>
      </c>
      <c r="E427" s="11" t="n">
        <v>0.4049</v>
      </c>
      <c r="F427" s="11" t="n">
        <v>1.1911</v>
      </c>
      <c r="G427" s="11" t="n">
        <v>1.0784</v>
      </c>
      <c r="H427" s="11" t="n">
        <v>1.0633</v>
      </c>
      <c r="I427" s="11" t="n">
        <v>1.061</v>
      </c>
      <c r="J427" s="11" t="n">
        <v>1.1346</v>
      </c>
      <c r="K427" s="11" t="n">
        <v>1.1735</v>
      </c>
    </row>
    <row r="428">
      <c r="A428" s="9" t="n">
        <v>43070</v>
      </c>
      <c r="B428" s="11" t="n">
        <v>0.8749</v>
      </c>
      <c r="C428" s="11" t="n">
        <v>0.3504</v>
      </c>
      <c r="D428" s="11" t="n">
        <v>0.8967000000000001</v>
      </c>
      <c r="E428" s="11" t="n">
        <v>0.5046</v>
      </c>
      <c r="F428" s="11" t="n">
        <v>1.1922</v>
      </c>
      <c r="G428" s="11" t="n">
        <v>1.0558</v>
      </c>
      <c r="H428" s="11" t="n">
        <v>1.0463</v>
      </c>
      <c r="I428" s="11" t="n">
        <v>1.0626</v>
      </c>
      <c r="J428" s="11" t="n">
        <v>1.1303</v>
      </c>
      <c r="K428" s="11" t="n">
        <v>1.2643</v>
      </c>
    </row>
    <row r="429">
      <c r="A429" s="9" t="n">
        <v>43101</v>
      </c>
      <c r="B429" s="11" t="n">
        <v>1.3344</v>
      </c>
      <c r="C429" s="11" t="n">
        <v>0.4446</v>
      </c>
      <c r="D429" s="11" t="n">
        <v>1.1042</v>
      </c>
      <c r="E429" s="11" t="n">
        <v>0.8475</v>
      </c>
      <c r="F429" s="11" t="n">
        <v>1.3672</v>
      </c>
      <c r="G429" s="11" t="n">
        <v>1.1698</v>
      </c>
      <c r="H429" s="11" t="n">
        <v>1.1529</v>
      </c>
      <c r="I429" s="11" t="n">
        <v>1.1242</v>
      </c>
      <c r="J429" s="11" t="n">
        <v>1.1491</v>
      </c>
      <c r="K429" s="11" t="n">
        <v>1.1309</v>
      </c>
    </row>
    <row r="430">
      <c r="A430" s="9" t="n">
        <v>43132</v>
      </c>
      <c r="B430" s="11" t="n">
        <v>1.1155</v>
      </c>
      <c r="C430" s="11" t="n">
        <v>0.4927</v>
      </c>
      <c r="D430" s="11" t="n">
        <v>1.1861</v>
      </c>
      <c r="E430" s="11" t="n">
        <v>0.6345</v>
      </c>
      <c r="F430" s="11" t="n">
        <v>1.3224</v>
      </c>
      <c r="G430" s="11" t="n">
        <v>1.1849</v>
      </c>
      <c r="H430" s="11" t="n">
        <v>1.1741</v>
      </c>
      <c r="I430" s="11" t="n">
        <v>1.13</v>
      </c>
      <c r="J430" s="11" t="n">
        <v>1.1487</v>
      </c>
      <c r="K430" s="11" t="n">
        <v>1.1969</v>
      </c>
    </row>
    <row r="431">
      <c r="A431" s="9" t="n">
        <v>43160</v>
      </c>
      <c r="B431" s="11" t="n">
        <v>1.4234</v>
      </c>
      <c r="C431" s="11" t="n">
        <v>0.3586</v>
      </c>
      <c r="D431" s="11" t="n">
        <v>1.2263</v>
      </c>
      <c r="E431" s="11" t="n">
        <v>0.8084</v>
      </c>
      <c r="F431" s="11" t="n">
        <v>1.4277</v>
      </c>
      <c r="G431" s="11" t="n">
        <v>1.2183</v>
      </c>
      <c r="H431" s="11" t="n">
        <v>1.2064</v>
      </c>
      <c r="I431" s="11" t="n">
        <v>1.1792</v>
      </c>
      <c r="J431" s="11" t="n">
        <v>1.2308</v>
      </c>
      <c r="K431" s="11" t="n">
        <v>1.2444</v>
      </c>
    </row>
    <row r="432">
      <c r="A432" s="9" t="n">
        <v>43191</v>
      </c>
      <c r="B432" s="11" t="n">
        <v>1.3999</v>
      </c>
      <c r="C432" s="11" t="n">
        <v>0.3111</v>
      </c>
      <c r="D432" s="11" t="n">
        <v>1.1971</v>
      </c>
      <c r="E432" s="11" t="n">
        <v>0.7704</v>
      </c>
      <c r="F432" s="11" t="n">
        <v>1.4548</v>
      </c>
      <c r="G432" s="11" t="n">
        <v>1.2093</v>
      </c>
      <c r="H432" s="11" t="n">
        <v>1.198</v>
      </c>
      <c r="I432" s="11" t="n">
        <v>1.1745</v>
      </c>
      <c r="J432" s="11" t="n">
        <v>1.2047</v>
      </c>
      <c r="K432" s="11" t="n">
        <v>1.1642</v>
      </c>
    </row>
    <row r="433">
      <c r="A433" s="9" t="n">
        <v>43221</v>
      </c>
      <c r="B433" s="11" t="n">
        <v>1.4445</v>
      </c>
      <c r="C433" s="11" t="n">
        <v>0.6379</v>
      </c>
      <c r="D433" s="11" t="n">
        <v>1.2181</v>
      </c>
      <c r="E433" s="11" t="n">
        <v>1.025</v>
      </c>
      <c r="F433" s="11" t="n">
        <v>1.7477</v>
      </c>
      <c r="G433" s="11" t="n">
        <v>1.3372</v>
      </c>
      <c r="H433" s="11" t="n">
        <v>1.3252</v>
      </c>
      <c r="I433" s="11" t="n">
        <v>1.3181</v>
      </c>
      <c r="J433" s="11" t="n">
        <v>1.3859</v>
      </c>
      <c r="K433" s="11" t="n">
        <v>1.3936</v>
      </c>
    </row>
    <row r="434">
      <c r="A434" s="9" t="n">
        <v>43252</v>
      </c>
      <c r="B434" s="11" t="n">
        <v>1.2579</v>
      </c>
      <c r="C434" s="11" t="n">
        <v>0.3113</v>
      </c>
      <c r="D434" s="11" t="n">
        <v>1.2683</v>
      </c>
      <c r="E434" s="11" t="n">
        <v>0.6056</v>
      </c>
      <c r="F434" s="11" t="n">
        <v>1.6706</v>
      </c>
      <c r="G434" s="11" t="n">
        <v>1.2219</v>
      </c>
      <c r="H434" s="11" t="n">
        <v>1.2194</v>
      </c>
      <c r="I434" s="11" t="n">
        <v>1.2458</v>
      </c>
      <c r="J434" s="11" t="n">
        <v>1.2568</v>
      </c>
      <c r="K434" s="11" t="n">
        <v>1.2176</v>
      </c>
    </row>
    <row r="435">
      <c r="A435" s="9" t="n">
        <v>43282</v>
      </c>
      <c r="B435" s="11" t="n">
        <v>1.3462</v>
      </c>
      <c r="C435" s="11" t="n">
        <v>0.5218</v>
      </c>
      <c r="D435" s="11" t="n">
        <v>1.1608</v>
      </c>
      <c r="E435" s="11" t="n">
        <v>0.8976</v>
      </c>
      <c r="F435" s="11" t="n">
        <v>1.9453</v>
      </c>
      <c r="G435" s="11" t="n">
        <v>1.3521</v>
      </c>
      <c r="H435" s="11" t="n">
        <v>1.3118</v>
      </c>
      <c r="I435" s="11" t="n">
        <v>1.3737</v>
      </c>
      <c r="J435" s="11" t="n">
        <v>1.4619</v>
      </c>
      <c r="K435" s="11" t="n">
        <v>1.4309</v>
      </c>
    </row>
    <row r="436">
      <c r="A436" s="9" t="n">
        <v>43313</v>
      </c>
      <c r="B436" s="11" t="n">
        <v>1.3676</v>
      </c>
      <c r="C436" s="11" t="n">
        <v>0.5645</v>
      </c>
      <c r="D436" s="11" t="n">
        <v>1.1353</v>
      </c>
      <c r="E436" s="11" t="n">
        <v>0.9655</v>
      </c>
      <c r="F436" s="11" t="n">
        <v>2.0039</v>
      </c>
      <c r="G436" s="11" t="n">
        <v>1.3869</v>
      </c>
      <c r="H436" s="11" t="n">
        <v>1.3216</v>
      </c>
      <c r="I436" s="11" t="n">
        <v>1.332</v>
      </c>
      <c r="J436" s="11" t="n">
        <v>1.4357</v>
      </c>
      <c r="K436" s="11" t="n">
        <v>1.4572</v>
      </c>
    </row>
    <row r="437">
      <c r="A437" s="9" t="n">
        <v>43344</v>
      </c>
      <c r="B437" s="11" t="n">
        <v>1.1634</v>
      </c>
      <c r="C437" s="11" t="n">
        <v>0.2221</v>
      </c>
      <c r="D437" s="11" t="n">
        <v>1.2052</v>
      </c>
      <c r="E437" s="11" t="n">
        <v>0.4908</v>
      </c>
      <c r="F437" s="11" t="n">
        <v>1.997</v>
      </c>
      <c r="G437" s="11" t="n">
        <v>1.2444</v>
      </c>
      <c r="H437" s="11" t="n">
        <v>1.196</v>
      </c>
      <c r="I437" s="11" t="n">
        <v>1.212</v>
      </c>
      <c r="J437" s="11" t="n">
        <v>1.2631</v>
      </c>
      <c r="K437" s="11" t="n">
        <v>1.2686</v>
      </c>
    </row>
    <row r="438">
      <c r="A438" s="9" t="n">
        <v>43374</v>
      </c>
      <c r="B438" s="11" t="n">
        <v>1.2613</v>
      </c>
      <c r="C438" s="11" t="n">
        <v>0.1609</v>
      </c>
      <c r="D438" s="11" t="n">
        <v>1.2416</v>
      </c>
      <c r="E438" s="11" t="n">
        <v>0.5103</v>
      </c>
      <c r="F438" s="11" t="n">
        <v>1.9165</v>
      </c>
      <c r="G438" s="11" t="n">
        <v>1.3047</v>
      </c>
      <c r="H438" s="11" t="n">
        <v>1.2511</v>
      </c>
      <c r="I438" s="11" t="n">
        <v>1.2415</v>
      </c>
      <c r="J438" s="11" t="n">
        <v>1.3427</v>
      </c>
      <c r="K438" s="11" t="n">
        <v>1.4315</v>
      </c>
    </row>
    <row r="439">
      <c r="A439" s="9" t="n">
        <v>43405</v>
      </c>
      <c r="B439" s="11" t="n">
        <v>1.1209</v>
      </c>
      <c r="C439" s="11" t="n">
        <v>0.2166</v>
      </c>
      <c r="D439" s="11" t="n">
        <v>1.3356</v>
      </c>
      <c r="E439" s="11" t="n">
        <v>0.363</v>
      </c>
      <c r="F439" s="11" t="n">
        <v>1.6434</v>
      </c>
      <c r="G439" s="11" t="n">
        <v>1.2541</v>
      </c>
      <c r="H439" s="11" t="n">
        <v>1.2338</v>
      </c>
      <c r="I439" s="11" t="n">
        <v>1.2401</v>
      </c>
      <c r="J439" s="11" t="n">
        <v>1.3276</v>
      </c>
      <c r="K439" s="11" t="n">
        <v>1.341</v>
      </c>
    </row>
    <row r="440">
      <c r="A440" s="9" t="n">
        <v>43435</v>
      </c>
      <c r="B440" s="11" t="n">
        <v>1.0969</v>
      </c>
      <c r="C440" s="11" t="n">
        <v>0.0375</v>
      </c>
      <c r="D440" s="11" t="n">
        <v>1.3617</v>
      </c>
      <c r="E440" s="11" t="n">
        <v>0.2099</v>
      </c>
      <c r="F440" s="11" t="n">
        <v>1.5357</v>
      </c>
      <c r="G440" s="11" t="n">
        <v>1.2742</v>
      </c>
      <c r="H440" s="11" t="n">
        <v>1.264</v>
      </c>
      <c r="I440" s="11" t="n">
        <v>1.3218</v>
      </c>
      <c r="J440" s="11" t="n">
        <v>1.4256</v>
      </c>
      <c r="K440" s="11" t="n">
        <v>1.3891</v>
      </c>
    </row>
    <row r="441">
      <c r="A441" s="9" t="n">
        <v>43466</v>
      </c>
      <c r="B441" s="11" t="n">
        <v>1.0601</v>
      </c>
      <c r="C441" s="11" t="n">
        <v>0.1101</v>
      </c>
      <c r="D441" s="11" t="n">
        <v>1.3172</v>
      </c>
      <c r="E441" s="11" t="n">
        <v>0.2568</v>
      </c>
      <c r="F441" s="11" t="n">
        <v>1.2034</v>
      </c>
      <c r="G441" s="11" t="n">
        <v>1.0907</v>
      </c>
      <c r="H441" s="11" t="n">
        <v>1.0956</v>
      </c>
      <c r="I441" s="11" t="n">
        <v>1.1307</v>
      </c>
      <c r="J441" s="11" t="n">
        <v>1.2403</v>
      </c>
      <c r="K441" s="11" t="n">
        <v>1.2869</v>
      </c>
    </row>
    <row r="442">
      <c r="A442" s="9" t="n">
        <v>43497</v>
      </c>
      <c r="B442" s="11" t="n">
        <v>1.0633</v>
      </c>
      <c r="C442" s="11" t="n">
        <v>-0.0835</v>
      </c>
      <c r="D442" s="11" t="n">
        <v>1.2057</v>
      </c>
      <c r="E442" s="11" t="n">
        <v>0.1937</v>
      </c>
      <c r="F442" s="11" t="n">
        <v>1.3505</v>
      </c>
      <c r="G442" s="11" t="n">
        <v>1.2554</v>
      </c>
      <c r="H442" s="11" t="n">
        <v>1.2606</v>
      </c>
      <c r="I442" s="11" t="n">
        <v>1.3096</v>
      </c>
      <c r="J442" s="11" t="n">
        <v>1.3747</v>
      </c>
      <c r="K442" s="11" t="n">
        <v>1.3387</v>
      </c>
    </row>
    <row r="443">
      <c r="A443" s="9" t="n">
        <v>43525</v>
      </c>
      <c r="B443" s="11" t="n">
        <v>0.7076</v>
      </c>
      <c r="C443" s="11" t="n">
        <v>-0.2619</v>
      </c>
      <c r="D443" s="11" t="n">
        <v>1.1821</v>
      </c>
      <c r="E443" s="11" t="n">
        <v>-0.2367</v>
      </c>
      <c r="F443" s="11" t="n">
        <v>1.1935</v>
      </c>
      <c r="G443" s="11" t="n">
        <v>1.1207</v>
      </c>
      <c r="H443" s="11" t="n">
        <v>1.1122</v>
      </c>
      <c r="I443" s="11" t="n">
        <v>1.1198</v>
      </c>
      <c r="J443" s="11" t="n">
        <v>1.2285</v>
      </c>
      <c r="K443" s="11" t="n">
        <v>1.1835</v>
      </c>
    </row>
    <row r="444">
      <c r="A444" s="9" t="n">
        <v>43556</v>
      </c>
      <c r="B444" s="11" t="n">
        <v>1.0756</v>
      </c>
      <c r="C444" s="11" t="n">
        <v>-0.1394</v>
      </c>
      <c r="D444" s="11" t="n">
        <v>1.2181</v>
      </c>
      <c r="E444" s="11" t="n">
        <v>0.1571</v>
      </c>
      <c r="F444" s="11" t="n">
        <v>1.3951</v>
      </c>
      <c r="G444" s="11" t="n">
        <v>1.2999</v>
      </c>
      <c r="H444" s="11" t="n">
        <v>1.2792</v>
      </c>
      <c r="I444" s="11" t="n">
        <v>1.2647</v>
      </c>
      <c r="J444" s="11" t="n">
        <v>1.2723</v>
      </c>
      <c r="K444" s="11" t="n">
        <v>1.1635</v>
      </c>
    </row>
    <row r="445">
      <c r="A445" s="9" t="n">
        <v>43586</v>
      </c>
      <c r="B445" s="11" t="n">
        <v>0.7805</v>
      </c>
      <c r="C445" s="11" t="n">
        <v>-0.4315</v>
      </c>
      <c r="D445" s="11" t="n">
        <v>1.2118</v>
      </c>
      <c r="E445" s="11" t="n">
        <v>-0.3041</v>
      </c>
      <c r="F445" s="11" t="n">
        <v>1.0504</v>
      </c>
      <c r="G445" s="11" t="n">
        <v>1.0531</v>
      </c>
      <c r="H445" s="11" t="n">
        <v>1.0626</v>
      </c>
      <c r="I445" s="11" t="n">
        <v>1.0666</v>
      </c>
      <c r="J445" s="11" t="n">
        <v>1.1751</v>
      </c>
      <c r="K445" s="11" t="n">
        <v>1.1292</v>
      </c>
    </row>
    <row r="446">
      <c r="A446" s="9" t="n">
        <v>43617</v>
      </c>
      <c r="B446" s="11" t="n">
        <v>1.2632</v>
      </c>
      <c r="C446" s="11" t="n">
        <v>-0.0438</v>
      </c>
      <c r="D446" s="11" t="n">
        <v>1.1799</v>
      </c>
      <c r="E446" s="11" t="n">
        <v>0.4178</v>
      </c>
      <c r="F446" s="11" t="n">
        <v>1.2821</v>
      </c>
      <c r="G446" s="11" t="n">
        <v>1.2187</v>
      </c>
      <c r="H446" s="11" t="n">
        <v>1.2473</v>
      </c>
      <c r="I446" s="11" t="n">
        <v>1.2678</v>
      </c>
      <c r="J446" s="11" t="n">
        <v>1.244</v>
      </c>
      <c r="K446" s="11" t="n">
        <v>1.2206</v>
      </c>
    </row>
    <row r="447">
      <c r="A447" s="9" t="n">
        <v>43647</v>
      </c>
      <c r="B447" s="11" t="n">
        <v>1.1824</v>
      </c>
      <c r="C447" s="11" t="n">
        <v>-0.0299</v>
      </c>
      <c r="D447" s="11" t="n">
        <v>1.1924</v>
      </c>
      <c r="E447" s="11" t="n">
        <v>0.3628</v>
      </c>
      <c r="F447" s="11" t="n">
        <v>1.1236</v>
      </c>
      <c r="G447" s="11" t="n">
        <v>1.1052</v>
      </c>
      <c r="H447" s="11" t="n">
        <v>1.1115</v>
      </c>
      <c r="I447" s="11" t="n">
        <v>1.0948</v>
      </c>
      <c r="J447" s="11" t="n">
        <v>1.114</v>
      </c>
      <c r="K447" s="11" t="n">
        <v>1.0841</v>
      </c>
    </row>
    <row r="448">
      <c r="A448" s="9" t="n">
        <v>43678</v>
      </c>
      <c r="B448" s="11" t="n">
        <v>1.2729</v>
      </c>
      <c r="C448" s="11" t="n">
        <v>-0.2247</v>
      </c>
      <c r="D448" s="11" t="n">
        <v>1.2489</v>
      </c>
      <c r="E448" s="11" t="n">
        <v>0.2788</v>
      </c>
      <c r="F448" s="11" t="n">
        <v>1.0678</v>
      </c>
      <c r="G448" s="11" t="n">
        <v>1.0323</v>
      </c>
      <c r="H448" s="11" t="n">
        <v>1.0672</v>
      </c>
      <c r="I448" s="11" t="n">
        <v>1.0958</v>
      </c>
      <c r="J448" s="11" t="n">
        <v>1.1721</v>
      </c>
      <c r="K448" s="11" t="n">
        <v>1.1006</v>
      </c>
    </row>
    <row r="449">
      <c r="A449" s="9" t="n">
        <v>43709</v>
      </c>
      <c r="B449" s="11" t="n">
        <v>1.5224</v>
      </c>
      <c r="C449" s="11" t="n">
        <v>-0.1908</v>
      </c>
      <c r="D449" s="11" t="n">
        <v>1.1658</v>
      </c>
      <c r="E449" s="11" t="n">
        <v>0.5608</v>
      </c>
      <c r="F449" s="11" t="n">
        <v>1.0629</v>
      </c>
      <c r="G449" s="11" t="n">
        <v>1.1108</v>
      </c>
      <c r="H449" s="11" t="n">
        <v>1.1258</v>
      </c>
      <c r="I449" s="11" t="n">
        <v>1.0962</v>
      </c>
      <c r="J449" s="11" t="n">
        <v>1.1313</v>
      </c>
      <c r="K449" s="11" t="n">
        <v>1.1224</v>
      </c>
    </row>
    <row r="450">
      <c r="A450" s="9" t="n">
        <v>43739</v>
      </c>
      <c r="B450" s="11" t="n">
        <v>1.3423</v>
      </c>
      <c r="C450" s="11" t="n">
        <v>0.1459</v>
      </c>
      <c r="D450" s="11" t="n">
        <v>1.2681</v>
      </c>
      <c r="E450" s="11" t="n">
        <v>0.5629999999999999</v>
      </c>
      <c r="F450" s="11" t="n">
        <v>0.976</v>
      </c>
      <c r="G450" s="11" t="n">
        <v>1.1299</v>
      </c>
      <c r="H450" s="11" t="n">
        <v>1.1136</v>
      </c>
      <c r="I450" s="11" t="n">
        <v>1.0785</v>
      </c>
      <c r="J450" s="11" t="n">
        <v>1.0905</v>
      </c>
      <c r="K450" s="11" t="n">
        <v>1.0882</v>
      </c>
    </row>
    <row r="451">
      <c r="A451" s="9" t="n">
        <v>43770</v>
      </c>
      <c r="B451" s="11" t="n">
        <v>1.3684</v>
      </c>
      <c r="C451" s="11" t="n">
        <v>0.1191</v>
      </c>
      <c r="D451" s="11" t="n">
        <v>1.1763</v>
      </c>
      <c r="E451" s="11" t="n">
        <v>0.6203</v>
      </c>
      <c r="F451" s="11" t="n">
        <v>1.1426</v>
      </c>
      <c r="G451" s="11" t="n">
        <v>1.1235</v>
      </c>
      <c r="H451" s="11" t="n">
        <v>1.1069</v>
      </c>
      <c r="I451" s="11" t="n">
        <v>1.061</v>
      </c>
      <c r="J451" s="11" t="n">
        <v>1.0776</v>
      </c>
      <c r="K451" s="11" t="n">
        <v>1.0713</v>
      </c>
    </row>
    <row r="452">
      <c r="A452" s="9" t="n">
        <v>43800</v>
      </c>
      <c r="B452" s="11" t="n">
        <v>1.4002</v>
      </c>
      <c r="C452" s="11" t="n">
        <v>0.4247</v>
      </c>
      <c r="D452" s="11" t="n">
        <v>1.056</v>
      </c>
      <c r="E452" s="11" t="n">
        <v>0.9337</v>
      </c>
      <c r="F452" s="11" t="n">
        <v>1.4647</v>
      </c>
      <c r="G452" s="11" t="n">
        <v>1.3976</v>
      </c>
      <c r="H452" s="11" t="n">
        <v>1.3632</v>
      </c>
      <c r="I452" s="11" t="n">
        <v>1.3172</v>
      </c>
      <c r="J452" s="11" t="n">
        <v>1.2662</v>
      </c>
      <c r="K452" s="11" t="n">
        <v>1.225</v>
      </c>
    </row>
    <row r="453">
      <c r="A453" s="9" t="n">
        <v>43831</v>
      </c>
      <c r="B453" s="11" t="n">
        <v>1.3711</v>
      </c>
      <c r="C453" s="11" t="n">
        <v>0.125</v>
      </c>
      <c r="D453" s="11" t="n">
        <v>0.9552</v>
      </c>
      <c r="E453" s="11" t="n">
        <v>0.7981</v>
      </c>
      <c r="F453" s="11" t="n">
        <v>1.6405</v>
      </c>
      <c r="G453" s="11" t="n">
        <v>1.5137</v>
      </c>
      <c r="H453" s="11" t="n">
        <v>1.4779</v>
      </c>
      <c r="I453" s="11" t="n">
        <v>1.3262</v>
      </c>
      <c r="J453" s="11" t="n">
        <v>1.2558</v>
      </c>
      <c r="K453" s="11" t="n">
        <v>1.2026</v>
      </c>
    </row>
    <row r="454">
      <c r="A454" s="9" t="n">
        <v>43862</v>
      </c>
      <c r="B454" s="11" t="n">
        <v>1.3979</v>
      </c>
      <c r="C454" s="11" t="n">
        <v>0.9203</v>
      </c>
      <c r="D454" s="11" t="n">
        <v>1.2347</v>
      </c>
      <c r="E454" s="11" t="n">
        <v>1.1941</v>
      </c>
      <c r="F454" s="11" t="n">
        <v>1.4565</v>
      </c>
      <c r="G454" s="11" t="n">
        <v>1.4013</v>
      </c>
      <c r="H454" s="11" t="n">
        <v>1.386</v>
      </c>
      <c r="I454" s="11" t="n">
        <v>1.3211</v>
      </c>
      <c r="J454" s="11" t="n">
        <v>1.343</v>
      </c>
      <c r="K454" s="11" t="n">
        <v>1.286</v>
      </c>
    </row>
    <row r="455">
      <c r="A455" s="9" t="n">
        <v>43891</v>
      </c>
      <c r="B455" s="11" t="n">
        <v>1.1995</v>
      </c>
      <c r="C455" s="11" t="n">
        <v>-0.0634</v>
      </c>
      <c r="D455" s="11" t="n">
        <v>1.042</v>
      </c>
      <c r="E455" s="11" t="n">
        <v>0.4422</v>
      </c>
      <c r="F455" s="11" t="n">
        <v>0.8123</v>
      </c>
      <c r="G455" s="11" t="n">
        <v>0.9611</v>
      </c>
      <c r="H455" s="11" t="n">
        <v>0.9526</v>
      </c>
      <c r="I455" s="11" t="n">
        <v>0.9425</v>
      </c>
      <c r="J455" s="11" t="n">
        <v>0.8721</v>
      </c>
      <c r="K455" s="11" t="n">
        <v>0.9355</v>
      </c>
    </row>
    <row r="456">
      <c r="A456" s="9" t="n">
        <v>43922</v>
      </c>
      <c r="B456" s="11" t="n">
        <v>0.9471000000000001</v>
      </c>
      <c r="C456" s="11" t="n">
        <v>-0.6418</v>
      </c>
      <c r="D456" s="11" t="n">
        <v>0.8776</v>
      </c>
      <c r="E456" s="11" t="n">
        <v>-0.0902</v>
      </c>
      <c r="F456" s="11" t="n">
        <v>0.658</v>
      </c>
      <c r="G456" s="11" t="n">
        <v>0.7655</v>
      </c>
      <c r="H456" s="11" t="n">
        <v>0.7397</v>
      </c>
      <c r="I456" s="11" t="n">
        <v>0.7086</v>
      </c>
      <c r="J456" s="11" t="n">
        <v>0.6987</v>
      </c>
      <c r="K456" s="11" t="n">
        <v>0.6201</v>
      </c>
    </row>
    <row r="457">
      <c r="A457" s="9" t="n">
        <v>43952</v>
      </c>
      <c r="B457" s="11" t="n">
        <v>1.2723</v>
      </c>
      <c r="C457" s="11" t="n">
        <v>-0.1288</v>
      </c>
      <c r="D457" s="11" t="n">
        <v>1.252</v>
      </c>
      <c r="E457" s="11" t="n">
        <v>0.3368</v>
      </c>
      <c r="F457" s="11" t="n">
        <v>0.9361</v>
      </c>
      <c r="G457" s="11" t="n">
        <v>0.9524</v>
      </c>
      <c r="H457" s="11" t="n">
        <v>0.9393</v>
      </c>
      <c r="I457" s="11" t="n">
        <v>0.8539</v>
      </c>
      <c r="J457" s="11" t="n">
        <v>0.6781</v>
      </c>
      <c r="K457" s="11" t="n">
        <v>0.6075</v>
      </c>
    </row>
    <row r="458">
      <c r="A458" s="9" t="n">
        <v>43983</v>
      </c>
      <c r="B458" s="11" t="n">
        <v>0.8968</v>
      </c>
      <c r="C458" s="11" t="n">
        <v>-0.2352</v>
      </c>
      <c r="D458" s="11" t="n">
        <v>1.2109</v>
      </c>
      <c r="E458" s="11" t="n">
        <v>-0.0545</v>
      </c>
      <c r="F458" s="11" t="n">
        <v>0.4741</v>
      </c>
      <c r="G458" s="11" t="n">
        <v>0.6981000000000001</v>
      </c>
      <c r="H458" s="11" t="n">
        <v>0.7038</v>
      </c>
      <c r="I458" s="11" t="n">
        <v>0.6973</v>
      </c>
      <c r="J458" s="11" t="n">
        <v>0.6569</v>
      </c>
      <c r="K458" s="11" t="n">
        <v>0.6286</v>
      </c>
    </row>
    <row r="459">
      <c r="A459" s="9" t="n">
        <v>44013</v>
      </c>
      <c r="B459" s="11" t="n">
        <v>0.9837</v>
      </c>
      <c r="C459" s="11" t="n">
        <v>2.0629</v>
      </c>
      <c r="D459" s="11" t="n">
        <v>1.8428</v>
      </c>
      <c r="E459" s="11" t="n">
        <v>1.2088</v>
      </c>
      <c r="F459" s="11" t="n">
        <v>0.9601</v>
      </c>
      <c r="G459" s="11" t="n">
        <v>1.0867</v>
      </c>
      <c r="H459" s="11" t="n">
        <v>1.0967</v>
      </c>
      <c r="I459" s="11" t="n">
        <v>1.016</v>
      </c>
      <c r="J459" s="11" t="n">
        <v>0.9877</v>
      </c>
      <c r="K459" s="11" t="n">
        <v>0.9883999999999999</v>
      </c>
    </row>
    <row r="460">
      <c r="A460" s="9" t="n">
        <v>44044</v>
      </c>
      <c r="B460" s="11" t="n">
        <v>1.1932</v>
      </c>
      <c r="C460" s="11" t="n">
        <v>-0.354</v>
      </c>
      <c r="D460" s="11" t="n">
        <v>1.4675</v>
      </c>
      <c r="E460" s="11" t="n">
        <v>0.008699999999999999</v>
      </c>
      <c r="F460" s="11" t="n">
        <v>0.419</v>
      </c>
      <c r="G460" s="11" t="n">
        <v>0.7521</v>
      </c>
      <c r="H460" s="11" t="n">
        <v>0.7431</v>
      </c>
      <c r="I460" s="11" t="n">
        <v>0.7449</v>
      </c>
      <c r="J460" s="11" t="n">
        <v>0.6383</v>
      </c>
      <c r="K460" s="11" t="n">
        <v>0.4859</v>
      </c>
    </row>
    <row r="461">
      <c r="A461" s="9" t="n">
        <v>44075</v>
      </c>
      <c r="B461" s="11" t="n">
        <v>0.8054</v>
      </c>
      <c r="C461" s="11" t="n">
        <v>-0.1678</v>
      </c>
      <c r="D461" s="11" t="n">
        <v>1.4016</v>
      </c>
      <c r="E461" s="11" t="n">
        <v>-0.1986</v>
      </c>
      <c r="F461" s="11" t="n">
        <v>0.2992</v>
      </c>
      <c r="G461" s="11" t="n">
        <v>0.542</v>
      </c>
      <c r="H461" s="11" t="n">
        <v>0.5586</v>
      </c>
      <c r="I461" s="11" t="n">
        <v>0.6152</v>
      </c>
      <c r="J461" s="11" t="n">
        <v>0.532</v>
      </c>
      <c r="K461" s="11" t="n">
        <v>0.4622</v>
      </c>
    </row>
    <row r="462">
      <c r="A462" s="9" t="n">
        <v>44105</v>
      </c>
      <c r="B462" s="11" t="n">
        <v>0.7539</v>
      </c>
      <c r="C462" s="11" t="n">
        <v>-0.3494</v>
      </c>
      <c r="D462" s="11" t="n">
        <v>1.3274</v>
      </c>
      <c r="E462" s="11" t="n">
        <v>-0.3349</v>
      </c>
      <c r="F462" s="11" t="n">
        <v>0.3867</v>
      </c>
      <c r="G462" s="11" t="n">
        <v>0.6405</v>
      </c>
      <c r="H462" s="11" t="n">
        <v>0.641</v>
      </c>
      <c r="I462" s="11" t="n">
        <v>0.6516999999999999</v>
      </c>
      <c r="J462" s="11" t="n">
        <v>0.5668</v>
      </c>
      <c r="K462" s="11" t="n">
        <v>0.4391</v>
      </c>
    </row>
    <row r="463">
      <c r="A463" s="9" t="n">
        <v>44136</v>
      </c>
      <c r="B463" s="11" t="n">
        <v>1.0167</v>
      </c>
      <c r="C463" s="11" t="n">
        <v>-0.4619</v>
      </c>
      <c r="D463" s="11" t="n">
        <v>1.1414</v>
      </c>
      <c r="E463" s="11" t="n">
        <v>-0.0558</v>
      </c>
      <c r="F463" s="11" t="n">
        <v>0.4625</v>
      </c>
      <c r="G463" s="11" t="n">
        <v>0.6182</v>
      </c>
      <c r="H463" s="11" t="n">
        <v>0.5953000000000001</v>
      </c>
      <c r="I463" s="11" t="n">
        <v>0.5872000000000001</v>
      </c>
      <c r="J463" s="11" t="n">
        <v>0.5221</v>
      </c>
      <c r="K463" s="11" t="n">
        <v>0.3369</v>
      </c>
    </row>
    <row r="464">
      <c r="A464" s="9" t="n">
        <v>44166</v>
      </c>
      <c r="B464" s="11" t="n">
        <v>0.8792</v>
      </c>
      <c r="C464" s="11" t="n">
        <v>-0.7538</v>
      </c>
      <c r="D464" s="11" t="n">
        <v>1.0347</v>
      </c>
      <c r="E464" s="11" t="n">
        <v>-0.3218</v>
      </c>
      <c r="F464" s="11" t="n">
        <v>0.2117</v>
      </c>
      <c r="G464" s="11" t="n">
        <v>0.313</v>
      </c>
      <c r="H464" s="11" t="n">
        <v>0.3136</v>
      </c>
      <c r="I464" s="11" t="n">
        <v>0.3764</v>
      </c>
      <c r="J464" s="11" t="n">
        <v>0.3565</v>
      </c>
      <c r="K464" s="11" t="n">
        <v>0.2391</v>
      </c>
    </row>
    <row r="465">
      <c r="A465" s="9" t="n">
        <v>44197</v>
      </c>
      <c r="B465" s="11" t="n">
        <v>0.9987</v>
      </c>
      <c r="C465" s="11" t="n">
        <v>1.3353</v>
      </c>
      <c r="D465" s="11" t="n">
        <v>1.6172</v>
      </c>
      <c r="E465" s="11" t="n">
        <v>0.8793</v>
      </c>
      <c r="F465" s="11" t="n">
        <v>1.0366</v>
      </c>
      <c r="G465" s="11" t="n">
        <v>0.9911</v>
      </c>
      <c r="H465" s="11" t="n">
        <v>0.9573</v>
      </c>
      <c r="I465" s="11" t="n">
        <v>0.7899</v>
      </c>
      <c r="J465" s="11" t="n">
        <v>0.6981000000000001</v>
      </c>
      <c r="K465" s="11" t="n">
        <v>0.5752</v>
      </c>
    </row>
    <row r="466">
      <c r="A466" s="9" t="n">
        <v>44228</v>
      </c>
      <c r="B466" s="11" t="n">
        <v>1.0358</v>
      </c>
      <c r="C466" s="11" t="n">
        <v>0.033</v>
      </c>
      <c r="D466" s="11" t="n">
        <v>1.2439</v>
      </c>
      <c r="E466" s="11" t="n">
        <v>0.2866</v>
      </c>
      <c r="F466" s="11" t="n">
        <v>0.6982</v>
      </c>
      <c r="G466" s="11" t="n">
        <v>0.727</v>
      </c>
      <c r="H466" s="11" t="n">
        <v>0.7114</v>
      </c>
      <c r="I466" s="11" t="n">
        <v>0.6866</v>
      </c>
      <c r="J466" s="11" t="n">
        <v>0.7762</v>
      </c>
      <c r="K466" s="11" t="n">
        <v>0.8689</v>
      </c>
    </row>
    <row r="467">
      <c r="A467" s="9" t="n">
        <v>44256</v>
      </c>
      <c r="B467" s="11" t="n">
        <v>1.1514</v>
      </c>
      <c r="C467" s="11" t="n">
        <v>0.6726</v>
      </c>
      <c r="D467" s="11" t="n">
        <v>1.5164</v>
      </c>
      <c r="E467" s="11" t="n">
        <v>0.6272</v>
      </c>
      <c r="F467" s="11" t="n">
        <v>1.3788</v>
      </c>
      <c r="G467" s="11" t="n">
        <v>1.2895</v>
      </c>
      <c r="H467" s="11" t="n">
        <v>1.2573</v>
      </c>
      <c r="I467" s="11" t="n">
        <v>1.1144</v>
      </c>
      <c r="J467" s="11" t="n">
        <v>0.9695</v>
      </c>
      <c r="K467" s="11" t="n">
        <v>0.8468</v>
      </c>
    </row>
    <row r="468">
      <c r="A468" s="9" t="n">
        <v>44287</v>
      </c>
      <c r="B468" s="11" t="n">
        <v>1.4665</v>
      </c>
      <c r="C468" s="11" t="n">
        <v>0.6563</v>
      </c>
      <c r="D468" s="11" t="n">
        <v>1.5622</v>
      </c>
      <c r="E468" s="11" t="n">
        <v>0.877</v>
      </c>
      <c r="F468" s="11" t="n">
        <v>1.3354</v>
      </c>
      <c r="G468" s="11" t="n">
        <v>1.208</v>
      </c>
      <c r="H468" s="11" t="n">
        <v>1.1661</v>
      </c>
      <c r="I468" s="11" t="n">
        <v>1.1199</v>
      </c>
      <c r="J468" s="11" t="n">
        <v>1.0185</v>
      </c>
      <c r="K468" s="11" t="n">
        <v>0.9338</v>
      </c>
    </row>
    <row r="469">
      <c r="A469" s="9" t="n">
        <v>44317</v>
      </c>
      <c r="B469" s="11" t="n">
        <v>1.2538</v>
      </c>
      <c r="C469" s="11" t="n">
        <v>0.8444</v>
      </c>
      <c r="D469" s="11" t="n">
        <v>0.9098000000000001</v>
      </c>
      <c r="E469" s="11" t="n">
        <v>1.1806</v>
      </c>
      <c r="F469" s="11" t="n">
        <v>1.2702</v>
      </c>
      <c r="G469" s="11" t="n">
        <v>0.9772</v>
      </c>
      <c r="H469" s="11" t="n">
        <v>0.8931</v>
      </c>
      <c r="I469" s="11" t="n">
        <v>0.7457</v>
      </c>
      <c r="J469" s="11" t="n">
        <v>0.649</v>
      </c>
      <c r="K469" s="11" t="n">
        <v>0.8139999999999999</v>
      </c>
    </row>
    <row r="470">
      <c r="A470" s="9" t="n">
        <v>44348</v>
      </c>
      <c r="B470" s="11" t="n">
        <v>1.401</v>
      </c>
      <c r="C470" s="11" t="n">
        <v>1.0452</v>
      </c>
      <c r="D470" s="11" t="n">
        <v>1.4291</v>
      </c>
      <c r="E470" s="11" t="n">
        <v>1.1447</v>
      </c>
      <c r="F470" s="11" t="n">
        <v>1.6428</v>
      </c>
      <c r="G470" s="11" t="n">
        <v>1.4007</v>
      </c>
      <c r="H470" s="11" t="n">
        <v>1.3563</v>
      </c>
      <c r="I470" s="11" t="n">
        <v>1.304</v>
      </c>
      <c r="J470" s="11" t="n">
        <v>1.1749</v>
      </c>
      <c r="K470" s="11" t="n">
        <v>1.215</v>
      </c>
    </row>
    <row r="471">
      <c r="A471" s="9" t="n">
        <v>44378</v>
      </c>
      <c r="B471" s="11" t="n">
        <v>1.1256</v>
      </c>
      <c r="C471" s="11" t="n">
        <v>-0.8067</v>
      </c>
      <c r="D471" s="11" t="n">
        <v>0.9524</v>
      </c>
      <c r="E471" s="11" t="n">
        <v>-0.0455</v>
      </c>
      <c r="F471" s="11" t="n">
        <v>1.4488</v>
      </c>
      <c r="G471" s="11" t="n">
        <v>1.3279</v>
      </c>
      <c r="H471" s="11" t="n">
        <v>1.2969</v>
      </c>
      <c r="I471" s="11" t="n">
        <v>1.2488</v>
      </c>
      <c r="J471" s="11" t="n">
        <v>1.1959</v>
      </c>
      <c r="K471" s="11" t="n">
        <v>1.2066</v>
      </c>
    </row>
    <row r="472">
      <c r="A472" s="9" t="n">
        <v>44409</v>
      </c>
      <c r="B472" s="11" t="n">
        <v>0.9654</v>
      </c>
      <c r="C472" s="11" t="n">
        <v>1.7768</v>
      </c>
      <c r="D472" s="11" t="n">
        <v>1.415</v>
      </c>
      <c r="E472" s="11" t="n">
        <v>1.2391</v>
      </c>
      <c r="F472" s="11" t="n">
        <v>2.0343</v>
      </c>
      <c r="G472" s="11" t="n">
        <v>1.7482</v>
      </c>
      <c r="H472" s="11" t="n">
        <v>1.6952</v>
      </c>
      <c r="I472" s="11" t="n">
        <v>1.5042</v>
      </c>
      <c r="J472" s="11" t="n">
        <v>1.3332</v>
      </c>
      <c r="K472" s="11" t="n">
        <v>1.2147</v>
      </c>
    </row>
    <row r="473">
      <c r="A473" s="9" t="n">
        <v>44440</v>
      </c>
      <c r="B473" s="11" t="n">
        <v>1.5233</v>
      </c>
      <c r="C473" s="11" t="n">
        <v>1.8479</v>
      </c>
      <c r="D473" s="11" t="n">
        <v>1.539</v>
      </c>
      <c r="E473" s="11" t="n">
        <v>1.7391</v>
      </c>
      <c r="F473" s="11" t="n">
        <v>1.8333</v>
      </c>
      <c r="G473" s="11" t="n">
        <v>1.639</v>
      </c>
      <c r="H473" s="11" t="n">
        <v>1.5977</v>
      </c>
      <c r="I473" s="11" t="n">
        <v>1.4848</v>
      </c>
      <c r="J473" s="11" t="n">
        <v>1.363</v>
      </c>
      <c r="K473" s="11" t="n">
        <v>1.2131</v>
      </c>
    </row>
    <row r="474">
      <c r="A474" s="9" t="n">
        <v>44470</v>
      </c>
      <c r="B474" s="11" t="n">
        <v>1.7627</v>
      </c>
      <c r="C474" s="11" t="n">
        <v>1.8416</v>
      </c>
      <c r="D474" s="11" t="n">
        <v>1.7278</v>
      </c>
      <c r="E474" s="11" t="n">
        <v>1.8466</v>
      </c>
      <c r="F474" s="11" t="n">
        <v>1.8764</v>
      </c>
      <c r="G474" s="11" t="n">
        <v>1.6335</v>
      </c>
      <c r="H474" s="11" t="n">
        <v>1.6047</v>
      </c>
      <c r="I474" s="11" t="n">
        <v>1.5214</v>
      </c>
      <c r="J474" s="11" t="n">
        <v>1.3633</v>
      </c>
      <c r="K474" s="11" t="n">
        <v>1.3535</v>
      </c>
    </row>
    <row r="475">
      <c r="A475" s="9" t="n">
        <v>44501</v>
      </c>
      <c r="B475" s="11" t="n">
        <v>1.7485</v>
      </c>
      <c r="C475" s="11" t="n">
        <v>2.6042</v>
      </c>
      <c r="D475" s="11" t="n">
        <v>2.0423</v>
      </c>
      <c r="E475" s="11" t="n">
        <v>2.1516</v>
      </c>
      <c r="F475" s="11" t="n">
        <v>1.9343</v>
      </c>
      <c r="G475" s="11" t="n">
        <v>1.6338</v>
      </c>
      <c r="H475" s="11" t="n">
        <v>1.6057</v>
      </c>
      <c r="I475" s="11" t="n">
        <v>1.5067</v>
      </c>
      <c r="J475" s="11" t="n">
        <v>1.3742</v>
      </c>
      <c r="K475" s="11" t="n">
        <v>1.3672</v>
      </c>
    </row>
    <row r="476">
      <c r="A476" s="9" t="n">
        <v>44531</v>
      </c>
      <c r="B476" s="11" t="n">
        <v>1.976</v>
      </c>
      <c r="C476" s="11" t="n">
        <v>2.3316</v>
      </c>
      <c r="D476" s="11" t="n">
        <v>2.1859</v>
      </c>
      <c r="E476" s="11" t="n">
        <v>2.0856</v>
      </c>
      <c r="F476" s="11" t="n">
        <v>2.2048</v>
      </c>
      <c r="G476" s="11" t="n">
        <v>1.9916</v>
      </c>
      <c r="H476" s="11" t="n">
        <v>1.9716</v>
      </c>
      <c r="I476" s="11" t="n">
        <v>1.9291</v>
      </c>
      <c r="J476" s="11" t="n">
        <v>1.9394</v>
      </c>
      <c r="K476" s="11" t="n">
        <v>1.9255</v>
      </c>
    </row>
    <row r="477">
      <c r="A477" s="9" t="n">
        <v>44562</v>
      </c>
      <c r="B477" s="11" t="n">
        <v>1.9176</v>
      </c>
      <c r="C477" s="11" t="n">
        <v>1.462</v>
      </c>
      <c r="D477" s="11" t="n">
        <v>2.0728</v>
      </c>
      <c r="E477" s="11" t="n">
        <v>1.5087</v>
      </c>
      <c r="F477" s="11" t="n">
        <v>2.4587</v>
      </c>
      <c r="G477" s="11" t="n">
        <v>2.0014</v>
      </c>
      <c r="H477" s="11" t="n">
        <v>1.9752</v>
      </c>
      <c r="I477" s="11" t="n">
        <v>1.8915</v>
      </c>
      <c r="J477" s="11" t="n">
        <v>1.9086</v>
      </c>
      <c r="K477" s="11" t="n">
        <v>1.9834</v>
      </c>
    </row>
    <row r="478">
      <c r="A478" s="9" t="n">
        <v>44593</v>
      </c>
      <c r="B478" s="11" t="n">
        <v>2.2179</v>
      </c>
      <c r="C478" s="11" t="n">
        <v>3.1614</v>
      </c>
      <c r="D478" s="11" t="n">
        <v>2.8089</v>
      </c>
      <c r="E478" s="11" t="n">
        <v>2.4534</v>
      </c>
      <c r="F478" s="11" t="n">
        <v>3.3038</v>
      </c>
      <c r="G478" s="11" t="n">
        <v>2.6946</v>
      </c>
      <c r="H478" s="11" t="n">
        <v>2.6585</v>
      </c>
      <c r="I478" s="11" t="n">
        <v>2.5911</v>
      </c>
      <c r="J478" s="11" t="n">
        <v>2.5407</v>
      </c>
      <c r="K478" s="11" t="n">
        <v>2.5282</v>
      </c>
    </row>
    <row r="479">
      <c r="A479" s="9" t="n">
        <v>44621</v>
      </c>
      <c r="B479" s="11" t="n">
        <v>2.3662</v>
      </c>
      <c r="C479" s="11" t="n">
        <v>2.9218</v>
      </c>
      <c r="D479" s="11" t="n">
        <v>2.9333</v>
      </c>
      <c r="E479" s="11" t="n">
        <v>2.3767</v>
      </c>
      <c r="F479" s="11" t="n">
        <v>3.7817</v>
      </c>
      <c r="G479" s="11" t="n">
        <v>2.9942</v>
      </c>
      <c r="H479" s="11" t="n">
        <v>2.9708</v>
      </c>
      <c r="I479" s="11" t="n">
        <v>2.8433</v>
      </c>
      <c r="J479" s="11" t="n">
        <v>2.8347</v>
      </c>
      <c r="K479" s="11" t="n">
        <v>2.9719</v>
      </c>
    </row>
    <row r="480">
      <c r="A480" s="9" t="n">
        <v>44652</v>
      </c>
      <c r="B480" s="11" t="n">
        <v>2.5182</v>
      </c>
      <c r="C480" s="11" t="n">
        <v>4.0513</v>
      </c>
      <c r="D480" s="11" t="n">
        <v>3.4476</v>
      </c>
      <c r="E480" s="11" t="n">
        <v>2.9599</v>
      </c>
      <c r="F480" s="11" t="n">
        <v>4.2122</v>
      </c>
      <c r="G480" s="11" t="n">
        <v>3.4994</v>
      </c>
      <c r="H480" s="11" t="n">
        <v>3.4879</v>
      </c>
      <c r="I480" s="11" t="n">
        <v>3.4408</v>
      </c>
      <c r="J480" s="11" t="n">
        <v>3.4766</v>
      </c>
      <c r="K480" s="11" t="n">
        <v>3.4561</v>
      </c>
    </row>
    <row r="481">
      <c r="A481" s="9" t="n">
        <v>44682</v>
      </c>
      <c r="B481" s="11" t="n">
        <v>2.8859</v>
      </c>
      <c r="C481" s="11" t="n">
        <v>4.1484</v>
      </c>
      <c r="D481" s="11" t="n">
        <v>4.2832</v>
      </c>
      <c r="E481" s="11" t="n">
        <v>2.8866</v>
      </c>
      <c r="F481" s="11" t="n">
        <v>4.5401</v>
      </c>
      <c r="G481" s="11" t="n">
        <v>3.9147</v>
      </c>
      <c r="H481" s="11" t="n">
        <v>3.9413</v>
      </c>
      <c r="I481" s="11" t="n">
        <v>4.0473</v>
      </c>
      <c r="J481" s="11" t="n">
        <v>4.1015</v>
      </c>
      <c r="K481" s="11" t="n">
        <v>4.0984</v>
      </c>
    </row>
    <row r="482">
      <c r="A482" s="9" t="n">
        <v>44713</v>
      </c>
      <c r="B482" s="11" t="n">
        <v>2.8727</v>
      </c>
      <c r="C482" s="11" t="n">
        <v>3.8982</v>
      </c>
      <c r="D482" s="11" t="n">
        <v>4.2368</v>
      </c>
      <c r="E482" s="11" t="n">
        <v>2.7265</v>
      </c>
      <c r="F482" s="11" t="n">
        <v>5.123</v>
      </c>
      <c r="G482" s="11" t="n">
        <v>4.0981</v>
      </c>
      <c r="H482" s="11" t="n">
        <v>4.0969</v>
      </c>
      <c r="I482" s="11" t="n">
        <v>4.1508</v>
      </c>
      <c r="J482" s="11" t="n">
        <v>4.1587</v>
      </c>
      <c r="K482" s="11" t="n">
        <v>3.9667</v>
      </c>
    </row>
    <row r="483">
      <c r="A483" s="9" t="n">
        <v>44743</v>
      </c>
      <c r="B483" s="11" t="n">
        <v>3.4898</v>
      </c>
      <c r="C483" s="11" t="n">
        <v>4.6855</v>
      </c>
      <c r="D483" s="11" t="n">
        <v>4.8139</v>
      </c>
      <c r="E483" s="11" t="n">
        <v>3.4726</v>
      </c>
      <c r="F483" s="11" t="n">
        <v>5.4187</v>
      </c>
      <c r="G483" s="11" t="n">
        <v>4.5279</v>
      </c>
      <c r="H483" s="11" t="n">
        <v>4.5183</v>
      </c>
      <c r="I483" s="11" t="n">
        <v>4.5258</v>
      </c>
      <c r="J483" s="11" t="n">
        <v>4.4855</v>
      </c>
      <c r="K483" s="11" t="n">
        <v>4.4564</v>
      </c>
    </row>
    <row r="484">
      <c r="A484" s="9" t="n">
        <v>44774</v>
      </c>
      <c r="B484" s="11" t="n">
        <v>3.3994</v>
      </c>
      <c r="C484" s="11" t="n">
        <v>5.1791</v>
      </c>
      <c r="D484" s="11" t="n">
        <v>5.3312</v>
      </c>
      <c r="E484" s="11" t="n">
        <v>3.4154</v>
      </c>
      <c r="F484" s="11" t="n">
        <v>5.4656</v>
      </c>
      <c r="G484" s="11" t="n">
        <v>4.9382</v>
      </c>
      <c r="H484" s="11" t="n">
        <v>4.9063</v>
      </c>
      <c r="I484" s="11" t="n">
        <v>4.8662</v>
      </c>
      <c r="J484" s="11" t="n">
        <v>4.8545</v>
      </c>
      <c r="K484" s="11" t="n">
        <v>4.6958</v>
      </c>
    </row>
    <row r="485">
      <c r="A485" s="9" t="n">
        <v>44805</v>
      </c>
      <c r="B485" s="11" t="n">
        <v>3.0467</v>
      </c>
      <c r="C485" s="11" t="n">
        <v>4.6293</v>
      </c>
      <c r="D485" s="11" t="n">
        <v>5.4811</v>
      </c>
      <c r="E485" s="11" t="n">
        <v>2.6111</v>
      </c>
      <c r="F485" s="11" t="n">
        <v>5.4425</v>
      </c>
      <c r="G485" s="11" t="n">
        <v>5.283</v>
      </c>
      <c r="H485" s="11" t="n">
        <v>5.2529</v>
      </c>
      <c r="I485" s="11" t="n">
        <v>5.0626</v>
      </c>
      <c r="J485" s="11" t="n">
        <v>5.0642</v>
      </c>
      <c r="K485" s="11" t="n">
        <v>4.9463</v>
      </c>
    </row>
    <row r="486">
      <c r="A486" s="9" t="n">
        <v>44835</v>
      </c>
      <c r="B486" s="11" t="n">
        <v>3.1641</v>
      </c>
      <c r="C486" s="11" t="n">
        <v>5.341</v>
      </c>
      <c r="D486" s="11" t="n">
        <v>5.8446</v>
      </c>
      <c r="E486" s="11" t="n">
        <v>2.9609</v>
      </c>
      <c r="F486" s="11" t="n">
        <v>6.0422</v>
      </c>
      <c r="G486" s="11" t="n">
        <v>5.7538</v>
      </c>
      <c r="H486" s="11" t="n">
        <v>5.7126</v>
      </c>
      <c r="I486" s="11" t="n">
        <v>5.5093</v>
      </c>
      <c r="J486" s="11" t="n">
        <v>5.659</v>
      </c>
      <c r="K486" s="11" t="n">
        <v>5.6493</v>
      </c>
    </row>
    <row r="487">
      <c r="A487" s="9" t="n">
        <v>44866</v>
      </c>
      <c r="B487" s="11" t="n">
        <v>3.2643</v>
      </c>
      <c r="C487" s="11" t="n">
        <v>5.4071</v>
      </c>
      <c r="D487" s="11" t="n">
        <v>6.0802</v>
      </c>
      <c r="E487" s="11" t="n">
        <v>2.9597</v>
      </c>
      <c r="F487" s="11" t="n">
        <v>6.3267</v>
      </c>
      <c r="G487" s="11" t="n">
        <v>6.0217</v>
      </c>
      <c r="H487" s="11" t="n">
        <v>5.965</v>
      </c>
      <c r="I487" s="11" t="n">
        <v>5.7397</v>
      </c>
      <c r="J487" s="11" t="n">
        <v>5.8911</v>
      </c>
      <c r="K487" s="11" t="n">
        <v>5.9119</v>
      </c>
    </row>
    <row r="488">
      <c r="A488" s="9" t="n">
        <v>44896</v>
      </c>
      <c r="B488" s="11" t="n">
        <v>3.2341</v>
      </c>
      <c r="C488" s="11" t="n">
        <v>5.6337</v>
      </c>
      <c r="D488" s="11" t="n">
        <v>6.4835</v>
      </c>
      <c r="E488" s="11" t="n">
        <v>2.8499</v>
      </c>
      <c r="F488" s="11" t="n">
        <v>6.1848</v>
      </c>
      <c r="G488" s="11" t="n">
        <v>5.8673</v>
      </c>
      <c r="H488" s="11" t="n">
        <v>5.7915</v>
      </c>
      <c r="I488" s="11" t="n">
        <v>5.625</v>
      </c>
      <c r="J488" s="11" t="n">
        <v>5.9135</v>
      </c>
      <c r="K488" s="11" t="n">
        <v>5.8418</v>
      </c>
    </row>
    <row r="489">
      <c r="A489" s="9" t="n">
        <v>44927</v>
      </c>
      <c r="B489" s="11" t="n">
        <v>3.3665</v>
      </c>
      <c r="C489" s="11" t="n">
        <v>5.379</v>
      </c>
      <c r="D489" s="11" t="n">
        <v>6.901</v>
      </c>
      <c r="E489" s="11" t="n">
        <v>2.538</v>
      </c>
      <c r="F489" s="11" t="n">
        <v>6.7158</v>
      </c>
      <c r="G489" s="11" t="n">
        <v>6.3149</v>
      </c>
      <c r="H489" s="11" t="n">
        <v>6.2152</v>
      </c>
      <c r="I489" s="11" t="n">
        <v>5.6741</v>
      </c>
      <c r="J489" s="11" t="n">
        <v>5.5557</v>
      </c>
      <c r="K489" s="11" t="n">
        <v>5.8346</v>
      </c>
    </row>
    <row r="490">
      <c r="A490" s="9" t="n">
        <v>44958</v>
      </c>
      <c r="B490" s="11" t="n">
        <v>3.682</v>
      </c>
      <c r="C490" s="11" t="n">
        <v>5.7432</v>
      </c>
      <c r="D490" s="11" t="n">
        <v>7.2155</v>
      </c>
      <c r="E490" s="11" t="n">
        <v>2.877</v>
      </c>
      <c r="F490" s="11" t="n">
        <v>7.0212</v>
      </c>
      <c r="G490" s="11" t="n">
        <v>6.5648</v>
      </c>
      <c r="H490" s="11" t="n">
        <v>6.4306</v>
      </c>
      <c r="I490" s="11" t="n">
        <v>6.1047</v>
      </c>
      <c r="J490" s="11" t="n">
        <v>6.0432</v>
      </c>
      <c r="K490" s="11" t="n">
        <v>6.1159</v>
      </c>
    </row>
    <row r="491">
      <c r="A491" s="9" t="n">
        <v>44986</v>
      </c>
      <c r="B491" s="11" t="n">
        <v>3.7205</v>
      </c>
      <c r="C491" s="11" t="n">
        <v>5.7089</v>
      </c>
      <c r="D491" s="11" t="n">
        <v>7.0656</v>
      </c>
      <c r="E491" s="11" t="n">
        <v>2.9804</v>
      </c>
      <c r="F491" s="11" t="n">
        <v>6.8518</v>
      </c>
      <c r="G491" s="11" t="n">
        <v>6.4364</v>
      </c>
      <c r="H491" s="11" t="n">
        <v>6.3053</v>
      </c>
      <c r="I491" s="11" t="n">
        <v>5.869</v>
      </c>
      <c r="J491" s="11" t="n">
        <v>5.7752</v>
      </c>
      <c r="K491" s="11" t="n">
        <v>6.3823</v>
      </c>
    </row>
    <row r="492">
      <c r="A492" s="9" t="n">
        <v>45017</v>
      </c>
      <c r="B492" s="11" t="n">
        <v>3.9056</v>
      </c>
      <c r="C492" s="11" t="n">
        <v>5.7948</v>
      </c>
      <c r="D492" s="11" t="n">
        <v>7.0781</v>
      </c>
      <c r="E492" s="11" t="n">
        <v>3.2116</v>
      </c>
      <c r="F492" s="11" t="n">
        <v>6.9177</v>
      </c>
      <c r="G492" s="11" t="n">
        <v>6.4816</v>
      </c>
      <c r="H492" s="11" t="n">
        <v>6.3465</v>
      </c>
      <c r="I492" s="11" t="n">
        <v>5.9589</v>
      </c>
      <c r="J492" s="11" t="n">
        <v>5.9572</v>
      </c>
      <c r="K492" s="11" t="n">
        <v>6.4382</v>
      </c>
    </row>
    <row r="493">
      <c r="A493" s="9" t="n">
        <v>45047</v>
      </c>
      <c r="B493" s="11" t="n">
        <v>3.8494</v>
      </c>
      <c r="C493" s="11" t="n">
        <v>5.0441</v>
      </c>
      <c r="D493" s="11" t="n">
        <v>6.7968</v>
      </c>
      <c r="E493" s="11" t="n">
        <v>2.8385</v>
      </c>
      <c r="F493" s="11" t="n">
        <v>6.3791</v>
      </c>
      <c r="G493" s="11" t="n">
        <v>6.0958</v>
      </c>
      <c r="H493" s="11" t="n">
        <v>5.9681</v>
      </c>
      <c r="I493" s="11" t="n">
        <v>5.5793</v>
      </c>
      <c r="J493" s="11" t="n">
        <v>5.4254</v>
      </c>
      <c r="K493" s="11" t="n">
        <v>5.4548</v>
      </c>
    </row>
    <row r="494">
      <c r="A494" s="9" t="n">
        <v>45078</v>
      </c>
      <c r="B494" s="11" t="n">
        <v>3.9101</v>
      </c>
      <c r="C494" s="11" t="n">
        <v>5.0216</v>
      </c>
      <c r="D494" s="11" t="n">
        <v>6.4805</v>
      </c>
      <c r="E494" s="11" t="n">
        <v>3.07</v>
      </c>
      <c r="F494" s="11" t="n">
        <v>6.1748</v>
      </c>
      <c r="G494" s="11" t="n">
        <v>6.0061</v>
      </c>
      <c r="H494" s="11" t="n">
        <v>5.8826</v>
      </c>
      <c r="I494" s="11" t="n">
        <v>5.6607</v>
      </c>
      <c r="J494" s="11" t="n">
        <v>5.4757</v>
      </c>
      <c r="K494" s="11" t="n">
        <v>5.6608</v>
      </c>
    </row>
    <row r="495">
      <c r="A495" s="9" t="n">
        <v>45108</v>
      </c>
      <c r="B495" s="11" t="n">
        <v>3.8243</v>
      </c>
      <c r="C495" s="11" t="n">
        <v>4.8118</v>
      </c>
      <c r="D495" s="11" t="n">
        <v>6.0418</v>
      </c>
      <c r="E495" s="11" t="n">
        <v>3.1645</v>
      </c>
      <c r="F495" s="11" t="n">
        <v>5.3385</v>
      </c>
      <c r="G495" s="11" t="n">
        <v>5.2051</v>
      </c>
      <c r="H495" s="11" t="n">
        <v>5.129</v>
      </c>
      <c r="I495" s="11" t="n">
        <v>4.8481</v>
      </c>
      <c r="J495" s="11" t="n">
        <v>4.7167</v>
      </c>
      <c r="K495" s="11" t="n">
        <v>4.7684</v>
      </c>
    </row>
    <row r="496">
      <c r="A496" s="9" t="n">
        <v>45139</v>
      </c>
      <c r="B496" s="11" t="n">
        <v>3.8458</v>
      </c>
      <c r="C496" s="11" t="n">
        <v>4.1112</v>
      </c>
      <c r="D496" s="11" t="n">
        <v>5.6059</v>
      </c>
      <c r="E496" s="11" t="n">
        <v>2.9798</v>
      </c>
      <c r="F496" s="11" t="n">
        <v>5.4171</v>
      </c>
      <c r="G496" s="11" t="n">
        <v>5.0345</v>
      </c>
      <c r="H496" s="11" t="n">
        <v>4.921</v>
      </c>
      <c r="I496" s="11" t="n">
        <v>4.6615</v>
      </c>
      <c r="J496" s="11" t="n">
        <v>4.516</v>
      </c>
      <c r="K496" s="11" t="n">
        <v>4.7688</v>
      </c>
    </row>
    <row r="497">
      <c r="A497" s="9" t="n">
        <v>45170</v>
      </c>
      <c r="B497" s="11" t="n">
        <v>3.7617</v>
      </c>
      <c r="C497" s="11" t="n">
        <v>3.2816</v>
      </c>
      <c r="D497" s="11" t="n">
        <v>5.3563</v>
      </c>
      <c r="E497" s="11" t="n">
        <v>2.4462</v>
      </c>
      <c r="F497" s="11" t="n">
        <v>5.8379</v>
      </c>
      <c r="G497" s="11" t="n">
        <v>5.5179</v>
      </c>
      <c r="H497" s="11" t="n">
        <v>5.4342</v>
      </c>
      <c r="I497" s="11" t="n">
        <v>5.2561</v>
      </c>
      <c r="J497" s="11" t="n">
        <v>5.2681</v>
      </c>
      <c r="K497" s="11" t="n">
        <v>5.3419</v>
      </c>
    </row>
    <row r="498">
      <c r="A498" s="9" t="n">
        <v>45200</v>
      </c>
      <c r="B498" s="11" t="n">
        <v>3.9597</v>
      </c>
      <c r="C498" s="11" t="n">
        <v>2.8885</v>
      </c>
      <c r="D498" s="11" t="n">
        <v>5.0414</v>
      </c>
      <c r="E498" s="11" t="n">
        <v>2.5458</v>
      </c>
      <c r="F498" s="11" t="n">
        <v>4.7549</v>
      </c>
      <c r="G498" s="11" t="n">
        <v>4.6934</v>
      </c>
      <c r="H498" s="11" t="n">
        <v>4.6447</v>
      </c>
      <c r="I498" s="11" t="n">
        <v>4.6144</v>
      </c>
      <c r="J498" s="11" t="n">
        <v>4.7111</v>
      </c>
      <c r="K498" s="11" t="n">
        <v>5.0529</v>
      </c>
    </row>
    <row r="499">
      <c r="A499" s="9" t="n">
        <v>45231</v>
      </c>
      <c r="B499" s="11" t="n">
        <v>3.6573</v>
      </c>
      <c r="C499" s="11" t="n">
        <v>1.7588</v>
      </c>
      <c r="D499" s="11" t="n">
        <v>4.6825</v>
      </c>
      <c r="E499" s="11" t="n">
        <v>1.7153</v>
      </c>
      <c r="F499" s="11" t="n">
        <v>4.1029</v>
      </c>
      <c r="G499" s="11" t="n">
        <v>4.0424</v>
      </c>
      <c r="H499" s="11" t="n">
        <v>3.999</v>
      </c>
      <c r="I499" s="11" t="n">
        <v>3.8856</v>
      </c>
      <c r="J499" s="11" t="n">
        <v>4.0259</v>
      </c>
      <c r="K499" s="11" t="n">
        <v>3.9886</v>
      </c>
    </row>
    <row r="500">
      <c r="A500" s="9" t="n">
        <v>45261</v>
      </c>
      <c r="B500" s="11" t="n">
        <v>3.6279</v>
      </c>
      <c r="C500" s="11" t="n">
        <v>1.8596</v>
      </c>
      <c r="D500" s="11" t="n">
        <v>4.3838</v>
      </c>
      <c r="E500" s="11" t="n">
        <v>1.9449</v>
      </c>
      <c r="F500" s="11" t="n">
        <v>3.9822</v>
      </c>
      <c r="G500" s="11" t="n">
        <v>3.8452</v>
      </c>
      <c r="H500" s="11" t="n">
        <v>3.8225</v>
      </c>
      <c r="I500" s="11" t="n">
        <v>3.6962</v>
      </c>
      <c r="J500" s="11" t="n">
        <v>3.7291</v>
      </c>
      <c r="K500" s="11" t="n">
        <v>3.9394</v>
      </c>
    </row>
    <row r="501">
      <c r="A501" s="9" t="n">
        <v>45292</v>
      </c>
      <c r="B501" s="11" t="n">
        <v>3.4919</v>
      </c>
      <c r="C501" s="11" t="n">
        <v>1.3584</v>
      </c>
      <c r="D501" s="11" t="n">
        <v>3.7021</v>
      </c>
      <c r="E501" s="11" t="n">
        <v>1.9521</v>
      </c>
      <c r="F501" s="11" t="n">
        <v>3.3312</v>
      </c>
      <c r="G501" s="11" t="n">
        <v>3.3795</v>
      </c>
      <c r="H501" s="11" t="n">
        <v>3.3716</v>
      </c>
      <c r="I501" s="11" t="n">
        <v>3.3431</v>
      </c>
      <c r="J501" s="11" t="n">
        <v>3.1968</v>
      </c>
      <c r="K501" s="11" t="n">
        <v>3.0423</v>
      </c>
    </row>
    <row r="502">
      <c r="A502" s="9" t="n">
        <v>45323</v>
      </c>
      <c r="B502" s="11" t="n">
        <v>3.467</v>
      </c>
      <c r="C502" s="11" t="n">
        <v>1.0554</v>
      </c>
      <c r="D502" s="11" t="n">
        <v>3.1066</v>
      </c>
      <c r="E502" s="11" t="n">
        <v>2.1098</v>
      </c>
      <c r="F502" s="11" t="n">
        <v>2.9175</v>
      </c>
      <c r="G502" s="11" t="n">
        <v>2.9229</v>
      </c>
      <c r="H502" s="11" t="n">
        <v>2.9249</v>
      </c>
      <c r="I502" s="11" t="n">
        <v>2.9431</v>
      </c>
      <c r="J502" s="11" t="n">
        <v>2.7625</v>
      </c>
      <c r="K502" s="11" t="n">
        <v>2.7231</v>
      </c>
    </row>
    <row r="503">
      <c r="A503" s="9" t="n">
        <v>45352</v>
      </c>
      <c r="B503" s="11" t="n">
        <v>3.0881</v>
      </c>
      <c r="C503" s="11" t="n">
        <v>0.9311</v>
      </c>
      <c r="D503" s="11" t="n">
        <v>2.962</v>
      </c>
      <c r="E503" s="11" t="n">
        <v>1.7303</v>
      </c>
      <c r="F503" s="11" t="n">
        <v>2.4026</v>
      </c>
      <c r="G503" s="11" t="n">
        <v>2.4382</v>
      </c>
      <c r="H503" s="11" t="n">
        <v>2.4517</v>
      </c>
      <c r="I503" s="11" t="n">
        <v>2.4889</v>
      </c>
      <c r="J503" s="11" t="n">
        <v>2.475</v>
      </c>
      <c r="K503" s="11" t="n">
        <v>2.4737</v>
      </c>
    </row>
    <row r="504">
      <c r="A504" s="9" t="n">
        <v>45383</v>
      </c>
      <c r="B504" s="11" t="n">
        <v>3.4276</v>
      </c>
      <c r="C504" s="11" t="n">
        <v>0.5273</v>
      </c>
      <c r="D504" s="11" t="n">
        <v>2.6539</v>
      </c>
      <c r="E504" s="11" t="n">
        <v>1.982</v>
      </c>
      <c r="F504" s="11" t="n">
        <v>2.2915</v>
      </c>
      <c r="G504" s="11" t="n">
        <v>2.1178</v>
      </c>
      <c r="H504" s="11" t="n">
        <v>2.0763</v>
      </c>
      <c r="I504" s="11" t="n">
        <v>2.0264</v>
      </c>
      <c r="J504" s="11" t="n">
        <v>2.0691</v>
      </c>
      <c r="K504" s="11" t="n">
        <v>2.3075</v>
      </c>
    </row>
    <row r="505">
      <c r="A505" s="9" t="n">
        <v>45413</v>
      </c>
      <c r="B505" s="11" t="n">
        <v>3.3024</v>
      </c>
      <c r="C505" s="11" t="n">
        <v>0.8653</v>
      </c>
      <c r="D505" s="11" t="n">
        <v>2.3681</v>
      </c>
      <c r="E505" s="11" t="n">
        <v>2.278</v>
      </c>
      <c r="F505" s="11" t="n">
        <v>2.4719</v>
      </c>
      <c r="G505" s="11" t="n">
        <v>2.2607</v>
      </c>
      <c r="H505" s="11" t="n">
        <v>2.2094</v>
      </c>
      <c r="I505" s="11" t="n">
        <v>2.1025</v>
      </c>
      <c r="J505" s="11" t="n">
        <v>2.2178</v>
      </c>
      <c r="K505" s="11" t="n">
        <v>2.37</v>
      </c>
    </row>
    <row r="506">
      <c r="A506" s="9" t="n">
        <v>45444</v>
      </c>
      <c r="B506" s="11" t="n">
        <v>3.5152</v>
      </c>
      <c r="C506" s="11" t="n">
        <v>0.9044</v>
      </c>
      <c r="D506" s="11" t="n">
        <v>2.2748</v>
      </c>
      <c r="E506" s="11" t="n">
        <v>2.575</v>
      </c>
      <c r="F506" s="11" t="n">
        <v>2.3066</v>
      </c>
      <c r="G506" s="11" t="n">
        <v>2.041</v>
      </c>
      <c r="H506" s="11" t="n">
        <v>1.9853</v>
      </c>
      <c r="I506" s="11" t="n">
        <v>1.881</v>
      </c>
      <c r="J506" s="11" t="n">
        <v>1.9441</v>
      </c>
      <c r="K506" s="11" t="n">
        <v>2.2298</v>
      </c>
    </row>
    <row r="507">
      <c r="A507" s="9" t="n">
        <v>45474</v>
      </c>
      <c r="B507" s="11" t="n">
        <v>3.3213</v>
      </c>
      <c r="C507" s="11" t="n">
        <v>0.7171999999999999</v>
      </c>
      <c r="D507" s="11" t="n">
        <v>2.2399</v>
      </c>
      <c r="E507" s="11" t="n">
        <v>2.2971</v>
      </c>
      <c r="F507" s="11" t="n">
        <v>2.3428</v>
      </c>
      <c r="G507" s="11" t="n">
        <v>2.0544</v>
      </c>
      <c r="H507" s="11" t="n">
        <v>1.978</v>
      </c>
      <c r="I507" s="11" t="n">
        <v>1.8088</v>
      </c>
      <c r="J507" s="11" t="n">
        <v>1.8674</v>
      </c>
      <c r="K507" s="11" t="n">
        <v>2.0434</v>
      </c>
    </row>
    <row r="508">
      <c r="A508" s="9" t="n">
        <v>45505</v>
      </c>
      <c r="B508" s="11" t="n">
        <v>3.4293</v>
      </c>
      <c r="C508" s="11" t="n">
        <v>1.3746</v>
      </c>
      <c r="D508" s="11" t="n">
        <v>2.2152</v>
      </c>
      <c r="E508" s="11" t="n">
        <v>2.8385</v>
      </c>
      <c r="F508" s="11" t="n">
        <v>2.1749</v>
      </c>
      <c r="G508" s="11" t="n">
        <v>2.1294</v>
      </c>
      <c r="H508" s="11" t="n">
        <v>2.059</v>
      </c>
      <c r="I508" s="11" t="n">
        <v>1.9892</v>
      </c>
      <c r="J508" s="11" t="n">
        <v>2.0908</v>
      </c>
      <c r="K508" s="11" t="n">
        <v>2.3397</v>
      </c>
    </row>
    <row r="509">
      <c r="A509" s="9" t="n">
        <v>45536</v>
      </c>
      <c r="B509" s="11" t="n">
        <v>2.9042</v>
      </c>
      <c r="C509" s="11" t="n">
        <v>0.971</v>
      </c>
      <c r="D509" s="11" t="n">
        <v>1.9612</v>
      </c>
      <c r="E509" s="11" t="n">
        <v>2.2447</v>
      </c>
      <c r="F509" s="11" t="n">
        <v>1.8699</v>
      </c>
      <c r="G509" s="11" t="n">
        <v>1.8933</v>
      </c>
      <c r="H509" s="11" t="n">
        <v>1.8361</v>
      </c>
      <c r="I509" s="11" t="n">
        <v>1.7812</v>
      </c>
      <c r="J509" s="11" t="n">
        <v>1.9993</v>
      </c>
      <c r="K509" s="11" t="n">
        <v>2.2057</v>
      </c>
    </row>
    <row r="510">
      <c r="A510" s="9" t="n">
        <v>45566</v>
      </c>
      <c r="B510" s="11" t="n">
        <v>2.7368</v>
      </c>
      <c r="C510" s="11" t="n">
        <v>1.1103</v>
      </c>
      <c r="D510" s="11" t="n">
        <v>1.8264</v>
      </c>
      <c r="E510" s="11" t="n">
        <v>2.2536</v>
      </c>
      <c r="F510" s="11" t="n">
        <v>1.9953</v>
      </c>
      <c r="G510" s="11" t="n">
        <v>1.9713</v>
      </c>
      <c r="H510" s="11" t="n">
        <v>1.9129</v>
      </c>
      <c r="I510" s="11" t="n">
        <v>1.854</v>
      </c>
      <c r="J510" s="11" t="n">
        <v>2.073</v>
      </c>
      <c r="K510" s="11" t="n">
        <v>2.3556</v>
      </c>
    </row>
    <row r="511">
      <c r="A511" s="9" t="n">
        <v>45597</v>
      </c>
      <c r="B511" s="11" t="n">
        <v>2.7776</v>
      </c>
      <c r="C511" s="11" t="n">
        <v>1.2794</v>
      </c>
      <c r="D511" s="11" t="n">
        <v>1.7978</v>
      </c>
      <c r="E511" s="11" t="n">
        <v>2.4395</v>
      </c>
      <c r="F511" s="11" t="n">
        <v>1.9604</v>
      </c>
      <c r="G511" s="11" t="n">
        <v>1.8529</v>
      </c>
      <c r="H511" s="11" t="n">
        <v>1.7782</v>
      </c>
      <c r="I511" s="11" t="n">
        <v>1.7274</v>
      </c>
      <c r="J511" s="11" t="n">
        <v>1.9396</v>
      </c>
      <c r="K511" s="11" t="n">
        <v>2.1007</v>
      </c>
    </row>
    <row r="512">
      <c r="A512" s="9" t="n">
        <v>45627</v>
      </c>
      <c r="B512" s="11" t="n">
        <v>2.7278</v>
      </c>
      <c r="C512" s="11" t="n">
        <v>1.0078</v>
      </c>
      <c r="D512" s="11" t="n">
        <v>1.7882</v>
      </c>
      <c r="E512" s="11" t="n">
        <v>2.2084</v>
      </c>
      <c r="F512" s="11" t="n">
        <v>1.9365</v>
      </c>
      <c r="G512" s="11" t="n">
        <v>1.808</v>
      </c>
      <c r="H512" s="11" t="n">
        <v>1.7793</v>
      </c>
      <c r="I512" s="11" t="n">
        <v>1.6808</v>
      </c>
      <c r="J512" s="11" t="n">
        <v>1.9326</v>
      </c>
      <c r="K512" s="11" t="n">
        <v>2.058</v>
      </c>
    </row>
    <row r="513">
      <c r="A513" s="9" t="n">
        <v>45658</v>
      </c>
      <c r="B513" s="11" t="n">
        <v>2.7123</v>
      </c>
      <c r="C513" s="11" t="n">
        <v>1.0091</v>
      </c>
      <c r="D513" s="11" t="n">
        <v>1.657</v>
      </c>
      <c r="E513" s="11" t="n">
        <v>2.3159</v>
      </c>
      <c r="F513" s="11" t="n">
        <v>2.0333</v>
      </c>
      <c r="G513" s="11" t="n">
        <v>1.8446</v>
      </c>
      <c r="H513" s="11" t="n">
        <v>1.8124</v>
      </c>
      <c r="I513" s="11" t="n">
        <v>1.8347</v>
      </c>
      <c r="J513" s="11" t="n">
        <v>2.0242</v>
      </c>
      <c r="K513" s="11" t="n">
        <v>2.2289</v>
      </c>
    </row>
    <row r="514">
      <c r="A514" s="9" t="n">
        <v>45689</v>
      </c>
      <c r="B514" s="11" t="n">
        <v>2.5556</v>
      </c>
      <c r="C514" s="11" t="n">
        <v>0.8638</v>
      </c>
      <c r="D514" s="11" t="n">
        <v>1.601</v>
      </c>
      <c r="E514" s="11" t="n">
        <v>2.0924</v>
      </c>
      <c r="F514" s="11" t="n">
        <v>1.3987</v>
      </c>
      <c r="G514" s="11" t="n">
        <v>1.4214</v>
      </c>
      <c r="H514" s="11" t="n">
        <v>1.4098</v>
      </c>
      <c r="I514" s="11" t="n">
        <v>1.4726</v>
      </c>
      <c r="J514" s="11" t="n">
        <v>1.6667</v>
      </c>
      <c r="K514" s="11" t="n">
        <v>1.7553</v>
      </c>
    </row>
    <row r="515">
      <c r="A515" s="9" t="n">
        <v>45717</v>
      </c>
      <c r="B515" s="11" t="n">
        <v>2.7757</v>
      </c>
      <c r="C515" s="11" t="n">
        <v>0.43</v>
      </c>
      <c r="D515" s="11" t="n">
        <v>1.5908</v>
      </c>
      <c r="E515" s="11" t="n">
        <v>2.0227</v>
      </c>
      <c r="F515" s="11" t="n">
        <v>1.1963</v>
      </c>
      <c r="G515" s="11" t="n">
        <v>1.3007</v>
      </c>
      <c r="H515" s="11" t="n">
        <v>1.2985</v>
      </c>
      <c r="I515" s="11" t="n">
        <v>1.3673</v>
      </c>
      <c r="J515" s="11" t="n">
        <v>1.6054</v>
      </c>
      <c r="K515" s="11" t="n">
        <v>1.7957</v>
      </c>
    </row>
    <row r="516">
      <c r="A516" s="9" t="n">
        <v>45748</v>
      </c>
      <c r="B516" s="11" t="n">
        <v>2.4336</v>
      </c>
      <c r="C516" s="11" t="n">
        <v>1.0404</v>
      </c>
      <c r="D516" s="11" t="n">
        <v>1.6903</v>
      </c>
      <c r="E516" s="11" t="n">
        <v>2.0025</v>
      </c>
      <c r="F516" s="11" t="n">
        <v>1.2368</v>
      </c>
      <c r="G516" s="11" t="n">
        <v>1.4989</v>
      </c>
      <c r="H516" s="11" t="n">
        <v>1.4524</v>
      </c>
      <c r="I516" s="11" t="n">
        <v>1.42</v>
      </c>
      <c r="J516" s="11" t="n">
        <v>1.5416</v>
      </c>
      <c r="K516" s="11" t="n">
        <v>1.6319</v>
      </c>
    </row>
    <row r="517">
      <c r="A517" s="9" t="n">
        <v>45778</v>
      </c>
      <c r="B517" s="11" t="n">
        <v>2.1341</v>
      </c>
      <c r="C517" s="11" t="n">
        <v>0.2984</v>
      </c>
      <c r="D517" s="11" t="n">
        <v>1.6713</v>
      </c>
      <c r="E517" s="11" t="n">
        <v>1.2405</v>
      </c>
      <c r="F517" s="11" t="n">
        <v>0.9725</v>
      </c>
      <c r="G517" s="11" t="n">
        <v>1.2366</v>
      </c>
      <c r="H517" s="11" t="n">
        <v>1.2373</v>
      </c>
      <c r="I517" s="11" t="n">
        <v>1.2766</v>
      </c>
      <c r="J517" s="11" t="n">
        <v>1.3726</v>
      </c>
      <c r="K517" s="11" t="n">
        <v>1.5098</v>
      </c>
    </row>
    <row r="518">
      <c r="A518" s="9" t="n">
        <v>45809</v>
      </c>
      <c r="B518" s="11" t="n">
        <v>2.3337</v>
      </c>
      <c r="C518" s="11" t="n">
        <v>0.4706</v>
      </c>
      <c r="D518" s="11" t="n">
        <v>1.6907</v>
      </c>
      <c r="E518" s="11" t="n">
        <v>1.5362</v>
      </c>
      <c r="F518" s="11" t="n">
        <v>1.2061</v>
      </c>
      <c r="G518" s="11" t="n">
        <v>1.3327</v>
      </c>
      <c r="H518" s="11" t="n">
        <v>1.3344</v>
      </c>
      <c r="I518" s="11" t="n">
        <v>1.3956</v>
      </c>
      <c r="J518" s="11" t="n">
        <v>1.5137</v>
      </c>
      <c r="K518" s="11" t="n">
        <v>1.8293</v>
      </c>
    </row>
    <row r="519">
      <c r="A519" s="9" t="n">
        <v>45839</v>
      </c>
      <c r="B519" s="11" t="n">
        <v>2.3025</v>
      </c>
      <c r="C519" s="11" t="n">
        <v>0.8414</v>
      </c>
      <c r="D519" s="11" t="n">
        <v>1.6679</v>
      </c>
      <c r="E519" s="11" t="n">
        <v>1.7673</v>
      </c>
      <c r="F519" s="11" t="n">
        <v>1.2964</v>
      </c>
      <c r="G519" s="11" t="n">
        <v>1.4167</v>
      </c>
      <c r="H519" s="11" t="n">
        <v>1.4301</v>
      </c>
      <c r="I519" s="11" t="n">
        <v>1.5583</v>
      </c>
      <c r="J519" s="11" t="n">
        <v>1.6614</v>
      </c>
      <c r="K519" s="11" t="n">
        <v>1.8605</v>
      </c>
    </row>
    <row r="520">
      <c r="A520" s="9" t="n">
        <v>45870</v>
      </c>
      <c r="B520" s="11" t="n">
        <v>2.2236</v>
      </c>
      <c r="C520" s="11" t="n">
        <v>0.1718</v>
      </c>
      <c r="D520" s="11" t="n">
        <v>1.7253</v>
      </c>
      <c r="E520" s="11" t="n">
        <v>1.2127</v>
      </c>
      <c r="F520" s="11" t="n">
        <v>1.1628</v>
      </c>
      <c r="G520" s="11" t="n">
        <v>1.2492</v>
      </c>
      <c r="H520" s="11" t="n">
        <v>1.2659</v>
      </c>
      <c r="I520" s="11" t="n">
        <v>1.3795</v>
      </c>
      <c r="J520" s="11" t="n">
        <v>1.4882</v>
      </c>
      <c r="K520" s="11" t="n">
        <v>1.4315</v>
      </c>
    </row>
    <row r="521">
      <c r="A521" s="9" t="n">
        <v>45901</v>
      </c>
      <c r="B521" s="11" t="n">
        <v>2.5488</v>
      </c>
      <c r="C521" s="11" t="n">
        <v>-0.0684</v>
      </c>
      <c r="D521" s="11" t="n">
        <v>1.7054</v>
      </c>
      <c r="E521" s="11" t="n">
        <v>1.4081</v>
      </c>
      <c r="F521" s="11" t="n">
        <v>1.2887</v>
      </c>
      <c r="G521" s="11" t="n">
        <v>1.2959</v>
      </c>
      <c r="H521" s="11" t="n">
        <v>1.2941</v>
      </c>
      <c r="I521" s="11" t="n">
        <v>1.366</v>
      </c>
      <c r="J521" s="11" t="n">
        <v>1.4989</v>
      </c>
      <c r="K521" s="11" t="n">
        <v>1.7634</v>
      </c>
    </row>
    <row r="522">
      <c r="A522" s="9" t="n">
        <v>45931</v>
      </c>
      <c r="B522" s="11" t="n">
        <v>2.5708</v>
      </c>
      <c r="C522" s="11" t="n">
        <v>-0.2407</v>
      </c>
      <c r="D522" s="11" t="n">
        <v>1.7823</v>
      </c>
      <c r="E522" s="11" t="n">
        <v>1.259</v>
      </c>
      <c r="F522" s="11" t="n">
        <v>1.0967</v>
      </c>
      <c r="G522" s="11" t="n">
        <v>1.1675</v>
      </c>
      <c r="H522" s="11" t="n">
        <v>1.1672</v>
      </c>
      <c r="I522" s="11" t="n">
        <v>1.2662</v>
      </c>
      <c r="J522" s="11" t="n">
        <v>1.3948</v>
      </c>
      <c r="K522" s="11" t="n">
        <v>1.3515</v>
      </c>
    </row>
    <row r="523">
      <c r="A523" s="9" t="n">
        <v>45962</v>
      </c>
      <c r="B523" s="11" t="n">
        <v>2.3039</v>
      </c>
      <c r="C523" s="11" t="n">
        <v>-0.4215</v>
      </c>
      <c r="D523" s="11" t="n">
        <v>1.6363</v>
      </c>
      <c r="E523" s="11" t="n">
        <v>0.9798</v>
      </c>
      <c r="F523" s="11" t="n">
        <v>1.0896</v>
      </c>
      <c r="G523" s="11" t="n">
        <v>1.239</v>
      </c>
      <c r="H523" s="11" t="n">
        <v>1.2673</v>
      </c>
      <c r="I523" s="11" t="n">
        <v>1.3676</v>
      </c>
      <c r="J523" s="11" t="n">
        <v>1.3661</v>
      </c>
      <c r="K523" s="11" t="n">
        <v>1.2506</v>
      </c>
    </row>
    <row r="524">
      <c r="A524" s="9" t="n">
        <v>45992</v>
      </c>
      <c r="B524" s="11" t="n">
        <v>2.2071</v>
      </c>
      <c r="C524" s="11" t="n">
        <v>-0.1526</v>
      </c>
      <c r="D524" s="11" t="n">
        <v>1.757</v>
      </c>
      <c r="E524" s="11" t="n">
        <v>0.9776</v>
      </c>
      <c r="F524" s="11" t="n">
        <v>0.9429999999999999</v>
      </c>
      <c r="G524" s="11" t="n">
        <v>1.0594</v>
      </c>
      <c r="H524" s="11" t="n">
        <v>1.1165</v>
      </c>
      <c r="I524" s="11" t="n">
        <v>1.2163</v>
      </c>
      <c r="J524" s="11" t="n">
        <v>1.2483</v>
      </c>
      <c r="K524" s="11" t="n">
        <v>1.067</v>
      </c>
    </row>
    <row r="525">
      <c r="A525" s="9" t="n">
        <v>46023</v>
      </c>
      <c r="B525" s="11" t="n">
        <v>2.1114</v>
      </c>
      <c r="C525" s="11" t="n">
        <v>-0.5580000000000001</v>
      </c>
      <c r="D525" s="11" t="n">
        <v>1.5052</v>
      </c>
      <c r="E525" s="11" t="n">
        <v>0.766</v>
      </c>
      <c r="F525" s="11" t="n">
        <v>0.7272999999999999</v>
      </c>
      <c r="G525" s="11" t="n">
        <v>0.8633999999999999</v>
      </c>
      <c r="H525" s="11" t="n">
        <v>0.9392</v>
      </c>
      <c r="I525" s="11" t="n">
        <v>1.1204</v>
      </c>
      <c r="J525" s="11" t="n">
        <v>1.2364</v>
      </c>
      <c r="K525" s="11" t="n">
        <v>1.0468</v>
      </c>
    </row>
    <row r="526">
      <c r="A526" s="9" t="n">
        <v>46054</v>
      </c>
      <c r="B526" s="11" t="n">
        <v>1.9287</v>
      </c>
      <c r="C526" s="11" t="n">
        <v>0.3636</v>
      </c>
      <c r="D526" s="11" t="n">
        <v>1.8271</v>
      </c>
      <c r="E526" s="11" t="n">
        <v>0.9784</v>
      </c>
      <c r="F526" s="11" t="n">
        <v>1.0271</v>
      </c>
      <c r="G526" s="11" t="n">
        <v>1.114</v>
      </c>
      <c r="H526" s="11" t="n">
        <v>1.148</v>
      </c>
      <c r="I526" s="11" t="n">
        <v>1.2052</v>
      </c>
      <c r="J526" s="11" t="n">
        <v>1.178</v>
      </c>
      <c r="K526" s="11" t="n">
        <v>1.0819</v>
      </c>
    </row>
    <row r="527">
      <c r="A527" s="9" t="n">
        <v>46082</v>
      </c>
      <c r="B527" s="11" t="n">
        <v>1.9199</v>
      </c>
      <c r="C527" s="11" t="n">
        <v>0.4442</v>
      </c>
      <c r="D527" s="11" t="n">
        <v>1.7577</v>
      </c>
      <c r="E527" s="11" t="n">
        <v>1.0699</v>
      </c>
      <c r="F527" s="11" t="n">
        <v>1.4574</v>
      </c>
      <c r="G527" s="11" t="n">
        <v>1.3676</v>
      </c>
      <c r="H527" s="11" t="n">
        <v>1.364</v>
      </c>
      <c r="I527" s="11" t="n">
        <v>1.3565</v>
      </c>
      <c r="J527" s="11" t="n">
        <v>1.3645</v>
      </c>
      <c r="K527" s="11" t="n">
        <v>1.58</v>
      </c>
    </row>
    <row r="528">
      <c r="A528" s="9" t="n">
        <v>46113</v>
      </c>
      <c r="B528" s="11" t="n">
        <v>2.1405</v>
      </c>
      <c r="C528" s="11" t="n">
        <v>0.1602</v>
      </c>
      <c r="D528" s="11" t="n">
        <v>1.702</v>
      </c>
      <c r="E528" s="11" t="n">
        <v>1.1305</v>
      </c>
      <c r="F528" s="11" t="n">
        <v>1.4622</v>
      </c>
      <c r="G528" s="11" t="n">
        <v>1.2639</v>
      </c>
      <c r="H528" s="11" t="n">
        <v>1.2586</v>
      </c>
      <c r="I528" s="11" t="n">
        <v>1.2522</v>
      </c>
      <c r="J528" s="11" t="n">
        <v>1.2382</v>
      </c>
      <c r="K528" s="11" t="n">
        <v>1.5177</v>
      </c>
    </row>
    <row r="529">
      <c r="A529" s="9" t="n">
        <v>46143</v>
      </c>
      <c r="B529" s="11" t="n">
        <v>2.277</v>
      </c>
      <c r="C529" s="11" t="n">
        <v>0.5026</v>
      </c>
      <c r="D529" s="11" t="n">
        <v>1.5158</v>
      </c>
      <c r="E529" s="11" t="n">
        <v>1.5945</v>
      </c>
      <c r="F529" s="11" t="n">
        <v>1.7593</v>
      </c>
      <c r="G529" s="11" t="n">
        <v>1.354</v>
      </c>
      <c r="H529" s="11" t="n">
        <v>1.2904</v>
      </c>
      <c r="I529" s="11" t="n">
        <v>1.2761</v>
      </c>
      <c r="J529" s="11" t="n">
        <v>1.2311</v>
      </c>
      <c r="K529" s="11" t="n">
        <v>1.242</v>
      </c>
    </row>
    <row r="530">
      <c r="A530" s="9" t="n">
        <v>46174</v>
      </c>
      <c r="B530" s="11" t="n">
        <v>2.1639</v>
      </c>
      <c r="C530" s="11" t="n">
        <v>-0.3054</v>
      </c>
      <c r="D530" s="11" t="n">
        <v>1.3512</v>
      </c>
      <c r="E530" s="11" t="n">
        <v>1.0528</v>
      </c>
      <c r="F530" s="11" t="n">
        <v>1.4398</v>
      </c>
      <c r="G530" s="11" t="n">
        <v>1.164</v>
      </c>
      <c r="H530" s="11" t="n">
        <v>1.1564</v>
      </c>
      <c r="I530" s="11" t="n">
        <v>1.178</v>
      </c>
      <c r="J530" s="11" t="n">
        <v>1.1654</v>
      </c>
      <c r="K530" s="11" t="n">
        <v>1.3511</v>
      </c>
    </row>
    <row r="531">
      <c r="A531" s="9" t="n">
        <v>46204</v>
      </c>
      <c r="B531" s="11" t="n">
        <v>2.4977</v>
      </c>
      <c r="C531" s="11" t="n">
        <v>-0.137</v>
      </c>
      <c r="D531" s="11" t="n">
        <v>1.4776</v>
      </c>
      <c r="E531" s="11" t="n">
        <v>1.3837</v>
      </c>
      <c r="F531" s="11" t="n">
        <v>1.7084</v>
      </c>
      <c r="G531" s="11" t="n">
        <v>1.3738</v>
      </c>
      <c r="H531" s="11" t="n">
        <v>1.377</v>
      </c>
      <c r="I531" s="11" t="n">
        <v>1.4169</v>
      </c>
      <c r="J531" s="11" t="n">
        <v>1.4698</v>
      </c>
      <c r="K531" s="11" t="n">
        <v>1.5594</v>
      </c>
    </row>
    <row r="532">
      <c r="A532" s="9" t="n">
        <v>46235</v>
      </c>
      <c r="B532" s="11" t="n">
        <v>2.1457</v>
      </c>
      <c r="C532" s="11" t="n">
        <v>0.06320000000000001</v>
      </c>
      <c r="D532" s="11" t="n">
        <v>1.4085</v>
      </c>
      <c r="E532" s="11" t="n">
        <v>1.2165</v>
      </c>
      <c r="F532" s="11" t="n">
        <v>1.6335</v>
      </c>
      <c r="G532" s="11" t="n">
        <v>1.3581</v>
      </c>
      <c r="H532" s="11" t="n">
        <v>1.3762</v>
      </c>
      <c r="I532" s="11" t="n">
        <v>1.3764</v>
      </c>
      <c r="J532" s="11" t="n">
        <v>1.3765</v>
      </c>
      <c r="K532" s="11" t="n">
        <v>1.446</v>
      </c>
    </row>
    <row r="533">
      <c r="A533" s="9" t="n">
        <v>46266</v>
      </c>
      <c r="B533" s="11" t="n">
        <v>2.3501</v>
      </c>
      <c r="C533" s="11" t="n">
        <v>0.8673</v>
      </c>
      <c r="D533" s="11" t="n">
        <v>1.5166</v>
      </c>
      <c r="E533" s="11" t="n">
        <v>1.8907</v>
      </c>
      <c r="F533" s="11" t="n">
        <v>2.184</v>
      </c>
      <c r="G533" s="11" t="n">
        <v>1.6908</v>
      </c>
      <c r="H533" s="11" t="n">
        <v>1.6478</v>
      </c>
      <c r="I533" s="11" t="n">
        <v>1.6389</v>
      </c>
      <c r="J533" s="11" t="n">
        <v>1.6785</v>
      </c>
      <c r="K533" s="11" t="n">
        <v>1.6372</v>
      </c>
    </row>
    <row r="536">
      <c r="A536" s="13" t="inlineStr">
        <is>
          <t>Spagna - misure sottostanti, a/a %</t>
        </is>
      </c>
    </row>
    <row r="537">
      <c r="A537" s="5" t="inlineStr">
        <is>
          <t>Mese</t>
        </is>
      </c>
      <c r="B537" s="5" t="inlineStr">
        <is>
          <t>Domestica (voci HICPX a basso import, flag BCE)</t>
        </is>
      </c>
      <c r="C537" s="5" t="inlineStr">
        <is>
          <t>Importata (voci HICPX non domestiche)</t>
        </is>
      </c>
      <c r="D537" s="5" t="inlineStr">
        <is>
          <t>Supercore (voci cicliche, flag BCE)</t>
        </is>
      </c>
      <c r="E537" s="5" t="inlineStr">
        <is>
          <t>Non Supercore (voci HICPX acicliche)</t>
        </is>
      </c>
      <c r="F537" s="5" t="inlineStr">
        <is>
          <t>Media troncata 10%</t>
        </is>
      </c>
      <c r="G537" s="5" t="inlineStr">
        <is>
          <t>Media troncata 25%</t>
        </is>
      </c>
      <c r="H537" s="5" t="inlineStr">
        <is>
          <t>Media troncata 30%</t>
        </is>
      </c>
      <c r="I537" s="5" t="inlineStr">
        <is>
          <t>Media troncata 50%</t>
        </is>
      </c>
      <c r="J537" s="5" t="inlineStr">
        <is>
          <t>Media troncata 75%</t>
        </is>
      </c>
      <c r="K537" s="5" t="inlineStr">
        <is>
          <t>Mediana ponderata</t>
        </is>
      </c>
    </row>
    <row r="538">
      <c r="A538" s="9" t="n">
        <v>42370</v>
      </c>
      <c r="B538" s="11" t="n">
        <v>0.8881</v>
      </c>
      <c r="C538" s="11" t="n">
        <v>0.4051</v>
      </c>
      <c r="D538" s="11" t="n">
        <v>0.5339</v>
      </c>
      <c r="E538" s="11" t="n">
        <v>0.8043</v>
      </c>
      <c r="F538" s="11" t="n">
        <v>-0.0591</v>
      </c>
      <c r="G538" s="11" t="n">
        <v>0.3684</v>
      </c>
      <c r="H538" s="11" t="n">
        <v>0.4068</v>
      </c>
      <c r="I538" s="11" t="n">
        <v>0.5023</v>
      </c>
      <c r="J538" s="11" t="n">
        <v>0.5686</v>
      </c>
      <c r="K538" s="11" t="n">
        <v>0.5172</v>
      </c>
    </row>
    <row r="539">
      <c r="A539" s="9" t="n">
        <v>42401</v>
      </c>
      <c r="B539" s="11" t="n">
        <v>1.1132</v>
      </c>
      <c r="C539" s="11" t="n">
        <v>0.4292</v>
      </c>
      <c r="D539" s="11" t="n">
        <v>0.585</v>
      </c>
      <c r="E539" s="11" t="n">
        <v>1.021</v>
      </c>
      <c r="F539" s="11" t="n">
        <v>-0.5416</v>
      </c>
      <c r="G539" s="11" t="n">
        <v>0.292</v>
      </c>
      <c r="H539" s="11" t="n">
        <v>0.3452</v>
      </c>
      <c r="I539" s="11" t="n">
        <v>0.4625</v>
      </c>
      <c r="J539" s="11" t="n">
        <v>0.5333</v>
      </c>
      <c r="K539" s="11" t="n">
        <v>0.6112</v>
      </c>
    </row>
    <row r="540">
      <c r="A540" s="9" t="n">
        <v>42430</v>
      </c>
      <c r="B540" s="11" t="n">
        <v>1.2036</v>
      </c>
      <c r="C540" s="11" t="n">
        <v>0.3026</v>
      </c>
      <c r="D540" s="11" t="n">
        <v>0.6091</v>
      </c>
      <c r="E540" s="11" t="n">
        <v>0.9744</v>
      </c>
      <c r="F540" s="11" t="n">
        <v>-0.5163</v>
      </c>
      <c r="G540" s="11" t="n">
        <v>0.4135</v>
      </c>
      <c r="H540" s="11" t="n">
        <v>0.4415</v>
      </c>
      <c r="I540" s="11" t="n">
        <v>0.4981</v>
      </c>
      <c r="J540" s="11" t="n">
        <v>0.4966</v>
      </c>
      <c r="K540" s="11" t="n">
        <v>0.4264</v>
      </c>
    </row>
    <row r="541">
      <c r="A541" s="9" t="n">
        <v>42461</v>
      </c>
      <c r="B541" s="11" t="n">
        <v>1.0907</v>
      </c>
      <c r="C541" s="11" t="n">
        <v>-0.2232</v>
      </c>
      <c r="D541" s="11" t="n">
        <v>0.6369</v>
      </c>
      <c r="E541" s="11" t="n">
        <v>0.4215</v>
      </c>
      <c r="F541" s="11" t="n">
        <v>-0.6097</v>
      </c>
      <c r="G541" s="11" t="n">
        <v>0.2649</v>
      </c>
      <c r="H541" s="11" t="n">
        <v>0.4457</v>
      </c>
      <c r="I541" s="11" t="n">
        <v>0.5779</v>
      </c>
      <c r="J541" s="11" t="n">
        <v>0.6763</v>
      </c>
      <c r="K541" s="11" t="n">
        <v>0.6068</v>
      </c>
    </row>
    <row r="542">
      <c r="A542" s="9" t="n">
        <v>42491</v>
      </c>
      <c r="B542" s="11" t="n">
        <v>0.9340000000000001</v>
      </c>
      <c r="C542" s="11" t="n">
        <v>-0.0245</v>
      </c>
      <c r="D542" s="11" t="n">
        <v>0.6133999999999999</v>
      </c>
      <c r="E542" s="11" t="n">
        <v>0.4366</v>
      </c>
      <c r="F542" s="11" t="n">
        <v>-0.517</v>
      </c>
      <c r="G542" s="11" t="n">
        <v>0.3204</v>
      </c>
      <c r="H542" s="11" t="n">
        <v>0.4602</v>
      </c>
      <c r="I542" s="11" t="n">
        <v>0.5878</v>
      </c>
      <c r="J542" s="11" t="n">
        <v>0.6567</v>
      </c>
      <c r="K542" s="11" t="n">
        <v>0.637</v>
      </c>
    </row>
    <row r="543">
      <c r="A543" s="9" t="n">
        <v>42522</v>
      </c>
      <c r="B543" s="11" t="n">
        <v>0.8519</v>
      </c>
      <c r="C543" s="11" t="n">
        <v>0.008</v>
      </c>
      <c r="D543" s="11" t="n">
        <v>0.5389</v>
      </c>
      <c r="E543" s="11" t="n">
        <v>0.4383</v>
      </c>
      <c r="F543" s="11" t="n">
        <v>-0.3926</v>
      </c>
      <c r="G543" s="11" t="n">
        <v>0.2882</v>
      </c>
      <c r="H543" s="11" t="n">
        <v>0.4071</v>
      </c>
      <c r="I543" s="11" t="n">
        <v>0.5485</v>
      </c>
      <c r="J543" s="11" t="n">
        <v>0.6189</v>
      </c>
      <c r="K543" s="11" t="n">
        <v>0.6659</v>
      </c>
    </row>
    <row r="544">
      <c r="A544" s="9" t="n">
        <v>42552</v>
      </c>
      <c r="B544" s="11" t="n">
        <v>0.8108</v>
      </c>
      <c r="C544" s="11" t="n">
        <v>0.339</v>
      </c>
      <c r="D544" s="11" t="n">
        <v>0.5594</v>
      </c>
      <c r="E544" s="11" t="n">
        <v>0.6427</v>
      </c>
      <c r="F544" s="11" t="n">
        <v>-0.3047</v>
      </c>
      <c r="G544" s="11" t="n">
        <v>0.3622</v>
      </c>
      <c r="H544" s="11" t="n">
        <v>0.4227</v>
      </c>
      <c r="I544" s="11" t="n">
        <v>0.5356</v>
      </c>
      <c r="J544" s="11" t="n">
        <v>0.5741000000000001</v>
      </c>
      <c r="K544" s="11" t="n">
        <v>0.6006</v>
      </c>
    </row>
    <row r="545">
      <c r="A545" s="9" t="n">
        <v>42583</v>
      </c>
      <c r="B545" s="11" t="n">
        <v>0.7848000000000001</v>
      </c>
      <c r="C545" s="11" t="n">
        <v>0.7010999999999999</v>
      </c>
      <c r="D545" s="11" t="n">
        <v>0.5753</v>
      </c>
      <c r="E545" s="11" t="n">
        <v>0.8779</v>
      </c>
      <c r="F545" s="11" t="n">
        <v>0.0014</v>
      </c>
      <c r="G545" s="11" t="n">
        <v>0.3894</v>
      </c>
      <c r="H545" s="11" t="n">
        <v>0.5001</v>
      </c>
      <c r="I545" s="11" t="n">
        <v>0.5667</v>
      </c>
      <c r="J545" s="11" t="n">
        <v>0.6257</v>
      </c>
      <c r="K545" s="11" t="n">
        <v>0.6248</v>
      </c>
    </row>
    <row r="546">
      <c r="A546" s="9" t="n">
        <v>42614</v>
      </c>
      <c r="B546" s="11" t="n">
        <v>1.0757</v>
      </c>
      <c r="C546" s="11" t="n">
        <v>0.1283</v>
      </c>
      <c r="D546" s="11" t="n">
        <v>0.5985</v>
      </c>
      <c r="E546" s="11" t="n">
        <v>0.7173</v>
      </c>
      <c r="F546" s="11" t="n">
        <v>0.1987</v>
      </c>
      <c r="G546" s="11" t="n">
        <v>0.3517</v>
      </c>
      <c r="H546" s="11" t="n">
        <v>0.401</v>
      </c>
      <c r="I546" s="11" t="n">
        <v>0.5221</v>
      </c>
      <c r="J546" s="11" t="n">
        <v>0.5671</v>
      </c>
      <c r="K546" s="11" t="n">
        <v>0.6402</v>
      </c>
    </row>
    <row r="547">
      <c r="A547" s="9" t="n">
        <v>42644</v>
      </c>
      <c r="B547" s="11" t="n">
        <v>1.1775</v>
      </c>
      <c r="C547" s="11" t="n">
        <v>-0.0856</v>
      </c>
      <c r="D547" s="11" t="n">
        <v>0.6856</v>
      </c>
      <c r="E547" s="11" t="n">
        <v>0.582</v>
      </c>
      <c r="F547" s="11" t="n">
        <v>0.6191</v>
      </c>
      <c r="G547" s="11" t="n">
        <v>0.6373</v>
      </c>
      <c r="H547" s="11" t="n">
        <v>0.6484</v>
      </c>
      <c r="I547" s="11" t="n">
        <v>0.7010999999999999</v>
      </c>
      <c r="J547" s="11" t="n">
        <v>0.7563</v>
      </c>
      <c r="K547" s="11" t="n">
        <v>0.7754</v>
      </c>
    </row>
    <row r="548">
      <c r="A548" s="9" t="n">
        <v>42675</v>
      </c>
      <c r="B548" s="11" t="n">
        <v>1.2169</v>
      </c>
      <c r="C548" s="11" t="n">
        <v>0.0108</v>
      </c>
      <c r="D548" s="11" t="n">
        <v>0.7296</v>
      </c>
      <c r="E548" s="11" t="n">
        <v>0.6594</v>
      </c>
      <c r="F548" s="11" t="n">
        <v>0.5575</v>
      </c>
      <c r="G548" s="11" t="n">
        <v>0.5555</v>
      </c>
      <c r="H548" s="11" t="n">
        <v>0.5497</v>
      </c>
      <c r="I548" s="11" t="n">
        <v>0.5684</v>
      </c>
      <c r="J548" s="11" t="n">
        <v>0.5252</v>
      </c>
      <c r="K548" s="11" t="n">
        <v>0.552</v>
      </c>
    </row>
    <row r="549">
      <c r="A549" s="9" t="n">
        <v>42705</v>
      </c>
      <c r="B549" s="11" t="n">
        <v>1.2797</v>
      </c>
      <c r="C549" s="11" t="n">
        <v>0.4515</v>
      </c>
      <c r="D549" s="11" t="n">
        <v>0.7569</v>
      </c>
      <c r="E549" s="11" t="n">
        <v>1.0462</v>
      </c>
      <c r="F549" s="11" t="n">
        <v>1.3182</v>
      </c>
      <c r="G549" s="11" t="n">
        <v>1.0396</v>
      </c>
      <c r="H549" s="11" t="n">
        <v>0.9787</v>
      </c>
      <c r="I549" s="11" t="n">
        <v>0.789</v>
      </c>
      <c r="J549" s="11" t="n">
        <v>0.7897999999999999</v>
      </c>
      <c r="K549" s="11" t="n">
        <v>0.7567</v>
      </c>
    </row>
    <row r="550">
      <c r="A550" s="9" t="n">
        <v>42736</v>
      </c>
      <c r="B550" s="11" t="n">
        <v>1.0495</v>
      </c>
      <c r="C550" s="11" t="n">
        <v>1.228</v>
      </c>
      <c r="D550" s="11" t="n">
        <v>0.6623</v>
      </c>
      <c r="E550" s="11" t="n">
        <v>1.8706</v>
      </c>
      <c r="F550" s="11" t="n">
        <v>2.0015</v>
      </c>
      <c r="G550" s="11" t="n">
        <v>1.099</v>
      </c>
      <c r="H550" s="11" t="n">
        <v>0.9796</v>
      </c>
      <c r="I550" s="11" t="n">
        <v>0.8239</v>
      </c>
      <c r="J550" s="11" t="n">
        <v>0.8285</v>
      </c>
      <c r="K550" s="11" t="n">
        <v>0.7511</v>
      </c>
    </row>
    <row r="551">
      <c r="A551" s="9" t="n">
        <v>42767</v>
      </c>
      <c r="B551" s="11" t="n">
        <v>1.0955</v>
      </c>
      <c r="C551" s="11" t="n">
        <v>1.2021</v>
      </c>
      <c r="D551" s="11" t="n">
        <v>0.5959</v>
      </c>
      <c r="E551" s="11" t="n">
        <v>1.9898</v>
      </c>
      <c r="F551" s="11" t="n">
        <v>2.1972</v>
      </c>
      <c r="G551" s="11" t="n">
        <v>1.1765</v>
      </c>
      <c r="H551" s="11" t="n">
        <v>1.0588</v>
      </c>
      <c r="I551" s="11" t="n">
        <v>0.9494</v>
      </c>
      <c r="J551" s="11" t="n">
        <v>0.968</v>
      </c>
      <c r="K551" s="11" t="n">
        <v>1.0162</v>
      </c>
    </row>
    <row r="552">
      <c r="A552" s="9" t="n">
        <v>42795</v>
      </c>
      <c r="B552" s="11" t="n">
        <v>1.1799</v>
      </c>
      <c r="C552" s="11" t="n">
        <v>0.1987</v>
      </c>
      <c r="D552" s="11" t="n">
        <v>0.7213000000000001</v>
      </c>
      <c r="E552" s="11" t="n">
        <v>0.8749</v>
      </c>
      <c r="F552" s="11" t="n">
        <v>1.7113</v>
      </c>
      <c r="G552" s="11" t="n">
        <v>1.0906</v>
      </c>
      <c r="H552" s="11" t="n">
        <v>1.0224</v>
      </c>
      <c r="I552" s="11" t="n">
        <v>0.9125</v>
      </c>
      <c r="J552" s="11" t="n">
        <v>0.9636</v>
      </c>
      <c r="K552" s="11" t="n">
        <v>1.0362</v>
      </c>
    </row>
    <row r="553">
      <c r="A553" s="9" t="n">
        <v>42826</v>
      </c>
      <c r="B553" s="11" t="n">
        <v>1.7173</v>
      </c>
      <c r="C553" s="11" t="n">
        <v>1.0804</v>
      </c>
      <c r="D553" s="11" t="n">
        <v>0.7399</v>
      </c>
      <c r="E553" s="11" t="n">
        <v>1.9589</v>
      </c>
      <c r="F553" s="11" t="n">
        <v>2.164</v>
      </c>
      <c r="G553" s="11" t="n">
        <v>1.548</v>
      </c>
      <c r="H553" s="11" t="n">
        <v>1.4201</v>
      </c>
      <c r="I553" s="11" t="n">
        <v>1.1744</v>
      </c>
      <c r="J553" s="11" t="n">
        <v>1.1905</v>
      </c>
      <c r="K553" s="11" t="n">
        <v>1.3645</v>
      </c>
    </row>
    <row r="554">
      <c r="A554" s="9" t="n">
        <v>42856</v>
      </c>
      <c r="B554" s="11" t="n">
        <v>1.7057</v>
      </c>
      <c r="C554" s="11" t="n">
        <v>0.3506</v>
      </c>
      <c r="D554" s="11" t="n">
        <v>0.755</v>
      </c>
      <c r="E554" s="11" t="n">
        <v>1.3813</v>
      </c>
      <c r="F554" s="11" t="n">
        <v>1.6737</v>
      </c>
      <c r="G554" s="11" t="n">
        <v>1.5006</v>
      </c>
      <c r="H554" s="11" t="n">
        <v>1.4445</v>
      </c>
      <c r="I554" s="11" t="n">
        <v>1.3127</v>
      </c>
      <c r="J554" s="11" t="n">
        <v>1.3508</v>
      </c>
      <c r="K554" s="11" t="n">
        <v>1.468</v>
      </c>
    </row>
    <row r="555">
      <c r="A555" s="9" t="n">
        <v>42887</v>
      </c>
      <c r="B555" s="11" t="n">
        <v>1.9688</v>
      </c>
      <c r="C555" s="11" t="n">
        <v>0.623</v>
      </c>
      <c r="D555" s="11" t="n">
        <v>0.8357</v>
      </c>
      <c r="E555" s="11" t="n">
        <v>1.7964</v>
      </c>
      <c r="F555" s="11" t="n">
        <v>1.4061</v>
      </c>
      <c r="G555" s="11" t="n">
        <v>1.154</v>
      </c>
      <c r="H555" s="11" t="n">
        <v>1.1037</v>
      </c>
      <c r="I555" s="11" t="n">
        <v>1.0985</v>
      </c>
      <c r="J555" s="11" t="n">
        <v>1.187</v>
      </c>
      <c r="K555" s="11" t="n">
        <v>1.1945</v>
      </c>
    </row>
    <row r="556">
      <c r="A556" s="9" t="n">
        <v>42917</v>
      </c>
      <c r="B556" s="11" t="n">
        <v>1.963</v>
      </c>
      <c r="C556" s="11" t="n">
        <v>1.1707</v>
      </c>
      <c r="D556" s="11" t="n">
        <v>0.8313</v>
      </c>
      <c r="E556" s="11" t="n">
        <v>2.5243</v>
      </c>
      <c r="F556" s="11" t="n">
        <v>1.3922</v>
      </c>
      <c r="G556" s="11" t="n">
        <v>1.2305</v>
      </c>
      <c r="H556" s="11" t="n">
        <v>1.1984</v>
      </c>
      <c r="I556" s="11" t="n">
        <v>1.2368</v>
      </c>
      <c r="J556" s="11" t="n">
        <v>1.3383</v>
      </c>
      <c r="K556" s="11" t="n">
        <v>1.5047</v>
      </c>
    </row>
    <row r="557">
      <c r="A557" s="9" t="n">
        <v>42948</v>
      </c>
      <c r="B557" s="11" t="n">
        <v>1.9637</v>
      </c>
      <c r="C557" s="11" t="n">
        <v>1.1507</v>
      </c>
      <c r="D557" s="11" t="n">
        <v>0.9149</v>
      </c>
      <c r="E557" s="11" t="n">
        <v>2.4478</v>
      </c>
      <c r="F557" s="11" t="n">
        <v>1.5923</v>
      </c>
      <c r="G557" s="11" t="n">
        <v>1.4265</v>
      </c>
      <c r="H557" s="11" t="n">
        <v>1.3361</v>
      </c>
      <c r="I557" s="11" t="n">
        <v>1.2213</v>
      </c>
      <c r="J557" s="11" t="n">
        <v>1.3388</v>
      </c>
      <c r="K557" s="11" t="n">
        <v>1.5154</v>
      </c>
    </row>
    <row r="558">
      <c r="A558" s="9" t="n">
        <v>42979</v>
      </c>
      <c r="B558" s="11" t="n">
        <v>1.8738</v>
      </c>
      <c r="C558" s="11" t="n">
        <v>0.394</v>
      </c>
      <c r="D558" s="11" t="n">
        <v>0.9408</v>
      </c>
      <c r="E558" s="11" t="n">
        <v>1.6232</v>
      </c>
      <c r="F558" s="11" t="n">
        <v>1.4727</v>
      </c>
      <c r="G558" s="11" t="n">
        <v>1.3541</v>
      </c>
      <c r="H558" s="11" t="n">
        <v>1.3256</v>
      </c>
      <c r="I558" s="11" t="n">
        <v>1.2419</v>
      </c>
      <c r="J558" s="11" t="n">
        <v>1.3468</v>
      </c>
      <c r="K558" s="11" t="n">
        <v>1.3074</v>
      </c>
    </row>
    <row r="559">
      <c r="A559" s="9" t="n">
        <v>43009</v>
      </c>
      <c r="B559" s="11" t="n">
        <v>1.7161</v>
      </c>
      <c r="C559" s="11" t="n">
        <v>0.1212</v>
      </c>
      <c r="D559" s="11" t="n">
        <v>0.8552999999999999</v>
      </c>
      <c r="E559" s="11" t="n">
        <v>1.2617</v>
      </c>
      <c r="F559" s="11" t="n">
        <v>1.5079</v>
      </c>
      <c r="G559" s="11" t="n">
        <v>1.4076</v>
      </c>
      <c r="H559" s="11" t="n">
        <v>1.3866</v>
      </c>
      <c r="I559" s="11" t="n">
        <v>1.2981</v>
      </c>
      <c r="J559" s="11" t="n">
        <v>1.3952</v>
      </c>
      <c r="K559" s="11" t="n">
        <v>1.3156</v>
      </c>
    </row>
    <row r="560">
      <c r="A560" s="9" t="n">
        <v>43040</v>
      </c>
      <c r="B560" s="11" t="n">
        <v>1.4331</v>
      </c>
      <c r="C560" s="11" t="n">
        <v>0.1621</v>
      </c>
      <c r="D560" s="11" t="n">
        <v>0.8193</v>
      </c>
      <c r="E560" s="11" t="n">
        <v>0.9692</v>
      </c>
      <c r="F560" s="11" t="n">
        <v>1.7465</v>
      </c>
      <c r="G560" s="11" t="n">
        <v>1.5337</v>
      </c>
      <c r="H560" s="11" t="n">
        <v>1.5156</v>
      </c>
      <c r="I560" s="11" t="n">
        <v>1.4215</v>
      </c>
      <c r="J560" s="11" t="n">
        <v>1.492</v>
      </c>
      <c r="K560" s="11" t="n">
        <v>1.6118</v>
      </c>
    </row>
    <row r="561">
      <c r="A561" s="9" t="n">
        <v>43070</v>
      </c>
      <c r="B561" s="11" t="n">
        <v>1.5048</v>
      </c>
      <c r="C561" s="11" t="n">
        <v>-0.09320000000000001</v>
      </c>
      <c r="D561" s="11" t="n">
        <v>0.9238</v>
      </c>
      <c r="E561" s="11" t="n">
        <v>0.7828000000000001</v>
      </c>
      <c r="F561" s="11" t="n">
        <v>1.2298</v>
      </c>
      <c r="G561" s="11" t="n">
        <v>1.2542</v>
      </c>
      <c r="H561" s="11" t="n">
        <v>1.244</v>
      </c>
      <c r="I561" s="11" t="n">
        <v>1.2941</v>
      </c>
      <c r="J561" s="11" t="n">
        <v>1.3517</v>
      </c>
      <c r="K561" s="11" t="n">
        <v>1.394</v>
      </c>
    </row>
    <row r="562">
      <c r="A562" s="9" t="n">
        <v>43101</v>
      </c>
      <c r="B562" s="11" t="n">
        <v>1.6078</v>
      </c>
      <c r="C562" s="11" t="n">
        <v>0.0584</v>
      </c>
      <c r="D562" s="11" t="n">
        <v>0.986</v>
      </c>
      <c r="E562" s="11" t="n">
        <v>0.9456</v>
      </c>
      <c r="F562" s="11" t="n">
        <v>1.0722</v>
      </c>
      <c r="G562" s="11" t="n">
        <v>1.1792</v>
      </c>
      <c r="H562" s="11" t="n">
        <v>1.2117</v>
      </c>
      <c r="I562" s="11" t="n">
        <v>1.2644</v>
      </c>
      <c r="J562" s="11" t="n">
        <v>1.2702</v>
      </c>
      <c r="K562" s="11" t="n">
        <v>1.2476</v>
      </c>
    </row>
    <row r="563">
      <c r="A563" s="9" t="n">
        <v>43132</v>
      </c>
      <c r="B563" s="11" t="n">
        <v>1.762</v>
      </c>
      <c r="C563" s="11" t="n">
        <v>0.5994</v>
      </c>
      <c r="D563" s="11" t="n">
        <v>1.1171</v>
      </c>
      <c r="E563" s="11" t="n">
        <v>1.3872</v>
      </c>
      <c r="F563" s="11" t="n">
        <v>1.2765</v>
      </c>
      <c r="G563" s="11" t="n">
        <v>1.2285</v>
      </c>
      <c r="H563" s="11" t="n">
        <v>1.2245</v>
      </c>
      <c r="I563" s="11" t="n">
        <v>1.2383</v>
      </c>
      <c r="J563" s="11" t="n">
        <v>1.2379</v>
      </c>
      <c r="K563" s="11" t="n">
        <v>1.0798</v>
      </c>
    </row>
    <row r="564">
      <c r="A564" s="9" t="n">
        <v>43160</v>
      </c>
      <c r="B564" s="11" t="n">
        <v>1.8824</v>
      </c>
      <c r="C564" s="11" t="n">
        <v>0.2969</v>
      </c>
      <c r="D564" s="11" t="n">
        <v>1.1169</v>
      </c>
      <c r="E564" s="11" t="n">
        <v>1.2985</v>
      </c>
      <c r="F564" s="11" t="n">
        <v>1.253</v>
      </c>
      <c r="G564" s="11" t="n">
        <v>1.1911</v>
      </c>
      <c r="H564" s="11" t="n">
        <v>1.1897</v>
      </c>
      <c r="I564" s="11" t="n">
        <v>1.2154</v>
      </c>
      <c r="J564" s="11" t="n">
        <v>1.2044</v>
      </c>
      <c r="K564" s="11" t="n">
        <v>1.125</v>
      </c>
    </row>
    <row r="565">
      <c r="A565" s="9" t="n">
        <v>43191</v>
      </c>
      <c r="B565" s="11" t="n">
        <v>1.5445</v>
      </c>
      <c r="C565" s="11" t="n">
        <v>-0.3733</v>
      </c>
      <c r="D565" s="11" t="n">
        <v>1.1211</v>
      </c>
      <c r="E565" s="11" t="n">
        <v>0.477</v>
      </c>
      <c r="F565" s="11" t="n">
        <v>1.2114</v>
      </c>
      <c r="G565" s="11" t="n">
        <v>1.1894</v>
      </c>
      <c r="H565" s="11" t="n">
        <v>1.1854</v>
      </c>
      <c r="I565" s="11" t="n">
        <v>1.2551</v>
      </c>
      <c r="J565" s="11" t="n">
        <v>1.2922</v>
      </c>
      <c r="K565" s="11" t="n">
        <v>1.3088</v>
      </c>
    </row>
    <row r="566">
      <c r="A566" s="9" t="n">
        <v>43221</v>
      </c>
      <c r="B566" s="11" t="n">
        <v>1.7619</v>
      </c>
      <c r="C566" s="11" t="n">
        <v>0.4934</v>
      </c>
      <c r="D566" s="11" t="n">
        <v>1.1603</v>
      </c>
      <c r="E566" s="11" t="n">
        <v>1.2847</v>
      </c>
      <c r="F566" s="11" t="n">
        <v>1.9251</v>
      </c>
      <c r="G566" s="11" t="n">
        <v>1.6261</v>
      </c>
      <c r="H566" s="11" t="n">
        <v>1.56</v>
      </c>
      <c r="I566" s="11" t="n">
        <v>1.4092</v>
      </c>
      <c r="J566" s="11" t="n">
        <v>1.4215</v>
      </c>
      <c r="K566" s="11" t="n">
        <v>1.3728</v>
      </c>
    </row>
    <row r="567">
      <c r="A567" s="9" t="n">
        <v>43252</v>
      </c>
      <c r="B567" s="11" t="n">
        <v>1.6091</v>
      </c>
      <c r="C567" s="11" t="n">
        <v>0.2353</v>
      </c>
      <c r="D567" s="11" t="n">
        <v>1.1408</v>
      </c>
      <c r="E567" s="11" t="n">
        <v>0.9607</v>
      </c>
      <c r="F567" s="11" t="n">
        <v>1.9477</v>
      </c>
      <c r="G567" s="11" t="n">
        <v>1.4832</v>
      </c>
      <c r="H567" s="11" t="n">
        <v>1.4255</v>
      </c>
      <c r="I567" s="11" t="n">
        <v>1.31</v>
      </c>
      <c r="J567" s="11" t="n">
        <v>1.2775</v>
      </c>
      <c r="K567" s="11" t="n">
        <v>1.2584</v>
      </c>
    </row>
    <row r="568">
      <c r="A568" s="9" t="n">
        <v>43282</v>
      </c>
      <c r="B568" s="11" t="n">
        <v>1.8391</v>
      </c>
      <c r="C568" s="11" t="n">
        <v>-0.0403</v>
      </c>
      <c r="D568" s="11" t="n">
        <v>1.1789</v>
      </c>
      <c r="E568" s="11" t="n">
        <v>0.965</v>
      </c>
      <c r="F568" s="11" t="n">
        <v>1.9813</v>
      </c>
      <c r="G568" s="11" t="n">
        <v>1.4536</v>
      </c>
      <c r="H568" s="11" t="n">
        <v>1.3806</v>
      </c>
      <c r="I568" s="11" t="n">
        <v>1.3087</v>
      </c>
      <c r="J568" s="11" t="n">
        <v>1.2949</v>
      </c>
      <c r="K568" s="11" t="n">
        <v>1.3255</v>
      </c>
    </row>
    <row r="569">
      <c r="A569" s="9" t="n">
        <v>43313</v>
      </c>
      <c r="B569" s="11" t="n">
        <v>1.7392</v>
      </c>
      <c r="C569" s="11" t="n">
        <v>-0.2958</v>
      </c>
      <c r="D569" s="11" t="n">
        <v>1.1797</v>
      </c>
      <c r="E569" s="11" t="n">
        <v>0.6824</v>
      </c>
      <c r="F569" s="11" t="n">
        <v>2.0174</v>
      </c>
      <c r="G569" s="11" t="n">
        <v>1.3427</v>
      </c>
      <c r="H569" s="11" t="n">
        <v>1.2645</v>
      </c>
      <c r="I569" s="11" t="n">
        <v>1.27</v>
      </c>
      <c r="J569" s="11" t="n">
        <v>1.2732</v>
      </c>
      <c r="K569" s="11" t="n">
        <v>1.3406</v>
      </c>
    </row>
    <row r="570">
      <c r="A570" s="9" t="n">
        <v>43344</v>
      </c>
      <c r="B570" s="11" t="n">
        <v>1.8935</v>
      </c>
      <c r="C570" s="11" t="n">
        <v>-0.6091</v>
      </c>
      <c r="D570" s="11" t="n">
        <v>1.1936</v>
      </c>
      <c r="E570" s="11" t="n">
        <v>0.608</v>
      </c>
      <c r="F570" s="11" t="n">
        <v>2.081</v>
      </c>
      <c r="G570" s="11" t="n">
        <v>1.4318</v>
      </c>
      <c r="H570" s="11" t="n">
        <v>1.3507</v>
      </c>
      <c r="I570" s="11" t="n">
        <v>1.306</v>
      </c>
      <c r="J570" s="11" t="n">
        <v>1.2906</v>
      </c>
      <c r="K570" s="11" t="n">
        <v>1.2876</v>
      </c>
    </row>
    <row r="571">
      <c r="A571" s="9" t="n">
        <v>43374</v>
      </c>
      <c r="B571" s="11" t="n">
        <v>1.817</v>
      </c>
      <c r="C571" s="11" t="n">
        <v>0.1559</v>
      </c>
      <c r="D571" s="11" t="n">
        <v>1.2558</v>
      </c>
      <c r="E571" s="11" t="n">
        <v>1.0284</v>
      </c>
      <c r="F571" s="11" t="n">
        <v>1.9999</v>
      </c>
      <c r="G571" s="11" t="n">
        <v>1.6197</v>
      </c>
      <c r="H571" s="11" t="n">
        <v>1.5792</v>
      </c>
      <c r="I571" s="11" t="n">
        <v>1.4405</v>
      </c>
      <c r="J571" s="11" t="n">
        <v>1.4367</v>
      </c>
      <c r="K571" s="11" t="n">
        <v>1.3782</v>
      </c>
    </row>
    <row r="572">
      <c r="A572" s="9" t="n">
        <v>43405</v>
      </c>
      <c r="B572" s="11" t="n">
        <v>1.8668</v>
      </c>
      <c r="C572" s="11" t="n">
        <v>-0.1374</v>
      </c>
      <c r="D572" s="11" t="n">
        <v>1.2584</v>
      </c>
      <c r="E572" s="11" t="n">
        <v>0.8697</v>
      </c>
      <c r="F572" s="11" t="n">
        <v>1.6623</v>
      </c>
      <c r="G572" s="11" t="n">
        <v>1.3823</v>
      </c>
      <c r="H572" s="11" t="n">
        <v>1.3292</v>
      </c>
      <c r="I572" s="11" t="n">
        <v>1.2871</v>
      </c>
      <c r="J572" s="11" t="n">
        <v>1.2511</v>
      </c>
      <c r="K572" s="11" t="n">
        <v>1.1875</v>
      </c>
    </row>
    <row r="573">
      <c r="A573" s="9" t="n">
        <v>43435</v>
      </c>
      <c r="B573" s="11" t="n">
        <v>1.7402</v>
      </c>
      <c r="C573" s="11" t="n">
        <v>0.08119999999999999</v>
      </c>
      <c r="D573" s="11" t="n">
        <v>1.2676</v>
      </c>
      <c r="E573" s="11" t="n">
        <v>0.8925999999999999</v>
      </c>
      <c r="F573" s="11" t="n">
        <v>1.1918</v>
      </c>
      <c r="G573" s="11" t="n">
        <v>1.1337</v>
      </c>
      <c r="H573" s="11" t="n">
        <v>1.1343</v>
      </c>
      <c r="I573" s="11" t="n">
        <v>1.1469</v>
      </c>
      <c r="J573" s="11" t="n">
        <v>1.1508</v>
      </c>
      <c r="K573" s="11" t="n">
        <v>1.0806</v>
      </c>
    </row>
    <row r="574">
      <c r="A574" s="9" t="n">
        <v>43466</v>
      </c>
      <c r="B574" s="11" t="n">
        <v>1.7602</v>
      </c>
      <c r="C574" s="11" t="n">
        <v>-0.2455</v>
      </c>
      <c r="D574" s="11" t="n">
        <v>1.3249</v>
      </c>
      <c r="E574" s="11" t="n">
        <v>0.6599</v>
      </c>
      <c r="F574" s="11" t="n">
        <v>1.153</v>
      </c>
      <c r="G574" s="11" t="n">
        <v>1.0948</v>
      </c>
      <c r="H574" s="11" t="n">
        <v>1.0979</v>
      </c>
      <c r="I574" s="11" t="n">
        <v>1.1297</v>
      </c>
      <c r="J574" s="11" t="n">
        <v>1.1596</v>
      </c>
      <c r="K574" s="11" t="n">
        <v>1.1218</v>
      </c>
    </row>
    <row r="575">
      <c r="A575" s="9" t="n">
        <v>43497</v>
      </c>
      <c r="B575" s="11" t="n">
        <v>1.7268</v>
      </c>
      <c r="C575" s="11" t="n">
        <v>-0.7482</v>
      </c>
      <c r="D575" s="11" t="n">
        <v>1.3577</v>
      </c>
      <c r="E575" s="11" t="n">
        <v>0.2549</v>
      </c>
      <c r="F575" s="11" t="n">
        <v>1.2896</v>
      </c>
      <c r="G575" s="11" t="n">
        <v>1.2431</v>
      </c>
      <c r="H575" s="11" t="n">
        <v>1.2331</v>
      </c>
      <c r="I575" s="11" t="n">
        <v>1.2544</v>
      </c>
      <c r="J575" s="11" t="n">
        <v>1.3049</v>
      </c>
      <c r="K575" s="11" t="n">
        <v>1.3082</v>
      </c>
    </row>
    <row r="576">
      <c r="A576" s="9" t="n">
        <v>43525</v>
      </c>
      <c r="B576" s="11" t="n">
        <v>1.6804</v>
      </c>
      <c r="C576" s="11" t="n">
        <v>-0.7323</v>
      </c>
      <c r="D576" s="11" t="n">
        <v>1.3874</v>
      </c>
      <c r="E576" s="11" t="n">
        <v>0.1814</v>
      </c>
      <c r="F576" s="11" t="n">
        <v>1.4449</v>
      </c>
      <c r="G576" s="11" t="n">
        <v>1.2897</v>
      </c>
      <c r="H576" s="11" t="n">
        <v>1.2601</v>
      </c>
      <c r="I576" s="11" t="n">
        <v>1.2434</v>
      </c>
      <c r="J576" s="11" t="n">
        <v>1.2504</v>
      </c>
      <c r="K576" s="11" t="n">
        <v>1.2047</v>
      </c>
    </row>
    <row r="577">
      <c r="A577" s="9" t="n">
        <v>43556</v>
      </c>
      <c r="B577" s="11" t="n">
        <v>1.8385</v>
      </c>
      <c r="C577" s="11" t="n">
        <v>0.5387</v>
      </c>
      <c r="D577" s="11" t="n">
        <v>1.4261</v>
      </c>
      <c r="E577" s="11" t="n">
        <v>1.2178</v>
      </c>
      <c r="F577" s="11" t="n">
        <v>1.6541</v>
      </c>
      <c r="G577" s="11" t="n">
        <v>1.4679</v>
      </c>
      <c r="H577" s="11" t="n">
        <v>1.4351</v>
      </c>
      <c r="I577" s="11" t="n">
        <v>1.4377</v>
      </c>
      <c r="J577" s="11" t="n">
        <v>1.4798</v>
      </c>
      <c r="K577" s="11" t="n">
        <v>1.6369</v>
      </c>
    </row>
    <row r="578">
      <c r="A578" s="9" t="n">
        <v>43586</v>
      </c>
      <c r="B578" s="11" t="n">
        <v>1.7863</v>
      </c>
      <c r="C578" s="11" t="n">
        <v>-0.0476</v>
      </c>
      <c r="D578" s="11" t="n">
        <v>1.3992</v>
      </c>
      <c r="E578" s="11" t="n">
        <v>0.7681</v>
      </c>
      <c r="F578" s="11" t="n">
        <v>1.0961</v>
      </c>
      <c r="G578" s="11" t="n">
        <v>1.3157</v>
      </c>
      <c r="H578" s="11" t="n">
        <v>1.3261</v>
      </c>
      <c r="I578" s="11" t="n">
        <v>1.4054</v>
      </c>
      <c r="J578" s="11" t="n">
        <v>1.479</v>
      </c>
      <c r="K578" s="11" t="n">
        <v>1.6138</v>
      </c>
    </row>
    <row r="579">
      <c r="A579" s="9" t="n">
        <v>43617</v>
      </c>
      <c r="B579" s="11" t="n">
        <v>1.8111</v>
      </c>
      <c r="C579" s="11" t="n">
        <v>0.2987</v>
      </c>
      <c r="D579" s="11" t="n">
        <v>1.3997</v>
      </c>
      <c r="E579" s="11" t="n">
        <v>1.0419</v>
      </c>
      <c r="F579" s="11" t="n">
        <v>0.8118</v>
      </c>
      <c r="G579" s="11" t="n">
        <v>1.034</v>
      </c>
      <c r="H579" s="11" t="n">
        <v>1.0787</v>
      </c>
      <c r="I579" s="11" t="n">
        <v>1.1747</v>
      </c>
      <c r="J579" s="11" t="n">
        <v>1.2436</v>
      </c>
      <c r="K579" s="11" t="n">
        <v>1.3163</v>
      </c>
    </row>
    <row r="580">
      <c r="A580" s="9" t="n">
        <v>43647</v>
      </c>
      <c r="B580" s="11" t="n">
        <v>1.7176</v>
      </c>
      <c r="C580" s="11" t="n">
        <v>0.2151</v>
      </c>
      <c r="D580" s="11" t="n">
        <v>1.3457</v>
      </c>
      <c r="E580" s="11" t="n">
        <v>0.9463</v>
      </c>
      <c r="F580" s="11" t="n">
        <v>0.8724</v>
      </c>
      <c r="G580" s="11" t="n">
        <v>1.0872</v>
      </c>
      <c r="H580" s="11" t="n">
        <v>1.1078</v>
      </c>
      <c r="I580" s="11" t="n">
        <v>1.2024</v>
      </c>
      <c r="J580" s="11" t="n">
        <v>1.3266</v>
      </c>
      <c r="K580" s="11" t="n">
        <v>1.3666</v>
      </c>
    </row>
    <row r="581">
      <c r="A581" s="9" t="n">
        <v>43678</v>
      </c>
      <c r="B581" s="11" t="n">
        <v>1.6143</v>
      </c>
      <c r="C581" s="11" t="n">
        <v>0.5054</v>
      </c>
      <c r="D581" s="11" t="n">
        <v>1.3548</v>
      </c>
      <c r="E581" s="11" t="n">
        <v>1.0355</v>
      </c>
      <c r="F581" s="11" t="n">
        <v>0.8735000000000001</v>
      </c>
      <c r="G581" s="11" t="n">
        <v>1.1003</v>
      </c>
      <c r="H581" s="11" t="n">
        <v>1.1387</v>
      </c>
      <c r="I581" s="11" t="n">
        <v>1.2686</v>
      </c>
      <c r="J581" s="11" t="n">
        <v>1.3333</v>
      </c>
      <c r="K581" s="11" t="n">
        <v>1.4155</v>
      </c>
    </row>
    <row r="582">
      <c r="A582" s="9" t="n">
        <v>43709</v>
      </c>
      <c r="B582" s="11" t="n">
        <v>1.5781</v>
      </c>
      <c r="C582" s="11" t="n">
        <v>0.698</v>
      </c>
      <c r="D582" s="11" t="n">
        <v>1.3162</v>
      </c>
      <c r="E582" s="11" t="n">
        <v>1.1578</v>
      </c>
      <c r="F582" s="11" t="n">
        <v>0.7735</v>
      </c>
      <c r="G582" s="11" t="n">
        <v>0.9944</v>
      </c>
      <c r="H582" s="11" t="n">
        <v>1.0575</v>
      </c>
      <c r="I582" s="11" t="n">
        <v>1.1672</v>
      </c>
      <c r="J582" s="11" t="n">
        <v>1.1955</v>
      </c>
      <c r="K582" s="11" t="n">
        <v>1.2393</v>
      </c>
    </row>
    <row r="583">
      <c r="A583" s="9" t="n">
        <v>43739</v>
      </c>
      <c r="B583" s="11" t="n">
        <v>1.615</v>
      </c>
      <c r="C583" s="11" t="n">
        <v>0.3684</v>
      </c>
      <c r="D583" s="11" t="n">
        <v>1.3605</v>
      </c>
      <c r="E583" s="11" t="n">
        <v>0.9238</v>
      </c>
      <c r="F583" s="11" t="n">
        <v>0.5951</v>
      </c>
      <c r="G583" s="11" t="n">
        <v>0.9102</v>
      </c>
      <c r="H583" s="11" t="n">
        <v>0.981</v>
      </c>
      <c r="I583" s="11" t="n">
        <v>1.0211</v>
      </c>
      <c r="J583" s="11" t="n">
        <v>1.0403</v>
      </c>
      <c r="K583" s="11" t="n">
        <v>1.076</v>
      </c>
    </row>
    <row r="584">
      <c r="A584" s="9" t="n">
        <v>43770</v>
      </c>
      <c r="B584" s="11" t="n">
        <v>1.6518</v>
      </c>
      <c r="C584" s="11" t="n">
        <v>0.4088</v>
      </c>
      <c r="D584" s="11" t="n">
        <v>1.3818</v>
      </c>
      <c r="E584" s="11" t="n">
        <v>0.9665</v>
      </c>
      <c r="F584" s="11" t="n">
        <v>0.8796</v>
      </c>
      <c r="G584" s="11" t="n">
        <v>1.0421</v>
      </c>
      <c r="H584" s="11" t="n">
        <v>1.0483</v>
      </c>
      <c r="I584" s="11" t="n">
        <v>1.0754</v>
      </c>
      <c r="J584" s="11" t="n">
        <v>1.0866</v>
      </c>
      <c r="K584" s="11" t="n">
        <v>1.2441</v>
      </c>
    </row>
    <row r="585">
      <c r="A585" s="9" t="n">
        <v>43800</v>
      </c>
      <c r="B585" s="11" t="n">
        <v>1.6496</v>
      </c>
      <c r="C585" s="11" t="n">
        <v>0.4449</v>
      </c>
      <c r="D585" s="11" t="n">
        <v>1.3832</v>
      </c>
      <c r="E585" s="11" t="n">
        <v>0.9866</v>
      </c>
      <c r="F585" s="11" t="n">
        <v>1.3486</v>
      </c>
      <c r="G585" s="11" t="n">
        <v>1.3512</v>
      </c>
      <c r="H585" s="11" t="n">
        <v>1.3232</v>
      </c>
      <c r="I585" s="11" t="n">
        <v>1.2796</v>
      </c>
      <c r="J585" s="11" t="n">
        <v>1.268</v>
      </c>
      <c r="K585" s="11" t="n">
        <v>1.1985</v>
      </c>
    </row>
    <row r="586">
      <c r="A586" s="9" t="n">
        <v>43831</v>
      </c>
      <c r="B586" s="11" t="n">
        <v>1.5207</v>
      </c>
      <c r="C586" s="11" t="n">
        <v>0.5501</v>
      </c>
      <c r="D586" s="11" t="n">
        <v>1.2991</v>
      </c>
      <c r="E586" s="11" t="n">
        <v>0.9997</v>
      </c>
      <c r="F586" s="11" t="n">
        <v>1.4072</v>
      </c>
      <c r="G586" s="11" t="n">
        <v>1.4289</v>
      </c>
      <c r="H586" s="11" t="n">
        <v>1.3964</v>
      </c>
      <c r="I586" s="11" t="n">
        <v>1.3752</v>
      </c>
      <c r="J586" s="11" t="n">
        <v>1.3726</v>
      </c>
      <c r="K586" s="11" t="n">
        <v>1.3584</v>
      </c>
    </row>
    <row r="587">
      <c r="A587" s="9" t="n">
        <v>43862</v>
      </c>
      <c r="B587" s="11" t="n">
        <v>1.5643</v>
      </c>
      <c r="C587" s="11" t="n">
        <v>0.9813</v>
      </c>
      <c r="D587" s="11" t="n">
        <v>1.3033</v>
      </c>
      <c r="E587" s="11" t="n">
        <v>1.3375</v>
      </c>
      <c r="F587" s="11" t="n">
        <v>1.2406</v>
      </c>
      <c r="G587" s="11" t="n">
        <v>1.3628</v>
      </c>
      <c r="H587" s="11" t="n">
        <v>1.3808</v>
      </c>
      <c r="I587" s="11" t="n">
        <v>1.4388</v>
      </c>
      <c r="J587" s="11" t="n">
        <v>1.4796</v>
      </c>
      <c r="K587" s="11" t="n">
        <v>1.3768</v>
      </c>
    </row>
    <row r="588">
      <c r="A588" s="9" t="n">
        <v>43891</v>
      </c>
      <c r="B588" s="11" t="n">
        <v>1.6215</v>
      </c>
      <c r="C588" s="11" t="n">
        <v>0.4244</v>
      </c>
      <c r="D588" s="11" t="n">
        <v>1.3514</v>
      </c>
      <c r="E588" s="11" t="n">
        <v>0.962</v>
      </c>
      <c r="F588" s="11" t="n">
        <v>0.5358000000000001</v>
      </c>
      <c r="G588" s="11" t="n">
        <v>0.9948</v>
      </c>
      <c r="H588" s="11" t="n">
        <v>1.1038</v>
      </c>
      <c r="I588" s="11" t="n">
        <v>1.2174</v>
      </c>
      <c r="J588" s="11" t="n">
        <v>1.2839</v>
      </c>
      <c r="K588" s="11" t="n">
        <v>1.3266</v>
      </c>
    </row>
    <row r="589">
      <c r="A589" s="9" t="n">
        <v>43922</v>
      </c>
      <c r="B589" s="11" t="n">
        <v>1.5355</v>
      </c>
      <c r="C589" s="11" t="n">
        <v>0.0639</v>
      </c>
      <c r="D589" s="11" t="n">
        <v>1.2727</v>
      </c>
      <c r="E589" s="11" t="n">
        <v>0.6657999999999999</v>
      </c>
      <c r="F589" s="11" t="n">
        <v>0.0446</v>
      </c>
      <c r="G589" s="11" t="n">
        <v>0.9823</v>
      </c>
      <c r="H589" s="11" t="n">
        <v>1.047</v>
      </c>
      <c r="I589" s="11" t="n">
        <v>1.1111</v>
      </c>
      <c r="J589" s="11" t="n">
        <v>1.2435</v>
      </c>
      <c r="K589" s="11" t="n">
        <v>1.2366</v>
      </c>
    </row>
    <row r="590">
      <c r="A590" s="9" t="n">
        <v>43952</v>
      </c>
      <c r="B590" s="11" t="n">
        <v>1.5171</v>
      </c>
      <c r="C590" s="11" t="n">
        <v>0.0078</v>
      </c>
      <c r="D590" s="11" t="n">
        <v>1.3071</v>
      </c>
      <c r="E590" s="11" t="n">
        <v>0.5816</v>
      </c>
      <c r="F590" s="11" t="n">
        <v>-0.1111</v>
      </c>
      <c r="G590" s="11" t="n">
        <v>0.9505</v>
      </c>
      <c r="H590" s="11" t="n">
        <v>1.0318</v>
      </c>
      <c r="I590" s="11" t="n">
        <v>1.123</v>
      </c>
      <c r="J590" s="11" t="n">
        <v>1.2</v>
      </c>
      <c r="K590" s="11" t="n">
        <v>1.1969</v>
      </c>
    </row>
    <row r="591">
      <c r="A591" s="9" t="n">
        <v>43983</v>
      </c>
      <c r="B591" s="11" t="n">
        <v>1.486</v>
      </c>
      <c r="C591" s="11" t="n">
        <v>-0.0659</v>
      </c>
      <c r="D591" s="11" t="n">
        <v>1.3016</v>
      </c>
      <c r="E591" s="11" t="n">
        <v>0.5001</v>
      </c>
      <c r="F591" s="11" t="n">
        <v>0.1461</v>
      </c>
      <c r="G591" s="11" t="n">
        <v>0.8338</v>
      </c>
      <c r="H591" s="11" t="n">
        <v>0.8972</v>
      </c>
      <c r="I591" s="11" t="n">
        <v>1.0161</v>
      </c>
      <c r="J591" s="11" t="n">
        <v>1.0383</v>
      </c>
      <c r="K591" s="11" t="n">
        <v>1.1235</v>
      </c>
    </row>
    <row r="592">
      <c r="A592" s="9" t="n">
        <v>44013</v>
      </c>
      <c r="B592" s="11" t="n">
        <v>0.4165</v>
      </c>
      <c r="C592" s="11" t="n">
        <v>-0.1369</v>
      </c>
      <c r="D592" s="11" t="n">
        <v>1.3832</v>
      </c>
      <c r="E592" s="11" t="n">
        <v>-0.7002</v>
      </c>
      <c r="F592" s="11" t="n">
        <v>-0.4157</v>
      </c>
      <c r="G592" s="11" t="n">
        <v>0.3175</v>
      </c>
      <c r="H592" s="11" t="n">
        <v>0.4854</v>
      </c>
      <c r="I592" s="11" t="n">
        <v>0.8071</v>
      </c>
      <c r="J592" s="11" t="n">
        <v>0.756</v>
      </c>
      <c r="K592" s="11" t="n">
        <v>0.7549</v>
      </c>
    </row>
    <row r="593">
      <c r="A593" s="9" t="n">
        <v>44044</v>
      </c>
      <c r="B593" s="11" t="n">
        <v>0.5538999999999999</v>
      </c>
      <c r="C593" s="11" t="n">
        <v>-0.6012999999999999</v>
      </c>
      <c r="D593" s="11" t="n">
        <v>1.3422</v>
      </c>
      <c r="E593" s="11" t="n">
        <v>-0.8521</v>
      </c>
      <c r="F593" s="11" t="n">
        <v>-0.3431</v>
      </c>
      <c r="G593" s="11" t="n">
        <v>0.1848</v>
      </c>
      <c r="H593" s="11" t="n">
        <v>0.342</v>
      </c>
      <c r="I593" s="11" t="n">
        <v>0.6914</v>
      </c>
      <c r="J593" s="11" t="n">
        <v>0.6239</v>
      </c>
      <c r="K593" s="11" t="n">
        <v>0.5696</v>
      </c>
    </row>
    <row r="594">
      <c r="A594" s="9" t="n">
        <v>44075</v>
      </c>
      <c r="B594" s="11" t="n">
        <v>0.4577</v>
      </c>
      <c r="C594" s="11" t="n">
        <v>-0.7426</v>
      </c>
      <c r="D594" s="11" t="n">
        <v>1.4153</v>
      </c>
      <c r="E594" s="11" t="n">
        <v>-1.0929</v>
      </c>
      <c r="F594" s="11" t="n">
        <v>-0.1845</v>
      </c>
      <c r="G594" s="11" t="n">
        <v>0.4832</v>
      </c>
      <c r="H594" s="11" t="n">
        <v>0.589</v>
      </c>
      <c r="I594" s="11" t="n">
        <v>0.6992</v>
      </c>
      <c r="J594" s="11" t="n">
        <v>0.6676</v>
      </c>
      <c r="K594" s="11" t="n">
        <v>0.6453</v>
      </c>
    </row>
    <row r="595">
      <c r="A595" s="9" t="n">
        <v>44105</v>
      </c>
      <c r="B595" s="11" t="n">
        <v>0.1566</v>
      </c>
      <c r="C595" s="11" t="n">
        <v>-0.4578</v>
      </c>
      <c r="D595" s="11" t="n">
        <v>1.3031</v>
      </c>
      <c r="E595" s="11" t="n">
        <v>-1.1061</v>
      </c>
      <c r="F595" s="11" t="n">
        <v>-0.5649</v>
      </c>
      <c r="G595" s="11" t="n">
        <v>0.1225</v>
      </c>
      <c r="H595" s="11" t="n">
        <v>0.2826</v>
      </c>
      <c r="I595" s="11" t="n">
        <v>0.6278</v>
      </c>
      <c r="J595" s="11" t="n">
        <v>0.5873</v>
      </c>
      <c r="K595" s="11" t="n">
        <v>0.5179</v>
      </c>
    </row>
    <row r="596">
      <c r="A596" s="9" t="n">
        <v>44136</v>
      </c>
      <c r="B596" s="11" t="n">
        <v>0.1932</v>
      </c>
      <c r="C596" s="11" t="n">
        <v>-0.3372</v>
      </c>
      <c r="D596" s="11" t="n">
        <v>1.2411</v>
      </c>
      <c r="E596" s="11" t="n">
        <v>-0.9302</v>
      </c>
      <c r="F596" s="11" t="n">
        <v>-0.4072</v>
      </c>
      <c r="G596" s="11" t="n">
        <v>0.2969</v>
      </c>
      <c r="H596" s="11" t="n">
        <v>0.385</v>
      </c>
      <c r="I596" s="11" t="n">
        <v>0.6454</v>
      </c>
      <c r="J596" s="11" t="n">
        <v>0.6705</v>
      </c>
      <c r="K596" s="11" t="n">
        <v>0.5715</v>
      </c>
    </row>
    <row r="597">
      <c r="A597" s="9" t="n">
        <v>44166</v>
      </c>
      <c r="B597" s="11" t="n">
        <v>0.1943</v>
      </c>
      <c r="C597" s="11" t="n">
        <v>-0.5693</v>
      </c>
      <c r="D597" s="11" t="n">
        <v>1.1488</v>
      </c>
      <c r="E597" s="11" t="n">
        <v>-1.0268</v>
      </c>
      <c r="F597" s="11" t="n">
        <v>-0.2587</v>
      </c>
      <c r="G597" s="11" t="n">
        <v>0.4208</v>
      </c>
      <c r="H597" s="11" t="n">
        <v>0.5647</v>
      </c>
      <c r="I597" s="11" t="n">
        <v>0.7773</v>
      </c>
      <c r="J597" s="11" t="n">
        <v>0.856</v>
      </c>
      <c r="K597" s="11" t="n">
        <v>0.8425</v>
      </c>
    </row>
    <row r="598">
      <c r="A598" s="9" t="n">
        <v>44197</v>
      </c>
      <c r="B598" s="11" t="n">
        <v>0.4966</v>
      </c>
      <c r="C598" s="11" t="n">
        <v>-0.1429</v>
      </c>
      <c r="D598" s="11" t="n">
        <v>1.23</v>
      </c>
      <c r="E598" s="11" t="n">
        <v>-0.4538</v>
      </c>
      <c r="F598" s="11" t="n">
        <v>0.5452</v>
      </c>
      <c r="G598" s="11" t="n">
        <v>0.7863</v>
      </c>
      <c r="H598" s="11" t="n">
        <v>0.8467</v>
      </c>
      <c r="I598" s="11" t="n">
        <v>0.9485</v>
      </c>
      <c r="J598" s="11" t="n">
        <v>1.0863</v>
      </c>
      <c r="K598" s="11" t="n">
        <v>1.1858</v>
      </c>
    </row>
    <row r="599">
      <c r="A599" s="9" t="n">
        <v>44228</v>
      </c>
      <c r="B599" s="11" t="n">
        <v>0.0847</v>
      </c>
      <c r="C599" s="11" t="n">
        <v>-0.5654</v>
      </c>
      <c r="D599" s="11" t="n">
        <v>1.0465</v>
      </c>
      <c r="E599" s="11" t="n">
        <v>-1.0289</v>
      </c>
      <c r="F599" s="11" t="n">
        <v>0.1944</v>
      </c>
      <c r="G599" s="11" t="n">
        <v>0.4009</v>
      </c>
      <c r="H599" s="11" t="n">
        <v>0.4821</v>
      </c>
      <c r="I599" s="11" t="n">
        <v>0.7097</v>
      </c>
      <c r="J599" s="11" t="n">
        <v>0.841</v>
      </c>
      <c r="K599" s="11" t="n">
        <v>1.006</v>
      </c>
    </row>
    <row r="600">
      <c r="A600" s="9" t="n">
        <v>44256</v>
      </c>
      <c r="B600" s="11" t="n">
        <v>-0.1461</v>
      </c>
      <c r="C600" s="11" t="n">
        <v>-0.0065</v>
      </c>
      <c r="D600" s="11" t="n">
        <v>0.9664</v>
      </c>
      <c r="E600" s="11" t="n">
        <v>-0.8183</v>
      </c>
      <c r="F600" s="11" t="n">
        <v>1.2021</v>
      </c>
      <c r="G600" s="11" t="n">
        <v>0.8784</v>
      </c>
      <c r="H600" s="11" t="n">
        <v>0.8507</v>
      </c>
      <c r="I600" s="11" t="n">
        <v>0.883</v>
      </c>
      <c r="J600" s="11" t="n">
        <v>0.9932</v>
      </c>
      <c r="K600" s="11" t="n">
        <v>1.0821</v>
      </c>
    </row>
    <row r="601">
      <c r="A601" s="9" t="n">
        <v>44287</v>
      </c>
      <c r="B601" s="11" t="n">
        <v>-0.3991</v>
      </c>
      <c r="C601" s="11" t="n">
        <v>-0.3007</v>
      </c>
      <c r="D601" s="11" t="n">
        <v>0.9945000000000001</v>
      </c>
      <c r="E601" s="11" t="n">
        <v>-1.2895</v>
      </c>
      <c r="F601" s="11" t="n">
        <v>1.389</v>
      </c>
      <c r="G601" s="11" t="n">
        <v>0.6337</v>
      </c>
      <c r="H601" s="11" t="n">
        <v>0.6422</v>
      </c>
      <c r="I601" s="11" t="n">
        <v>0.6847</v>
      </c>
      <c r="J601" s="11" t="n">
        <v>0.7184</v>
      </c>
      <c r="K601" s="11" t="n">
        <v>0.6612</v>
      </c>
    </row>
    <row r="602">
      <c r="A602" s="9" t="n">
        <v>44317</v>
      </c>
      <c r="B602" s="11" t="n">
        <v>-0.4406</v>
      </c>
      <c r="C602" s="11" t="n">
        <v>0.3191</v>
      </c>
      <c r="D602" s="11" t="n">
        <v>0.9413</v>
      </c>
      <c r="E602" s="11" t="n">
        <v>-0.8529</v>
      </c>
      <c r="F602" s="11" t="n">
        <v>1.7393</v>
      </c>
      <c r="G602" s="11" t="n">
        <v>0.7942</v>
      </c>
      <c r="H602" s="11" t="n">
        <v>0.8054</v>
      </c>
      <c r="I602" s="11" t="n">
        <v>0.8498</v>
      </c>
      <c r="J602" s="11" t="n">
        <v>0.8673</v>
      </c>
      <c r="K602" s="11" t="n">
        <v>0.8925999999999999</v>
      </c>
    </row>
    <row r="603">
      <c r="A603" s="9" t="n">
        <v>44348</v>
      </c>
      <c r="B603" s="11" t="n">
        <v>-0.2944</v>
      </c>
      <c r="C603" s="11" t="n">
        <v>0.0049</v>
      </c>
      <c r="D603" s="11" t="n">
        <v>1.035</v>
      </c>
      <c r="E603" s="11" t="n">
        <v>-0.9785</v>
      </c>
      <c r="F603" s="11" t="n">
        <v>1.8045</v>
      </c>
      <c r="G603" s="11" t="n">
        <v>0.9126</v>
      </c>
      <c r="H603" s="11" t="n">
        <v>0.9038</v>
      </c>
      <c r="I603" s="11" t="n">
        <v>0.8891</v>
      </c>
      <c r="J603" s="11" t="n">
        <v>0.9845</v>
      </c>
      <c r="K603" s="11" t="n">
        <v>1.0816</v>
      </c>
    </row>
    <row r="604">
      <c r="A604" s="9" t="n">
        <v>44378</v>
      </c>
      <c r="B604" s="11" t="n">
        <v>0.9243</v>
      </c>
      <c r="C604" s="11" t="n">
        <v>-0.5607</v>
      </c>
      <c r="D604" s="11" t="n">
        <v>1.0633</v>
      </c>
      <c r="E604" s="11" t="n">
        <v>-0.1134</v>
      </c>
      <c r="F604" s="11" t="n">
        <v>2.136</v>
      </c>
      <c r="G604" s="11" t="n">
        <v>1.1971</v>
      </c>
      <c r="H604" s="11" t="n">
        <v>1.1308</v>
      </c>
      <c r="I604" s="11" t="n">
        <v>1.0507</v>
      </c>
      <c r="J604" s="11" t="n">
        <v>1.0767</v>
      </c>
      <c r="K604" s="11" t="n">
        <v>1.0377</v>
      </c>
    </row>
    <row r="605">
      <c r="A605" s="9" t="n">
        <v>44409</v>
      </c>
      <c r="B605" s="11" t="n">
        <v>1.0124</v>
      </c>
      <c r="C605" s="11" t="n">
        <v>-0.2984</v>
      </c>
      <c r="D605" s="11" t="n">
        <v>1.0795</v>
      </c>
      <c r="E605" s="11" t="n">
        <v>0.1674</v>
      </c>
      <c r="F605" s="11" t="n">
        <v>2.3003</v>
      </c>
      <c r="G605" s="11" t="n">
        <v>1.3095</v>
      </c>
      <c r="H605" s="11" t="n">
        <v>1.1971</v>
      </c>
      <c r="I605" s="11" t="n">
        <v>1.0964</v>
      </c>
      <c r="J605" s="11" t="n">
        <v>1.1097</v>
      </c>
      <c r="K605" s="11" t="n">
        <v>1.0807</v>
      </c>
    </row>
    <row r="606">
      <c r="A606" s="9" t="n">
        <v>44440</v>
      </c>
      <c r="B606" s="11" t="n">
        <v>0.98</v>
      </c>
      <c r="C606" s="11" t="n">
        <v>0.7392</v>
      </c>
      <c r="D606" s="11" t="n">
        <v>1.0157</v>
      </c>
      <c r="E606" s="11" t="n">
        <v>0.8709</v>
      </c>
      <c r="F606" s="11" t="n">
        <v>2.5482</v>
      </c>
      <c r="G606" s="11" t="n">
        <v>1.3611</v>
      </c>
      <c r="H606" s="11" t="n">
        <v>1.2786</v>
      </c>
      <c r="I606" s="11" t="n">
        <v>1.2634</v>
      </c>
      <c r="J606" s="11" t="n">
        <v>1.2228</v>
      </c>
      <c r="K606" s="11" t="n">
        <v>1.4027</v>
      </c>
    </row>
    <row r="607">
      <c r="A607" s="9" t="n">
        <v>44470</v>
      </c>
      <c r="B607" s="11" t="n">
        <v>1.5273</v>
      </c>
      <c r="C607" s="11" t="n">
        <v>1.1018</v>
      </c>
      <c r="D607" s="11" t="n">
        <v>1.2502</v>
      </c>
      <c r="E607" s="11" t="n">
        <v>1.4822</v>
      </c>
      <c r="F607" s="11" t="n">
        <v>3.1692</v>
      </c>
      <c r="G607" s="11" t="n">
        <v>1.5546</v>
      </c>
      <c r="H607" s="11" t="n">
        <v>1.4376</v>
      </c>
      <c r="I607" s="11" t="n">
        <v>1.4345</v>
      </c>
      <c r="J607" s="11" t="n">
        <v>1.4597</v>
      </c>
      <c r="K607" s="11" t="n">
        <v>1.3781</v>
      </c>
    </row>
    <row r="608">
      <c r="A608" s="9" t="n">
        <v>44501</v>
      </c>
      <c r="B608" s="11" t="n">
        <v>1.8067</v>
      </c>
      <c r="C608" s="11" t="n">
        <v>1.3553</v>
      </c>
      <c r="D608" s="11" t="n">
        <v>1.5357</v>
      </c>
      <c r="E608" s="11" t="n">
        <v>1.7067</v>
      </c>
      <c r="F608" s="11" t="n">
        <v>3.7665</v>
      </c>
      <c r="G608" s="11" t="n">
        <v>2.016</v>
      </c>
      <c r="H608" s="11" t="n">
        <v>1.8773</v>
      </c>
      <c r="I608" s="11" t="n">
        <v>1.8167</v>
      </c>
      <c r="J608" s="11" t="n">
        <v>1.9224</v>
      </c>
      <c r="K608" s="11" t="n">
        <v>1.9345</v>
      </c>
    </row>
    <row r="609">
      <c r="A609" s="9" t="n">
        <v>44531</v>
      </c>
      <c r="B609" s="11" t="n">
        <v>2.1185</v>
      </c>
      <c r="C609" s="11" t="n">
        <v>1.4675</v>
      </c>
      <c r="D609" s="11" t="n">
        <v>1.8307</v>
      </c>
      <c r="E609" s="11" t="n">
        <v>1.8872</v>
      </c>
      <c r="F609" s="11" t="n">
        <v>4.0813</v>
      </c>
      <c r="G609" s="11" t="n">
        <v>2.7032</v>
      </c>
      <c r="H609" s="11" t="n">
        <v>2.5414</v>
      </c>
      <c r="I609" s="11" t="n">
        <v>2.3786</v>
      </c>
      <c r="J609" s="11" t="n">
        <v>2.2912</v>
      </c>
      <c r="K609" s="11" t="n">
        <v>2.1936</v>
      </c>
    </row>
    <row r="610">
      <c r="A610" s="9" t="n">
        <v>44562</v>
      </c>
      <c r="B610" s="11" t="n">
        <v>1.9243</v>
      </c>
      <c r="C610" s="11" t="n">
        <v>2.5727</v>
      </c>
      <c r="D610" s="11" t="n">
        <v>2.3213</v>
      </c>
      <c r="E610" s="11" t="n">
        <v>2.2166</v>
      </c>
      <c r="F610" s="11" t="n">
        <v>4.7071</v>
      </c>
      <c r="G610" s="11" t="n">
        <v>3.3392</v>
      </c>
      <c r="H610" s="11" t="n">
        <v>3.1477</v>
      </c>
      <c r="I610" s="11" t="n">
        <v>2.9645</v>
      </c>
      <c r="J610" s="11" t="n">
        <v>2.83</v>
      </c>
      <c r="K610" s="11" t="n">
        <v>2.6365</v>
      </c>
    </row>
    <row r="611">
      <c r="A611" s="9" t="n">
        <v>44593</v>
      </c>
      <c r="B611" s="11" t="n">
        <v>2.3837</v>
      </c>
      <c r="C611" s="11" t="n">
        <v>3.1063</v>
      </c>
      <c r="D611" s="11" t="n">
        <v>2.9478</v>
      </c>
      <c r="E611" s="11" t="n">
        <v>2.6086</v>
      </c>
      <c r="F611" s="11" t="n">
        <v>5.3986</v>
      </c>
      <c r="G611" s="11" t="n">
        <v>3.9775</v>
      </c>
      <c r="H611" s="11" t="n">
        <v>3.777</v>
      </c>
      <c r="I611" s="11" t="n">
        <v>3.6134</v>
      </c>
      <c r="J611" s="11" t="n">
        <v>3.4594</v>
      </c>
      <c r="K611" s="11" t="n">
        <v>3.4203</v>
      </c>
    </row>
    <row r="612">
      <c r="A612" s="9" t="n">
        <v>44621</v>
      </c>
      <c r="B612" s="11" t="n">
        <v>2.9627</v>
      </c>
      <c r="C612" s="11" t="n">
        <v>2.9589</v>
      </c>
      <c r="D612" s="11" t="n">
        <v>3.4463</v>
      </c>
      <c r="E612" s="11" t="n">
        <v>2.6283</v>
      </c>
      <c r="F612" s="11" t="n">
        <v>6.7201</v>
      </c>
      <c r="G612" s="11" t="n">
        <v>4.5512</v>
      </c>
      <c r="H612" s="11" t="n">
        <v>4.2425</v>
      </c>
      <c r="I612" s="11" t="n">
        <v>4.0187</v>
      </c>
      <c r="J612" s="11" t="n">
        <v>3.762</v>
      </c>
      <c r="K612" s="11" t="n">
        <v>3.6534</v>
      </c>
    </row>
    <row r="613">
      <c r="A613" s="9" t="n">
        <v>44652</v>
      </c>
      <c r="B613" s="11" t="n">
        <v>3.9893</v>
      </c>
      <c r="C613" s="11" t="n">
        <v>2.5898</v>
      </c>
      <c r="D613" s="11" t="n">
        <v>4.1695</v>
      </c>
      <c r="E613" s="11" t="n">
        <v>2.8808</v>
      </c>
      <c r="F613" s="11" t="n">
        <v>7.1027</v>
      </c>
      <c r="G613" s="11" t="n">
        <v>5.8864</v>
      </c>
      <c r="H613" s="11" t="n">
        <v>5.494</v>
      </c>
      <c r="I613" s="11" t="n">
        <v>5.1474</v>
      </c>
      <c r="J613" s="11" t="n">
        <v>4.8745</v>
      </c>
      <c r="K613" s="11" t="n">
        <v>4.3141</v>
      </c>
    </row>
    <row r="614">
      <c r="A614" s="9" t="n">
        <v>44682</v>
      </c>
      <c r="B614" s="11" t="n">
        <v>4.1446</v>
      </c>
      <c r="C614" s="11" t="n">
        <v>2.1274</v>
      </c>
      <c r="D614" s="11" t="n">
        <v>4.7064</v>
      </c>
      <c r="E614" s="11" t="n">
        <v>2.3118</v>
      </c>
      <c r="F614" s="11" t="n">
        <v>7.6296</v>
      </c>
      <c r="G614" s="11" t="n">
        <v>6.3727</v>
      </c>
      <c r="H614" s="11" t="n">
        <v>5.9758</v>
      </c>
      <c r="I614" s="11" t="n">
        <v>5.5813</v>
      </c>
      <c r="J614" s="11" t="n">
        <v>5.3925</v>
      </c>
      <c r="K614" s="11" t="n">
        <v>4.9729</v>
      </c>
    </row>
    <row r="615">
      <c r="A615" s="9" t="n">
        <v>44713</v>
      </c>
      <c r="B615" s="11" t="n">
        <v>4.6275</v>
      </c>
      <c r="C615" s="11" t="n">
        <v>2.8054</v>
      </c>
      <c r="D615" s="11" t="n">
        <v>5.2394</v>
      </c>
      <c r="E615" s="11" t="n">
        <v>2.903</v>
      </c>
      <c r="F615" s="11" t="n">
        <v>8.8139</v>
      </c>
      <c r="G615" s="11" t="n">
        <v>7.3195</v>
      </c>
      <c r="H615" s="11" t="n">
        <v>6.9755</v>
      </c>
      <c r="I615" s="11" t="n">
        <v>6.3599</v>
      </c>
      <c r="J615" s="11" t="n">
        <v>6.0785</v>
      </c>
      <c r="K615" s="11" t="n">
        <v>5.6553</v>
      </c>
    </row>
    <row r="616">
      <c r="A616" s="9" t="n">
        <v>44743</v>
      </c>
      <c r="B616" s="11" t="n">
        <v>4.5251</v>
      </c>
      <c r="C616" s="11" t="n">
        <v>4.8079</v>
      </c>
      <c r="D616" s="11" t="n">
        <v>5.6911</v>
      </c>
      <c r="E616" s="11" t="n">
        <v>3.9476</v>
      </c>
      <c r="F616" s="11" t="n">
        <v>8.9748</v>
      </c>
      <c r="G616" s="11" t="n">
        <v>7.9215</v>
      </c>
      <c r="H616" s="11" t="n">
        <v>7.6306</v>
      </c>
      <c r="I616" s="11" t="n">
        <v>7.0857</v>
      </c>
      <c r="J616" s="11" t="n">
        <v>6.8964</v>
      </c>
      <c r="K616" s="11" t="n">
        <v>6.1886</v>
      </c>
    </row>
    <row r="617">
      <c r="A617" s="9" t="n">
        <v>44774</v>
      </c>
      <c r="B617" s="11" t="n">
        <v>4.5261</v>
      </c>
      <c r="C617" s="11" t="n">
        <v>5.3433</v>
      </c>
      <c r="D617" s="11" t="n">
        <v>6.0208</v>
      </c>
      <c r="E617" s="11" t="n">
        <v>4.0522</v>
      </c>
      <c r="F617" s="11" t="n">
        <v>8.446400000000001</v>
      </c>
      <c r="G617" s="11" t="n">
        <v>8.0244</v>
      </c>
      <c r="H617" s="11" t="n">
        <v>7.8865</v>
      </c>
      <c r="I617" s="11" t="n">
        <v>7.2845</v>
      </c>
      <c r="J617" s="11" t="n">
        <v>7.1166</v>
      </c>
      <c r="K617" s="11" t="n">
        <v>6.4132</v>
      </c>
    </row>
    <row r="618">
      <c r="A618" s="9" t="n">
        <v>44805</v>
      </c>
      <c r="B618" s="11" t="n">
        <v>4.7517</v>
      </c>
      <c r="C618" s="11" t="n">
        <v>4.8064</v>
      </c>
      <c r="D618" s="11" t="n">
        <v>6.507</v>
      </c>
      <c r="E618" s="11" t="n">
        <v>3.5116</v>
      </c>
      <c r="F618" s="11" t="n">
        <v>8.542199999999999</v>
      </c>
      <c r="G618" s="11" t="n">
        <v>8.196300000000001</v>
      </c>
      <c r="H618" s="11" t="n">
        <v>8.0403</v>
      </c>
      <c r="I618" s="11" t="n">
        <v>7.734</v>
      </c>
      <c r="J618" s="11" t="n">
        <v>7.5171</v>
      </c>
      <c r="K618" s="11" t="n">
        <v>6.8919</v>
      </c>
    </row>
    <row r="619">
      <c r="A619" s="9" t="n">
        <v>44835</v>
      </c>
      <c r="B619" s="11" t="n">
        <v>4.7639</v>
      </c>
      <c r="C619" s="11" t="n">
        <v>3.8776</v>
      </c>
      <c r="D619" s="11" t="n">
        <v>6.8595</v>
      </c>
      <c r="E619" s="11" t="n">
        <v>2.5942</v>
      </c>
      <c r="F619" s="11" t="n">
        <v>7.2427</v>
      </c>
      <c r="G619" s="11" t="n">
        <v>7.0517</v>
      </c>
      <c r="H619" s="11" t="n">
        <v>7.043</v>
      </c>
      <c r="I619" s="11" t="n">
        <v>7.0052</v>
      </c>
      <c r="J619" s="11" t="n">
        <v>6.8359</v>
      </c>
      <c r="K619" s="11" t="n">
        <v>7.2519</v>
      </c>
    </row>
    <row r="620">
      <c r="A620" s="9" t="n">
        <v>44866</v>
      </c>
      <c r="B620" s="11" t="n">
        <v>4.3905</v>
      </c>
      <c r="C620" s="11" t="n">
        <v>3.5225</v>
      </c>
      <c r="D620" s="11" t="n">
        <v>7.1144</v>
      </c>
      <c r="E620" s="11" t="n">
        <v>1.7344</v>
      </c>
      <c r="F620" s="11" t="n">
        <v>6.6754</v>
      </c>
      <c r="G620" s="11" t="n">
        <v>6.6567</v>
      </c>
      <c r="H620" s="11" t="n">
        <v>6.7006</v>
      </c>
      <c r="I620" s="11" t="n">
        <v>6.8522</v>
      </c>
      <c r="J620" s="11" t="n">
        <v>7.0461</v>
      </c>
      <c r="K620" s="11" t="n">
        <v>7.5426</v>
      </c>
    </row>
    <row r="621">
      <c r="A621" s="9" t="n">
        <v>44896</v>
      </c>
      <c r="B621" s="11" t="n">
        <v>4.5331</v>
      </c>
      <c r="C621" s="11" t="n">
        <v>3.5322</v>
      </c>
      <c r="D621" s="11" t="n">
        <v>7.3466</v>
      </c>
      <c r="E621" s="11" t="n">
        <v>1.7276</v>
      </c>
      <c r="F621" s="11" t="n">
        <v>6.0775</v>
      </c>
      <c r="G621" s="11" t="n">
        <v>5.9856</v>
      </c>
      <c r="H621" s="11" t="n">
        <v>5.9506</v>
      </c>
      <c r="I621" s="11" t="n">
        <v>5.9226</v>
      </c>
      <c r="J621" s="11" t="n">
        <v>6.2009</v>
      </c>
      <c r="K621" s="11" t="n">
        <v>6.3589</v>
      </c>
    </row>
    <row r="622">
      <c r="A622" s="9" t="n">
        <v>44927</v>
      </c>
      <c r="B622" s="11" t="n">
        <v>5.155</v>
      </c>
      <c r="C622" s="11" t="n">
        <v>4.7735</v>
      </c>
      <c r="D622" s="11" t="n">
        <v>7.3036</v>
      </c>
      <c r="E622" s="11" t="n">
        <v>3.2752</v>
      </c>
      <c r="F622" s="11" t="n">
        <v>6.6992</v>
      </c>
      <c r="G622" s="11" t="n">
        <v>6.5399</v>
      </c>
      <c r="H622" s="11" t="n">
        <v>6.4867</v>
      </c>
      <c r="I622" s="11" t="n">
        <v>6.3834</v>
      </c>
      <c r="J622" s="11" t="n">
        <v>6.7424</v>
      </c>
      <c r="K622" s="11" t="n">
        <v>6.8569</v>
      </c>
    </row>
    <row r="623">
      <c r="A623" s="9" t="n">
        <v>44958</v>
      </c>
      <c r="B623" s="11" t="n">
        <v>5.2156</v>
      </c>
      <c r="C623" s="11" t="n">
        <v>4.8173</v>
      </c>
      <c r="D623" s="11" t="n">
        <v>7.202</v>
      </c>
      <c r="E623" s="11" t="n">
        <v>3.4575</v>
      </c>
      <c r="F623" s="11" t="n">
        <v>6.5751</v>
      </c>
      <c r="G623" s="11" t="n">
        <v>6.2067</v>
      </c>
      <c r="H623" s="11" t="n">
        <v>6.1341</v>
      </c>
      <c r="I623" s="11" t="n">
        <v>5.9505</v>
      </c>
      <c r="J623" s="11" t="n">
        <v>6.2633</v>
      </c>
      <c r="K623" s="11" t="n">
        <v>6.4915</v>
      </c>
    </row>
    <row r="624">
      <c r="A624" s="9" t="n">
        <v>44986</v>
      </c>
      <c r="B624" s="11" t="n">
        <v>5.1052</v>
      </c>
      <c r="C624" s="11" t="n">
        <v>3.8001</v>
      </c>
      <c r="D624" s="11" t="n">
        <v>7.1541</v>
      </c>
      <c r="E624" s="11" t="n">
        <v>2.6803</v>
      </c>
      <c r="F624" s="11" t="n">
        <v>5.8934</v>
      </c>
      <c r="G624" s="11" t="n">
        <v>6.1604</v>
      </c>
      <c r="H624" s="11" t="n">
        <v>6.0629</v>
      </c>
      <c r="I624" s="11" t="n">
        <v>5.8542</v>
      </c>
      <c r="J624" s="11" t="n">
        <v>6.194</v>
      </c>
      <c r="K624" s="11" t="n">
        <v>6.3595</v>
      </c>
    </row>
    <row r="625">
      <c r="A625" s="9" t="n">
        <v>45017</v>
      </c>
      <c r="B625" s="11" t="n">
        <v>4.7306</v>
      </c>
      <c r="C625" s="11" t="n">
        <v>2.9388</v>
      </c>
      <c r="D625" s="11" t="n">
        <v>6.7951</v>
      </c>
      <c r="E625" s="11" t="n">
        <v>1.9901</v>
      </c>
      <c r="F625" s="11" t="n">
        <v>5.4626</v>
      </c>
      <c r="G625" s="11" t="n">
        <v>5.4839</v>
      </c>
      <c r="H625" s="11" t="n">
        <v>5.4824</v>
      </c>
      <c r="I625" s="11" t="n">
        <v>5.4115</v>
      </c>
      <c r="J625" s="11" t="n">
        <v>5.5965</v>
      </c>
      <c r="K625" s="11" t="n">
        <v>5.4254</v>
      </c>
    </row>
    <row r="626">
      <c r="A626" s="9" t="n">
        <v>45047</v>
      </c>
      <c r="B626" s="11" t="n">
        <v>4.5537</v>
      </c>
      <c r="C626" s="11" t="n">
        <v>2.5952</v>
      </c>
      <c r="D626" s="11" t="n">
        <v>6.4104</v>
      </c>
      <c r="E626" s="11" t="n">
        <v>1.8495</v>
      </c>
      <c r="F626" s="11" t="n">
        <v>4.6585</v>
      </c>
      <c r="G626" s="11" t="n">
        <v>5.1521</v>
      </c>
      <c r="H626" s="11" t="n">
        <v>5.1922</v>
      </c>
      <c r="I626" s="11" t="n">
        <v>5.2079</v>
      </c>
      <c r="J626" s="11" t="n">
        <v>5.4964</v>
      </c>
      <c r="K626" s="11" t="n">
        <v>5.43</v>
      </c>
    </row>
    <row r="627">
      <c r="A627" s="9" t="n">
        <v>45078</v>
      </c>
      <c r="B627" s="11" t="n">
        <v>4.2986</v>
      </c>
      <c r="C627" s="11" t="n">
        <v>2.7415</v>
      </c>
      <c r="D627" s="11" t="n">
        <v>6.0374</v>
      </c>
      <c r="E627" s="11" t="n">
        <v>1.9649</v>
      </c>
      <c r="F627" s="11" t="n">
        <v>3.8823</v>
      </c>
      <c r="G627" s="11" t="n">
        <v>4.7563</v>
      </c>
      <c r="H627" s="11" t="n">
        <v>4.8272</v>
      </c>
      <c r="I627" s="11" t="n">
        <v>4.9801</v>
      </c>
      <c r="J627" s="11" t="n">
        <v>5.299</v>
      </c>
      <c r="K627" s="11" t="n">
        <v>5.5735</v>
      </c>
    </row>
    <row r="628">
      <c r="A628" s="9" t="n">
        <v>45108</v>
      </c>
      <c r="B628" s="11" t="n">
        <v>4.3378</v>
      </c>
      <c r="C628" s="11" t="n">
        <v>4.2825</v>
      </c>
      <c r="D628" s="11" t="n">
        <v>5.6861</v>
      </c>
      <c r="E628" s="11" t="n">
        <v>3.3339</v>
      </c>
      <c r="F628" s="11" t="n">
        <v>4.0413</v>
      </c>
      <c r="G628" s="11" t="n">
        <v>4.8735</v>
      </c>
      <c r="H628" s="11" t="n">
        <v>4.9411</v>
      </c>
      <c r="I628" s="11" t="n">
        <v>5.0613</v>
      </c>
      <c r="J628" s="11" t="n">
        <v>5.5399</v>
      </c>
      <c r="K628" s="11" t="n">
        <v>5.8556</v>
      </c>
    </row>
    <row r="629">
      <c r="A629" s="9" t="n">
        <v>45139</v>
      </c>
      <c r="B629" s="11" t="n">
        <v>4.2151</v>
      </c>
      <c r="C629" s="11" t="n">
        <v>4.4079</v>
      </c>
      <c r="D629" s="11" t="n">
        <v>5.5255</v>
      </c>
      <c r="E629" s="11" t="n">
        <v>3.3966</v>
      </c>
      <c r="F629" s="11" t="n">
        <v>4.6669</v>
      </c>
      <c r="G629" s="11" t="n">
        <v>4.9255</v>
      </c>
      <c r="H629" s="11" t="n">
        <v>4.9273</v>
      </c>
      <c r="I629" s="11" t="n">
        <v>5.0557</v>
      </c>
      <c r="J629" s="11" t="n">
        <v>5.5474</v>
      </c>
      <c r="K629" s="11" t="n">
        <v>5.8192</v>
      </c>
    </row>
    <row r="630">
      <c r="A630" s="9" t="n">
        <v>45170</v>
      </c>
      <c r="B630" s="11" t="n">
        <v>4.3167</v>
      </c>
      <c r="C630" s="11" t="n">
        <v>3.045</v>
      </c>
      <c r="D630" s="11" t="n">
        <v>5.2669</v>
      </c>
      <c r="E630" s="11" t="n">
        <v>2.7851</v>
      </c>
      <c r="F630" s="11" t="n">
        <v>4.8767</v>
      </c>
      <c r="G630" s="11" t="n">
        <v>5.0854</v>
      </c>
      <c r="H630" s="11" t="n">
        <v>5.125</v>
      </c>
      <c r="I630" s="11" t="n">
        <v>5.2846</v>
      </c>
      <c r="J630" s="11" t="n">
        <v>5.7439</v>
      </c>
      <c r="K630" s="11" t="n">
        <v>6.0696</v>
      </c>
    </row>
    <row r="631">
      <c r="A631" s="9" t="n">
        <v>45200</v>
      </c>
      <c r="B631" s="11" t="n">
        <v>4.437</v>
      </c>
      <c r="C631" s="11" t="n">
        <v>2.56</v>
      </c>
      <c r="D631" s="11" t="n">
        <v>5.0401</v>
      </c>
      <c r="E631" s="11" t="n">
        <v>2.7407</v>
      </c>
      <c r="F631" s="11" t="n">
        <v>4.4298</v>
      </c>
      <c r="G631" s="11" t="n">
        <v>4.5853</v>
      </c>
      <c r="H631" s="11" t="n">
        <v>4.5952</v>
      </c>
      <c r="I631" s="11" t="n">
        <v>4.6135</v>
      </c>
      <c r="J631" s="11" t="n">
        <v>4.8983</v>
      </c>
      <c r="K631" s="11" t="n">
        <v>5.0038</v>
      </c>
    </row>
    <row r="632">
      <c r="A632" s="9" t="n">
        <v>45231</v>
      </c>
      <c r="B632" s="11" t="n">
        <v>4.5659</v>
      </c>
      <c r="C632" s="11" t="n">
        <v>1.4655</v>
      </c>
      <c r="D632" s="11" t="n">
        <v>4.6196</v>
      </c>
      <c r="E632" s="11" t="n">
        <v>2.4339</v>
      </c>
      <c r="F632" s="11" t="n">
        <v>3.8875</v>
      </c>
      <c r="G632" s="11" t="n">
        <v>4.0906</v>
      </c>
      <c r="H632" s="11" t="n">
        <v>4.1469</v>
      </c>
      <c r="I632" s="11" t="n">
        <v>4.2428</v>
      </c>
      <c r="J632" s="11" t="n">
        <v>4.4235</v>
      </c>
      <c r="K632" s="11" t="n">
        <v>4.5266</v>
      </c>
    </row>
    <row r="633">
      <c r="A633" s="9" t="n">
        <v>45261</v>
      </c>
      <c r="B633" s="11" t="n">
        <v>4.2727</v>
      </c>
      <c r="C633" s="11" t="n">
        <v>2.1097</v>
      </c>
      <c r="D633" s="11" t="n">
        <v>4.2482</v>
      </c>
      <c r="E633" s="11" t="n">
        <v>2.8399</v>
      </c>
      <c r="F633" s="11" t="n">
        <v>3.8402</v>
      </c>
      <c r="G633" s="11" t="n">
        <v>4.0228</v>
      </c>
      <c r="H633" s="11" t="n">
        <v>4.049</v>
      </c>
      <c r="I633" s="11" t="n">
        <v>4.1086</v>
      </c>
      <c r="J633" s="11" t="n">
        <v>4.1198</v>
      </c>
      <c r="K633" s="11" t="n">
        <v>3.9637</v>
      </c>
    </row>
    <row r="634">
      <c r="A634" s="9" t="n">
        <v>45292</v>
      </c>
      <c r="B634" s="11" t="n">
        <v>3.9508</v>
      </c>
      <c r="C634" s="11" t="n">
        <v>1.9042</v>
      </c>
      <c r="D634" s="11" t="n">
        <v>4.0519</v>
      </c>
      <c r="E634" s="11" t="n">
        <v>2.4803</v>
      </c>
      <c r="F634" s="11" t="n">
        <v>3.7579</v>
      </c>
      <c r="G634" s="11" t="n">
        <v>3.8115</v>
      </c>
      <c r="H634" s="11" t="n">
        <v>3.8408</v>
      </c>
      <c r="I634" s="11" t="n">
        <v>3.9471</v>
      </c>
      <c r="J634" s="11" t="n">
        <v>3.9594</v>
      </c>
      <c r="K634" s="11" t="n">
        <v>3.6796</v>
      </c>
    </row>
    <row r="635">
      <c r="A635" s="9" t="n">
        <v>45323</v>
      </c>
      <c r="B635" s="11" t="n">
        <v>4.0302</v>
      </c>
      <c r="C635" s="11" t="n">
        <v>1.9697</v>
      </c>
      <c r="D635" s="11" t="n">
        <v>3.9235</v>
      </c>
      <c r="E635" s="11" t="n">
        <v>2.7241</v>
      </c>
      <c r="F635" s="11" t="n">
        <v>3.1888</v>
      </c>
      <c r="G635" s="11" t="n">
        <v>3.2892</v>
      </c>
      <c r="H635" s="11" t="n">
        <v>3.3045</v>
      </c>
      <c r="I635" s="11" t="n">
        <v>3.3204</v>
      </c>
      <c r="J635" s="11" t="n">
        <v>3.2421</v>
      </c>
      <c r="K635" s="11" t="n">
        <v>3.1175</v>
      </c>
    </row>
    <row r="636">
      <c r="A636" s="9" t="n">
        <v>45352</v>
      </c>
      <c r="B636" s="11" t="n">
        <v>4.012</v>
      </c>
      <c r="C636" s="11" t="n">
        <v>1.5108</v>
      </c>
      <c r="D636" s="11" t="n">
        <v>3.6865</v>
      </c>
      <c r="E636" s="11" t="n">
        <v>2.597</v>
      </c>
      <c r="F636" s="11" t="n">
        <v>3.1287</v>
      </c>
      <c r="G636" s="11" t="n">
        <v>3.1185</v>
      </c>
      <c r="H636" s="11" t="n">
        <v>3.1331</v>
      </c>
      <c r="I636" s="11" t="n">
        <v>3.1072</v>
      </c>
      <c r="J636" s="11" t="n">
        <v>3.037</v>
      </c>
      <c r="K636" s="11" t="n">
        <v>3.2097</v>
      </c>
    </row>
    <row r="637">
      <c r="A637" s="9" t="n">
        <v>45383</v>
      </c>
      <c r="B637" s="11" t="n">
        <v>3.7131</v>
      </c>
      <c r="C637" s="11" t="n">
        <v>0.9261</v>
      </c>
      <c r="D637" s="11" t="n">
        <v>3.5209</v>
      </c>
      <c r="E637" s="11" t="n">
        <v>1.9961</v>
      </c>
      <c r="F637" s="11" t="n">
        <v>3.0454</v>
      </c>
      <c r="G637" s="11" t="n">
        <v>2.9992</v>
      </c>
      <c r="H637" s="11" t="n">
        <v>3.0068</v>
      </c>
      <c r="I637" s="11" t="n">
        <v>2.9772</v>
      </c>
      <c r="J637" s="11" t="n">
        <v>2.8907</v>
      </c>
      <c r="K637" s="11" t="n">
        <v>3.058</v>
      </c>
    </row>
    <row r="638">
      <c r="A638" s="9" t="n">
        <v>45413</v>
      </c>
      <c r="B638" s="11" t="n">
        <v>3.9251</v>
      </c>
      <c r="C638" s="11" t="n">
        <v>1.3413</v>
      </c>
      <c r="D638" s="11" t="n">
        <v>3.4495</v>
      </c>
      <c r="E638" s="11" t="n">
        <v>2.5783</v>
      </c>
      <c r="F638" s="11" t="n">
        <v>3.3837</v>
      </c>
      <c r="G638" s="11" t="n">
        <v>3.2406</v>
      </c>
      <c r="H638" s="11" t="n">
        <v>3.2115</v>
      </c>
      <c r="I638" s="11" t="n">
        <v>3.1732</v>
      </c>
      <c r="J638" s="11" t="n">
        <v>2.9906</v>
      </c>
      <c r="K638" s="11" t="n">
        <v>2.5295</v>
      </c>
    </row>
    <row r="639">
      <c r="A639" s="9" t="n">
        <v>45444</v>
      </c>
      <c r="B639" s="11" t="n">
        <v>3.8763</v>
      </c>
      <c r="C639" s="11" t="n">
        <v>1.539</v>
      </c>
      <c r="D639" s="11" t="n">
        <v>3.2933</v>
      </c>
      <c r="E639" s="11" t="n">
        <v>2.7829</v>
      </c>
      <c r="F639" s="11" t="n">
        <v>3.1374</v>
      </c>
      <c r="G639" s="11" t="n">
        <v>2.8709</v>
      </c>
      <c r="H639" s="11" t="n">
        <v>2.8487</v>
      </c>
      <c r="I639" s="11" t="n">
        <v>2.8475</v>
      </c>
      <c r="J639" s="11" t="n">
        <v>2.6928</v>
      </c>
      <c r="K639" s="11" t="n">
        <v>2.5447</v>
      </c>
    </row>
    <row r="640">
      <c r="A640" s="9" t="n">
        <v>45474</v>
      </c>
      <c r="B640" s="11" t="n">
        <v>3.6832</v>
      </c>
      <c r="C640" s="11" t="n">
        <v>1.2668</v>
      </c>
      <c r="D640" s="11" t="n">
        <v>3.2233</v>
      </c>
      <c r="E640" s="11" t="n">
        <v>2.4356</v>
      </c>
      <c r="F640" s="11" t="n">
        <v>2.6876</v>
      </c>
      <c r="G640" s="11" t="n">
        <v>2.6699</v>
      </c>
      <c r="H640" s="11" t="n">
        <v>2.6633</v>
      </c>
      <c r="I640" s="11" t="n">
        <v>2.5948</v>
      </c>
      <c r="J640" s="11" t="n">
        <v>2.3716</v>
      </c>
      <c r="K640" s="11" t="n">
        <v>2.2199</v>
      </c>
    </row>
    <row r="641">
      <c r="A641" s="9" t="n">
        <v>45505</v>
      </c>
      <c r="B641" s="11" t="n">
        <v>3.6698</v>
      </c>
      <c r="C641" s="11" t="n">
        <v>1.2823</v>
      </c>
      <c r="D641" s="11" t="n">
        <v>3.0982</v>
      </c>
      <c r="E641" s="11" t="n">
        <v>2.5343</v>
      </c>
      <c r="F641" s="11" t="n">
        <v>2.3962</v>
      </c>
      <c r="G641" s="11" t="n">
        <v>2.4404</v>
      </c>
      <c r="H641" s="11" t="n">
        <v>2.4455</v>
      </c>
      <c r="I641" s="11" t="n">
        <v>2.4127</v>
      </c>
      <c r="J641" s="11" t="n">
        <v>2.2763</v>
      </c>
      <c r="K641" s="11" t="n">
        <v>2.2408</v>
      </c>
    </row>
    <row r="642">
      <c r="A642" s="9" t="n">
        <v>45536</v>
      </c>
      <c r="B642" s="11" t="n">
        <v>3.6932</v>
      </c>
      <c r="C642" s="11" t="n">
        <v>1.1057</v>
      </c>
      <c r="D642" s="11" t="n">
        <v>2.9894</v>
      </c>
      <c r="E642" s="11" t="n">
        <v>2.5337</v>
      </c>
      <c r="F642" s="11" t="n">
        <v>2.2457</v>
      </c>
      <c r="G642" s="11" t="n">
        <v>2.4014</v>
      </c>
      <c r="H642" s="11" t="n">
        <v>2.4043</v>
      </c>
      <c r="I642" s="11" t="n">
        <v>2.4104</v>
      </c>
      <c r="J642" s="11" t="n">
        <v>2.3375</v>
      </c>
      <c r="K642" s="11" t="n">
        <v>2.3268</v>
      </c>
    </row>
    <row r="643">
      <c r="A643" s="9" t="n">
        <v>45566</v>
      </c>
      <c r="B643" s="11" t="n">
        <v>3.4895</v>
      </c>
      <c r="C643" s="11" t="n">
        <v>0.8225</v>
      </c>
      <c r="D643" s="11" t="n">
        <v>2.9526</v>
      </c>
      <c r="E643" s="11" t="n">
        <v>2.1386</v>
      </c>
      <c r="F643" s="11" t="n">
        <v>2.2941</v>
      </c>
      <c r="G643" s="11" t="n">
        <v>2.3903</v>
      </c>
      <c r="H643" s="11" t="n">
        <v>2.4057</v>
      </c>
      <c r="I643" s="11" t="n">
        <v>2.4598</v>
      </c>
      <c r="J643" s="11" t="n">
        <v>2.4073</v>
      </c>
      <c r="K643" s="11" t="n">
        <v>2.3854</v>
      </c>
    </row>
    <row r="644">
      <c r="A644" s="9" t="n">
        <v>45597</v>
      </c>
      <c r="B644" s="11" t="n">
        <v>3.4209</v>
      </c>
      <c r="C644" s="11" t="n">
        <v>0.8973</v>
      </c>
      <c r="D644" s="11" t="n">
        <v>2.9156</v>
      </c>
      <c r="E644" s="11" t="n">
        <v>2.1411</v>
      </c>
      <c r="F644" s="11" t="n">
        <v>2.3254</v>
      </c>
      <c r="G644" s="11" t="n">
        <v>2.3184</v>
      </c>
      <c r="H644" s="11" t="n">
        <v>2.3314</v>
      </c>
      <c r="I644" s="11" t="n">
        <v>2.3684</v>
      </c>
      <c r="J644" s="11" t="n">
        <v>2.3175</v>
      </c>
      <c r="K644" s="11" t="n">
        <v>2.407</v>
      </c>
    </row>
    <row r="645">
      <c r="A645" s="9" t="n">
        <v>45627</v>
      </c>
      <c r="B645" s="11" t="n">
        <v>3.3856</v>
      </c>
      <c r="C645" s="11" t="n">
        <v>1.3523</v>
      </c>
      <c r="D645" s="11" t="n">
        <v>2.9455</v>
      </c>
      <c r="E645" s="11" t="n">
        <v>2.3817</v>
      </c>
      <c r="F645" s="11" t="n">
        <v>2.5294</v>
      </c>
      <c r="G645" s="11" t="n">
        <v>2.3648</v>
      </c>
      <c r="H645" s="11" t="n">
        <v>2.374</v>
      </c>
      <c r="I645" s="11" t="n">
        <v>2.4118</v>
      </c>
      <c r="J645" s="11" t="n">
        <v>2.3884</v>
      </c>
      <c r="K645" s="11" t="n">
        <v>2.4403</v>
      </c>
    </row>
    <row r="646">
      <c r="A646" s="9" t="n">
        <v>45658</v>
      </c>
      <c r="B646" s="11" t="n">
        <v>3.5873</v>
      </c>
      <c r="C646" s="11" t="n">
        <v>0.4658</v>
      </c>
      <c r="D646" s="11" t="n">
        <v>2.9744</v>
      </c>
      <c r="E646" s="11" t="n">
        <v>1.9847</v>
      </c>
      <c r="F646" s="11" t="n">
        <v>2.7402</v>
      </c>
      <c r="G646" s="11" t="n">
        <v>2.6173</v>
      </c>
      <c r="H646" s="11" t="n">
        <v>2.5924</v>
      </c>
      <c r="I646" s="11" t="n">
        <v>2.6351</v>
      </c>
      <c r="J646" s="11" t="n">
        <v>2.6175</v>
      </c>
      <c r="K646" s="11" t="n">
        <v>2.7715</v>
      </c>
    </row>
    <row r="647">
      <c r="A647" s="9" t="n">
        <v>45689</v>
      </c>
      <c r="B647" s="11" t="n">
        <v>3.5357</v>
      </c>
      <c r="C647" s="11" t="n">
        <v>0.2001</v>
      </c>
      <c r="D647" s="11" t="n">
        <v>2.9591</v>
      </c>
      <c r="E647" s="11" t="n">
        <v>1.762</v>
      </c>
      <c r="F647" s="11" t="n">
        <v>2.57</v>
      </c>
      <c r="G647" s="11" t="n">
        <v>2.6842</v>
      </c>
      <c r="H647" s="11" t="n">
        <v>2.7364</v>
      </c>
      <c r="I647" s="11" t="n">
        <v>2.8759</v>
      </c>
      <c r="J647" s="11" t="n">
        <v>2.9723</v>
      </c>
      <c r="K647" s="11" t="n">
        <v>2.9959</v>
      </c>
    </row>
    <row r="648">
      <c r="A648" s="9" t="n">
        <v>45717</v>
      </c>
      <c r="B648" s="11" t="n">
        <v>3.5371</v>
      </c>
      <c r="C648" s="11" t="n">
        <v>-0.0544</v>
      </c>
      <c r="D648" s="11" t="n">
        <v>2.9987</v>
      </c>
      <c r="E648" s="11" t="n">
        <v>1.5602</v>
      </c>
      <c r="F648" s="11" t="n">
        <v>2.4366</v>
      </c>
      <c r="G648" s="11" t="n">
        <v>2.5439</v>
      </c>
      <c r="H648" s="11" t="n">
        <v>2.601</v>
      </c>
      <c r="I648" s="11" t="n">
        <v>2.7241</v>
      </c>
      <c r="J648" s="11" t="n">
        <v>2.7376</v>
      </c>
      <c r="K648" s="11" t="n">
        <v>2.5229</v>
      </c>
    </row>
    <row r="649">
      <c r="A649" s="9" t="n">
        <v>45748</v>
      </c>
      <c r="B649" s="11" t="n">
        <v>3.7235</v>
      </c>
      <c r="C649" s="11" t="n">
        <v>1.6283</v>
      </c>
      <c r="D649" s="11" t="n">
        <v>2.8714</v>
      </c>
      <c r="E649" s="11" t="n">
        <v>3.0241</v>
      </c>
      <c r="F649" s="11" t="n">
        <v>2.6624</v>
      </c>
      <c r="G649" s="11" t="n">
        <v>2.5879</v>
      </c>
      <c r="H649" s="11" t="n">
        <v>2.616</v>
      </c>
      <c r="I649" s="11" t="n">
        <v>2.7392</v>
      </c>
      <c r="J649" s="11" t="n">
        <v>2.7994</v>
      </c>
      <c r="K649" s="11" t="n">
        <v>2.7818</v>
      </c>
    </row>
    <row r="650">
      <c r="A650" s="9" t="n">
        <v>45778</v>
      </c>
      <c r="B650" s="11" t="n">
        <v>3.6832</v>
      </c>
      <c r="C650" s="11" t="n">
        <v>0.3819</v>
      </c>
      <c r="D650" s="11" t="n">
        <v>2.9816</v>
      </c>
      <c r="E650" s="11" t="n">
        <v>2.0448</v>
      </c>
      <c r="F650" s="11" t="n">
        <v>2.4487</v>
      </c>
      <c r="G650" s="11" t="n">
        <v>2.5769</v>
      </c>
      <c r="H650" s="11" t="n">
        <v>2.5934</v>
      </c>
      <c r="I650" s="11" t="n">
        <v>2.6839</v>
      </c>
      <c r="J650" s="11" t="n">
        <v>2.743</v>
      </c>
      <c r="K650" s="11" t="n">
        <v>2.719</v>
      </c>
    </row>
    <row r="651">
      <c r="A651" s="9" t="n">
        <v>45809</v>
      </c>
      <c r="B651" s="11" t="n">
        <v>3.6058</v>
      </c>
      <c r="C651" s="11" t="n">
        <v>0.4862</v>
      </c>
      <c r="D651" s="11" t="n">
        <v>3.0154</v>
      </c>
      <c r="E651" s="11" t="n">
        <v>2.0013</v>
      </c>
      <c r="F651" s="11" t="n">
        <v>2.6088</v>
      </c>
      <c r="G651" s="11" t="n">
        <v>2.723</v>
      </c>
      <c r="H651" s="11" t="n">
        <v>2.7346</v>
      </c>
      <c r="I651" s="11" t="n">
        <v>2.8417</v>
      </c>
      <c r="J651" s="11" t="n">
        <v>2.9008</v>
      </c>
      <c r="K651" s="11" t="n">
        <v>3.0252</v>
      </c>
    </row>
    <row r="652">
      <c r="A652" s="9" t="n">
        <v>45839</v>
      </c>
      <c r="B652" s="11" t="n">
        <v>3.5857</v>
      </c>
      <c r="C652" s="11" t="n">
        <v>0.8280999999999999</v>
      </c>
      <c r="D652" s="11" t="n">
        <v>3.0106</v>
      </c>
      <c r="E652" s="11" t="n">
        <v>2.2122</v>
      </c>
      <c r="F652" s="11" t="n">
        <v>2.6837</v>
      </c>
      <c r="G652" s="11" t="n">
        <v>2.7148</v>
      </c>
      <c r="H652" s="11" t="n">
        <v>2.7244</v>
      </c>
      <c r="I652" s="11" t="n">
        <v>2.7848</v>
      </c>
      <c r="J652" s="11" t="n">
        <v>2.8461</v>
      </c>
      <c r="K652" s="11" t="n">
        <v>2.7909</v>
      </c>
    </row>
    <row r="653">
      <c r="A653" s="9" t="n">
        <v>45870</v>
      </c>
      <c r="B653" s="11" t="n">
        <v>3.6322</v>
      </c>
      <c r="C653" s="11" t="n">
        <v>0.9688</v>
      </c>
      <c r="D653" s="11" t="n">
        <v>3.0582</v>
      </c>
      <c r="E653" s="11" t="n">
        <v>2.3211</v>
      </c>
      <c r="F653" s="11" t="n">
        <v>2.6552</v>
      </c>
      <c r="G653" s="11" t="n">
        <v>2.7</v>
      </c>
      <c r="H653" s="11" t="n">
        <v>2.699</v>
      </c>
      <c r="I653" s="11" t="n">
        <v>2.7997</v>
      </c>
      <c r="J653" s="11" t="n">
        <v>2.813</v>
      </c>
      <c r="K653" s="11" t="n">
        <v>2.703</v>
      </c>
    </row>
    <row r="654">
      <c r="A654" s="9" t="n">
        <v>45901</v>
      </c>
      <c r="B654" s="11" t="n">
        <v>3.7585</v>
      </c>
      <c r="C654" s="11" t="n">
        <v>0.8671</v>
      </c>
      <c r="D654" s="11" t="n">
        <v>3.1003</v>
      </c>
      <c r="E654" s="11" t="n">
        <v>2.3655</v>
      </c>
      <c r="F654" s="11" t="n">
        <v>2.7963</v>
      </c>
      <c r="G654" s="11" t="n">
        <v>2.7632</v>
      </c>
      <c r="H654" s="11" t="n">
        <v>2.7442</v>
      </c>
      <c r="I654" s="11" t="n">
        <v>2.8075</v>
      </c>
      <c r="J654" s="11" t="n">
        <v>2.7684</v>
      </c>
      <c r="K654" s="11" t="n">
        <v>2.6273</v>
      </c>
    </row>
    <row r="655">
      <c r="A655" s="9" t="n">
        <v>45931</v>
      </c>
      <c r="B655" s="11" t="n">
        <v>3.8159</v>
      </c>
      <c r="C655" s="11" t="n">
        <v>1.3235</v>
      </c>
      <c r="D655" s="11" t="n">
        <v>3.0738</v>
      </c>
      <c r="E655" s="11" t="n">
        <v>2.7569</v>
      </c>
      <c r="F655" s="11" t="n">
        <v>2.8161</v>
      </c>
      <c r="G655" s="11" t="n">
        <v>2.7266</v>
      </c>
      <c r="H655" s="11" t="n">
        <v>2.7055</v>
      </c>
      <c r="I655" s="11" t="n">
        <v>2.7304</v>
      </c>
      <c r="J655" s="11" t="n">
        <v>2.7992</v>
      </c>
      <c r="K655" s="11" t="n">
        <v>2.4734</v>
      </c>
    </row>
    <row r="656">
      <c r="A656" s="9" t="n">
        <v>45962</v>
      </c>
      <c r="B656" s="11" t="n">
        <v>3.9069</v>
      </c>
      <c r="C656" s="11" t="n">
        <v>1.4089</v>
      </c>
      <c r="D656" s="11" t="n">
        <v>3.2431</v>
      </c>
      <c r="E656" s="11" t="n">
        <v>2.7746</v>
      </c>
      <c r="F656" s="11" t="n">
        <v>3.057</v>
      </c>
      <c r="G656" s="11" t="n">
        <v>2.9228</v>
      </c>
      <c r="H656" s="11" t="n">
        <v>2.8909</v>
      </c>
      <c r="I656" s="11" t="n">
        <v>2.8961</v>
      </c>
      <c r="J656" s="11" t="n">
        <v>2.9282</v>
      </c>
      <c r="K656" s="11" t="n">
        <v>2.5329</v>
      </c>
    </row>
    <row r="657">
      <c r="A657" s="9" t="n">
        <v>45992</v>
      </c>
      <c r="B657" s="11" t="n">
        <v>3.8804</v>
      </c>
      <c r="C657" s="11" t="n">
        <v>1.4036</v>
      </c>
      <c r="D657" s="11" t="n">
        <v>3.1727</v>
      </c>
      <c r="E657" s="11" t="n">
        <v>2.7994</v>
      </c>
      <c r="F657" s="11" t="n">
        <v>2.9085</v>
      </c>
      <c r="G657" s="11" t="n">
        <v>2.8495</v>
      </c>
      <c r="H657" s="11" t="n">
        <v>2.8263</v>
      </c>
      <c r="I657" s="11" t="n">
        <v>2.8671</v>
      </c>
      <c r="J657" s="11" t="n">
        <v>2.8627</v>
      </c>
      <c r="K657" s="11" t="n">
        <v>2.5097</v>
      </c>
    </row>
    <row r="658">
      <c r="A658" s="9" t="n">
        <v>46023</v>
      </c>
      <c r="B658" s="11" t="n">
        <v>3.5528</v>
      </c>
      <c r="C658" s="11" t="n">
        <v>1.809</v>
      </c>
      <c r="D658" s="11" t="n">
        <v>3.0255</v>
      </c>
      <c r="E658" s="11" t="n">
        <v>2.8668</v>
      </c>
      <c r="F658" s="11" t="n">
        <v>2.5399</v>
      </c>
      <c r="G658" s="11" t="n">
        <v>2.8044</v>
      </c>
      <c r="H658" s="11" t="n">
        <v>2.8356</v>
      </c>
      <c r="I658" s="11" t="n">
        <v>3.0306</v>
      </c>
      <c r="J658" s="11" t="n">
        <v>3.1192</v>
      </c>
      <c r="K658" s="11" t="n">
        <v>3.0776</v>
      </c>
    </row>
    <row r="659">
      <c r="A659" s="9" t="n">
        <v>46054</v>
      </c>
      <c r="B659" s="11" t="n">
        <v>3.6695</v>
      </c>
      <c r="C659" s="11" t="n">
        <v>1.6926</v>
      </c>
      <c r="D659" s="11" t="n">
        <v>3.2729</v>
      </c>
      <c r="E659" s="11" t="n">
        <v>2.7265</v>
      </c>
      <c r="F659" s="11" t="n">
        <v>2.469</v>
      </c>
      <c r="G659" s="11" t="n">
        <v>2.6294</v>
      </c>
      <c r="H659" s="11" t="n">
        <v>2.6465</v>
      </c>
      <c r="I659" s="11" t="n">
        <v>2.7641</v>
      </c>
      <c r="J659" s="11" t="n">
        <v>2.8195</v>
      </c>
      <c r="K659" s="11" t="n">
        <v>2.7414</v>
      </c>
    </row>
    <row r="660">
      <c r="A660" s="9" t="n">
        <v>46082</v>
      </c>
      <c r="B660" s="11" t="n">
        <v>3.736</v>
      </c>
      <c r="C660" s="11" t="n">
        <v>1.861</v>
      </c>
      <c r="D660" s="11" t="n">
        <v>3.2671</v>
      </c>
      <c r="E660" s="11" t="n">
        <v>2.8999</v>
      </c>
      <c r="F660" s="11" t="n">
        <v>3.243</v>
      </c>
      <c r="G660" s="11" t="n">
        <v>3.1651</v>
      </c>
      <c r="H660" s="11" t="n">
        <v>3.2043</v>
      </c>
      <c r="I660" s="11" t="n">
        <v>3.4028</v>
      </c>
      <c r="J660" s="11" t="n">
        <v>3.497</v>
      </c>
      <c r="K660" s="11" t="n">
        <v>3.407</v>
      </c>
    </row>
    <row r="661">
      <c r="A661" s="9" t="n">
        <v>46113</v>
      </c>
      <c r="B661" s="11" t="n">
        <v>4.1242</v>
      </c>
      <c r="C661" s="11" t="n">
        <v>1.7234</v>
      </c>
      <c r="D661" s="11" t="n">
        <v>3.7296</v>
      </c>
      <c r="E661" s="11" t="n">
        <v>2.868</v>
      </c>
      <c r="F661" s="11" t="n">
        <v>3.2115</v>
      </c>
      <c r="G661" s="11" t="n">
        <v>3.2606</v>
      </c>
      <c r="H661" s="11" t="n">
        <v>3.2638</v>
      </c>
      <c r="I661" s="11" t="n">
        <v>3.4472</v>
      </c>
      <c r="J661" s="11" t="n">
        <v>3.5507</v>
      </c>
      <c r="K661" s="11" t="n">
        <v>3.5213</v>
      </c>
    </row>
    <row r="662">
      <c r="A662" s="9" t="n">
        <v>46143</v>
      </c>
      <c r="B662" s="11" t="n">
        <v>4.1855</v>
      </c>
      <c r="C662" s="11" t="n">
        <v>2.751</v>
      </c>
      <c r="D662" s="11" t="n">
        <v>3.6279</v>
      </c>
      <c r="E662" s="11" t="n">
        <v>3.7206</v>
      </c>
      <c r="F662" s="11" t="n">
        <v>3.3038</v>
      </c>
      <c r="G662" s="11" t="n">
        <v>3.2163</v>
      </c>
      <c r="H662" s="11" t="n">
        <v>3.2243</v>
      </c>
      <c r="I662" s="11" t="n">
        <v>3.3781</v>
      </c>
      <c r="J662" s="11" t="n">
        <v>3.4108</v>
      </c>
      <c r="K662" s="11" t="n">
        <v>3.3814</v>
      </c>
    </row>
    <row r="663">
      <c r="A663" s="9" t="n">
        <v>46174</v>
      </c>
      <c r="B663" s="11" t="n">
        <v>4.332</v>
      </c>
      <c r="C663" s="11" t="n">
        <v>2.2634</v>
      </c>
      <c r="D663" s="11" t="n">
        <v>3.6912</v>
      </c>
      <c r="E663" s="11" t="n">
        <v>3.516</v>
      </c>
      <c r="F663" s="11" t="n">
        <v>3.308</v>
      </c>
      <c r="G663" s="11" t="n">
        <v>3.2635</v>
      </c>
      <c r="H663" s="11" t="n">
        <v>3.2727</v>
      </c>
      <c r="I663" s="11" t="n">
        <v>3.3838</v>
      </c>
      <c r="J663" s="11" t="n">
        <v>3.3458</v>
      </c>
      <c r="K663" s="11" t="n">
        <v>3.1375</v>
      </c>
    </row>
    <row r="664">
      <c r="A664" s="9" t="n">
        <v>46204</v>
      </c>
      <c r="B664" s="11" t="n">
        <v>4.745</v>
      </c>
      <c r="C664" s="11" t="n">
        <v>1.7704</v>
      </c>
      <c r="D664" s="11" t="n">
        <v>4.1906</v>
      </c>
      <c r="E664" s="11" t="n">
        <v>3.2897</v>
      </c>
      <c r="F664" s="11" t="n">
        <v>3.4248</v>
      </c>
      <c r="G664" s="11" t="n">
        <v>3.1891</v>
      </c>
      <c r="H664" s="11" t="n">
        <v>3.2078</v>
      </c>
      <c r="I664" s="11" t="n">
        <v>3.3566</v>
      </c>
      <c r="J664" s="11" t="n">
        <v>3.2795</v>
      </c>
      <c r="K664" s="11" t="n">
        <v>3.2174</v>
      </c>
    </row>
    <row r="665">
      <c r="A665" s="9" t="n">
        <v>46235</v>
      </c>
      <c r="B665" s="11" t="n">
        <v>5.0445</v>
      </c>
      <c r="C665" s="11" t="n">
        <v>0.8729</v>
      </c>
      <c r="D665" s="11" t="n">
        <v>4.4103</v>
      </c>
      <c r="E665" s="11" t="n">
        <v>2.8675</v>
      </c>
      <c r="F665" s="11" t="n">
        <v>3.6432</v>
      </c>
      <c r="G665" s="11" t="n">
        <v>3.2056</v>
      </c>
      <c r="H665" s="11" t="n">
        <v>3.2116</v>
      </c>
      <c r="I665" s="11" t="n">
        <v>3.2783</v>
      </c>
      <c r="J665" s="11" t="n">
        <v>3.175</v>
      </c>
      <c r="K665" s="11" t="n">
        <v>2.9346</v>
      </c>
    </row>
    <row r="666">
      <c r="A666" s="9" t="n">
        <v>46266</v>
      </c>
      <c r="B666" s="11" t="n">
        <v>4.3775</v>
      </c>
      <c r="C666" s="11" t="n">
        <v>1.7221</v>
      </c>
      <c r="D666" s="11" t="n">
        <v>3.7378</v>
      </c>
      <c r="E666" s="11" t="n">
        <v>3.1953</v>
      </c>
      <c r="F666" s="11" t="n">
        <v>3.7129</v>
      </c>
      <c r="G666" s="11" t="n">
        <v>3.3398</v>
      </c>
      <c r="H666" s="11" t="n">
        <v>3.3001</v>
      </c>
      <c r="I666" s="11" t="n">
        <v>3.3164</v>
      </c>
      <c r="J666" s="11" t="n">
        <v>3.2641</v>
      </c>
      <c r="K666" s="11" t="n">
        <v>2.9931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Salari</t>
        </is>
      </c>
    </row>
    <row r="2">
      <c r="A2" s="4" t="inlineStr">
        <is>
          <t>Salari reali = (1 + salari nominali) / (1 + prezzi) - 1; prezzi HICP generale, medie trimestrali per le serie trimestrali.</t>
        </is>
      </c>
    </row>
    <row r="4">
      <c r="A4" s="13" t="inlineStr">
        <is>
          <t>Area euro - bce_salari_negoziali (BCE INW/Q.U2.N.INWR.000000.4F0.GY.IX), variazioni annue %</t>
        </is>
      </c>
    </row>
    <row r="5">
      <c r="A5" s="5" t="inlineStr">
        <is>
          <t>Periodo</t>
        </is>
      </c>
      <c r="B5" s="5" t="inlineStr">
        <is>
          <t>salari_nominali</t>
        </is>
      </c>
      <c r="C5" s="5" t="inlineStr">
        <is>
          <t>prezzi</t>
        </is>
      </c>
      <c r="D5" s="5" t="inlineStr">
        <is>
          <t>salari_reali</t>
        </is>
      </c>
    </row>
    <row r="6">
      <c r="A6" s="3" t="inlineStr">
        <is>
          <t>2015Q1</t>
        </is>
      </c>
      <c r="B6" s="11" t="n">
        <v>1.41</v>
      </c>
      <c r="C6" s="11" t="n">
        <v>-0.3154</v>
      </c>
      <c r="D6" s="11" t="n">
        <v>1.7308</v>
      </c>
    </row>
    <row r="7">
      <c r="A7" s="3" t="inlineStr">
        <is>
          <t>2015Q2</t>
        </is>
      </c>
      <c r="B7" s="11" t="n">
        <v>1.46</v>
      </c>
      <c r="C7" s="11" t="n">
        <v>0.4327</v>
      </c>
      <c r="D7" s="11" t="n">
        <v>1.0229</v>
      </c>
    </row>
    <row r="8">
      <c r="A8" s="3" t="inlineStr">
        <is>
          <t>2015Q3</t>
        </is>
      </c>
      <c r="B8" s="11" t="n">
        <v>1.5</v>
      </c>
      <c r="C8" s="11" t="n">
        <v>0.4</v>
      </c>
      <c r="D8" s="11" t="n">
        <v>1.0956</v>
      </c>
    </row>
    <row r="9">
      <c r="A9" s="3" t="inlineStr">
        <is>
          <t>2015Q4</t>
        </is>
      </c>
      <c r="B9" s="11" t="n">
        <v>1.48</v>
      </c>
      <c r="C9" s="11" t="n">
        <v>0.2534</v>
      </c>
      <c r="D9" s="11" t="n">
        <v>1.2235</v>
      </c>
    </row>
    <row r="10">
      <c r="A10" s="3" t="inlineStr">
        <is>
          <t>2016Q1</t>
        </is>
      </c>
      <c r="B10" s="11" t="n">
        <v>1.36</v>
      </c>
      <c r="C10" s="11" t="n">
        <v>0.052</v>
      </c>
      <c r="D10" s="11" t="n">
        <v>1.3073</v>
      </c>
    </row>
    <row r="11">
      <c r="A11" s="3" t="inlineStr">
        <is>
          <t>2016Q2</t>
        </is>
      </c>
      <c r="B11" s="11" t="n">
        <v>1.37</v>
      </c>
      <c r="C11" s="11" t="n">
        <v>-0.1066</v>
      </c>
      <c r="D11" s="11" t="n">
        <v>1.4782</v>
      </c>
    </row>
    <row r="12">
      <c r="A12" s="3" t="inlineStr">
        <is>
          <t>2016Q3</t>
        </is>
      </c>
      <c r="B12" s="11" t="n">
        <v>1.45</v>
      </c>
      <c r="C12" s="11" t="n">
        <v>0.2613</v>
      </c>
      <c r="D12" s="11" t="n">
        <v>1.1856</v>
      </c>
    </row>
    <row r="13">
      <c r="A13" s="3" t="inlineStr">
        <is>
          <t>2016Q4</t>
        </is>
      </c>
      <c r="B13" s="11" t="n">
        <v>1.43</v>
      </c>
      <c r="C13" s="11" t="n">
        <v>0.7284</v>
      </c>
      <c r="D13" s="11" t="n">
        <v>0.6965</v>
      </c>
    </row>
    <row r="14">
      <c r="A14" s="3" t="inlineStr">
        <is>
          <t>2017Q1</t>
        </is>
      </c>
      <c r="B14" s="11" t="n">
        <v>1.53</v>
      </c>
      <c r="C14" s="11" t="n">
        <v>1.7369</v>
      </c>
      <c r="D14" s="11" t="n">
        <v>-0.2034</v>
      </c>
    </row>
    <row r="15">
      <c r="A15" s="3" t="inlineStr">
        <is>
          <t>2017Q2</t>
        </is>
      </c>
      <c r="B15" s="11" t="n">
        <v>1.42</v>
      </c>
      <c r="C15" s="11" t="n">
        <v>1.5243</v>
      </c>
      <c r="D15" s="11" t="n">
        <v>-0.1028</v>
      </c>
    </row>
    <row r="16">
      <c r="A16" s="3" t="inlineStr">
        <is>
          <t>2017Q3</t>
        </is>
      </c>
      <c r="B16" s="11" t="n">
        <v>1.41</v>
      </c>
      <c r="C16" s="11" t="n">
        <v>1.4783</v>
      </c>
      <c r="D16" s="11" t="n">
        <v>-0.0673</v>
      </c>
    </row>
    <row r="17">
      <c r="A17" s="3" t="inlineStr">
        <is>
          <t>2017Q4</t>
        </is>
      </c>
      <c r="B17" s="11" t="n">
        <v>1.46</v>
      </c>
      <c r="C17" s="11" t="n">
        <v>1.4165</v>
      </c>
      <c r="D17" s="11" t="n">
        <v>0.0429</v>
      </c>
    </row>
    <row r="18">
      <c r="A18" s="3" t="inlineStr">
        <is>
          <t>2018Q1</t>
        </is>
      </c>
      <c r="B18" s="11" t="n">
        <v>1.75</v>
      </c>
      <c r="C18" s="11" t="n">
        <v>1.2687</v>
      </c>
      <c r="D18" s="11" t="n">
        <v>0.4752</v>
      </c>
    </row>
    <row r="19">
      <c r="A19" s="3" t="inlineStr">
        <is>
          <t>2018Q2</t>
        </is>
      </c>
      <c r="B19" s="11" t="n">
        <v>2.24</v>
      </c>
      <c r="C19" s="11" t="n">
        <v>1.7201</v>
      </c>
      <c r="D19" s="11" t="n">
        <v>0.5111</v>
      </c>
    </row>
    <row r="20">
      <c r="A20" s="3" t="inlineStr">
        <is>
          <t>2018Q3</t>
        </is>
      </c>
      <c r="B20" s="11" t="n">
        <v>2.15</v>
      </c>
      <c r="C20" s="11" t="n">
        <v>2.1178</v>
      </c>
      <c r="D20" s="11" t="n">
        <v>0.0315</v>
      </c>
    </row>
    <row r="21">
      <c r="A21" s="3" t="inlineStr">
        <is>
          <t>2018Q4</t>
        </is>
      </c>
      <c r="B21" s="11" t="n">
        <v>2.1</v>
      </c>
      <c r="C21" s="11" t="n">
        <v>1.9084</v>
      </c>
      <c r="D21" s="11" t="n">
        <v>0.188</v>
      </c>
    </row>
    <row r="22">
      <c r="A22" s="3" t="inlineStr">
        <is>
          <t>2019Q1</t>
        </is>
      </c>
      <c r="B22" s="11" t="n">
        <v>2.23</v>
      </c>
      <c r="C22" s="11" t="n">
        <v>1.4294</v>
      </c>
      <c r="D22" s="11" t="n">
        <v>0.7893</v>
      </c>
    </row>
    <row r="23">
      <c r="A23" s="3" t="inlineStr">
        <is>
          <t>2019Q2</t>
        </is>
      </c>
      <c r="B23" s="11" t="n">
        <v>1.96</v>
      </c>
      <c r="C23" s="11" t="n">
        <v>1.3975</v>
      </c>
      <c r="D23" s="11" t="n">
        <v>0.5547</v>
      </c>
    </row>
    <row r="24">
      <c r="A24" s="3" t="inlineStr">
        <is>
          <t>2019Q3</t>
        </is>
      </c>
      <c r="B24" s="11" t="n">
        <v>2.57</v>
      </c>
      <c r="C24" s="11" t="n">
        <v>0.9607</v>
      </c>
      <c r="D24" s="11" t="n">
        <v>1.594</v>
      </c>
    </row>
    <row r="25">
      <c r="A25" s="3" t="inlineStr">
        <is>
          <t>2019Q4</t>
        </is>
      </c>
      <c r="B25" s="11" t="n">
        <v>1.98</v>
      </c>
      <c r="C25" s="11" t="n">
        <v>1.0042</v>
      </c>
      <c r="D25" s="11" t="n">
        <v>0.9661</v>
      </c>
    </row>
    <row r="26">
      <c r="A26" s="3" t="inlineStr">
        <is>
          <t>2020Q1</t>
        </is>
      </c>
      <c r="B26" s="11" t="n">
        <v>1.96</v>
      </c>
      <c r="C26" s="11" t="n">
        <v>1.1067</v>
      </c>
      <c r="D26" s="11" t="n">
        <v>0.844</v>
      </c>
    </row>
    <row r="27">
      <c r="A27" s="3" t="inlineStr">
        <is>
          <t>2020Q2</t>
        </is>
      </c>
      <c r="B27" s="11" t="n">
        <v>1.67</v>
      </c>
      <c r="C27" s="11" t="n">
        <v>0.2243</v>
      </c>
      <c r="D27" s="11" t="n">
        <v>1.4425</v>
      </c>
    </row>
    <row r="28">
      <c r="A28" s="3" t="inlineStr">
        <is>
          <t>2020Q3</t>
        </is>
      </c>
      <c r="B28" s="11" t="n">
        <v>1.63</v>
      </c>
      <c r="C28" s="11" t="n">
        <v>-0.0368</v>
      </c>
      <c r="D28" s="11" t="n">
        <v>1.6674</v>
      </c>
    </row>
    <row r="29">
      <c r="A29" s="3" t="inlineStr">
        <is>
          <t>2020Q4</t>
        </is>
      </c>
      <c r="B29" s="11" t="n">
        <v>1.95</v>
      </c>
      <c r="C29" s="11" t="n">
        <v>-0.273</v>
      </c>
      <c r="D29" s="11" t="n">
        <v>2.2291</v>
      </c>
    </row>
    <row r="30">
      <c r="A30" s="3" t="inlineStr">
        <is>
          <t>2021Q1</t>
        </is>
      </c>
      <c r="B30" s="11" t="n">
        <v>1.35</v>
      </c>
      <c r="C30" s="11" t="n">
        <v>1.0577</v>
      </c>
      <c r="D30" s="11" t="n">
        <v>0.2893</v>
      </c>
    </row>
    <row r="31">
      <c r="A31" s="3" t="inlineStr">
        <is>
          <t>2021Q2</t>
        </is>
      </c>
      <c r="B31" s="11" t="n">
        <v>1.61</v>
      </c>
      <c r="C31" s="11" t="n">
        <v>1.8308</v>
      </c>
      <c r="D31" s="11" t="n">
        <v>-0.2169</v>
      </c>
    </row>
    <row r="32">
      <c r="A32" s="3" t="inlineStr">
        <is>
          <t>2021Q3</t>
        </is>
      </c>
      <c r="B32" s="11" t="n">
        <v>1.11</v>
      </c>
      <c r="C32" s="11" t="n">
        <v>2.8311</v>
      </c>
      <c r="D32" s="11" t="n">
        <v>-1.6737</v>
      </c>
    </row>
    <row r="33">
      <c r="A33" s="3" t="inlineStr">
        <is>
          <t>2021Q4</t>
        </is>
      </c>
      <c r="B33" s="11" t="n">
        <v>1.32</v>
      </c>
      <c r="C33" s="11" t="n">
        <v>4.6253</v>
      </c>
      <c r="D33" s="11" t="n">
        <v>-3.1592</v>
      </c>
    </row>
    <row r="34">
      <c r="A34" s="3" t="inlineStr">
        <is>
          <t>2022Q1</t>
        </is>
      </c>
      <c r="B34" s="11" t="n">
        <v>2.94</v>
      </c>
      <c r="C34" s="11" t="n">
        <v>6.1499</v>
      </c>
      <c r="D34" s="11" t="n">
        <v>-3.0239</v>
      </c>
    </row>
    <row r="35">
      <c r="A35" s="3" t="inlineStr">
        <is>
          <t>2022Q2</t>
        </is>
      </c>
      <c r="B35" s="11" t="n">
        <v>2.44</v>
      </c>
      <c r="C35" s="11" t="n">
        <v>8.050700000000001</v>
      </c>
      <c r="D35" s="11" t="n">
        <v>-5.1926</v>
      </c>
    </row>
    <row r="36">
      <c r="A36" s="3" t="inlineStr">
        <is>
          <t>2022Q3</t>
        </is>
      </c>
      <c r="B36" s="11" t="n">
        <v>2.91</v>
      </c>
      <c r="C36" s="11" t="n">
        <v>9.308299999999999</v>
      </c>
      <c r="D36" s="11" t="n">
        <v>-5.8535</v>
      </c>
    </row>
    <row r="37">
      <c r="A37" s="3" t="inlineStr">
        <is>
          <t>2022Q4</t>
        </is>
      </c>
      <c r="B37" s="11" t="n">
        <v>2.99</v>
      </c>
      <c r="C37" s="11" t="n">
        <v>9.954700000000001</v>
      </c>
      <c r="D37" s="11" t="n">
        <v>-6.3342</v>
      </c>
    </row>
    <row r="38">
      <c r="A38" s="3" t="inlineStr">
        <is>
          <t>2023Q1</t>
        </is>
      </c>
      <c r="B38" s="11" t="n">
        <v>4.04</v>
      </c>
      <c r="C38" s="11" t="n">
        <v>7.9986</v>
      </c>
      <c r="D38" s="11" t="n">
        <v>-3.6654</v>
      </c>
    </row>
    <row r="39">
      <c r="A39" s="3" t="inlineStr">
        <is>
          <t>2023Q2</t>
        </is>
      </c>
      <c r="B39" s="11" t="n">
        <v>4.21</v>
      </c>
      <c r="C39" s="11" t="n">
        <v>6.1862</v>
      </c>
      <c r="D39" s="11" t="n">
        <v>-1.8611</v>
      </c>
    </row>
    <row r="40">
      <c r="A40" s="3" t="inlineStr">
        <is>
          <t>2023Q3</t>
        </is>
      </c>
      <c r="B40" s="11" t="n">
        <v>4.58</v>
      </c>
      <c r="C40" s="11" t="n">
        <v>4.9575</v>
      </c>
      <c r="D40" s="11" t="n">
        <v>-0.3596</v>
      </c>
    </row>
    <row r="41">
      <c r="A41" s="3" t="inlineStr">
        <is>
          <t>2023Q4</t>
        </is>
      </c>
      <c r="B41" s="11" t="n">
        <v>4.4</v>
      </c>
      <c r="C41" s="11" t="n">
        <v>2.742</v>
      </c>
      <c r="D41" s="11" t="n">
        <v>1.6138</v>
      </c>
    </row>
    <row r="42">
      <c r="A42" s="3" t="inlineStr">
        <is>
          <t>2024Q1</t>
        </is>
      </c>
      <c r="B42" s="11" t="n">
        <v>4.97</v>
      </c>
      <c r="C42" s="11" t="n">
        <v>2.5938</v>
      </c>
      <c r="D42" s="11" t="n">
        <v>2.3162</v>
      </c>
    </row>
    <row r="43">
      <c r="A43" s="3" t="inlineStr">
        <is>
          <t>2024Q2</t>
        </is>
      </c>
      <c r="B43" s="11" t="n">
        <v>3.74</v>
      </c>
      <c r="C43" s="11" t="n">
        <v>2.4828</v>
      </c>
      <c r="D43" s="11" t="n">
        <v>1.2267</v>
      </c>
    </row>
    <row r="44">
      <c r="A44" s="3" t="inlineStr">
        <is>
          <t>2024Q3</t>
        </is>
      </c>
      <c r="B44" s="11" t="n">
        <v>5.64</v>
      </c>
      <c r="C44" s="11" t="n">
        <v>2.1677</v>
      </c>
      <c r="D44" s="11" t="n">
        <v>3.3986</v>
      </c>
    </row>
    <row r="45">
      <c r="A45" s="3" t="inlineStr">
        <is>
          <t>2024Q4</t>
        </is>
      </c>
      <c r="B45" s="11" t="n">
        <v>4.3</v>
      </c>
      <c r="C45" s="11" t="n">
        <v>2.2263</v>
      </c>
      <c r="D45" s="11" t="n">
        <v>2.0285</v>
      </c>
    </row>
    <row r="46">
      <c r="A46" s="3" t="inlineStr">
        <is>
          <t>2025Q1</t>
        </is>
      </c>
      <c r="B46" s="11" t="n">
        <v>2.45</v>
      </c>
      <c r="C46" s="11" t="n">
        <v>2.3385</v>
      </c>
      <c r="D46" s="11" t="n">
        <v>0.109</v>
      </c>
    </row>
    <row r="47">
      <c r="A47" s="3" t="inlineStr">
        <is>
          <t>2025Q2</t>
        </is>
      </c>
      <c r="B47" s="11" t="n">
        <v>4.07</v>
      </c>
      <c r="C47" s="11" t="n">
        <v>2.015</v>
      </c>
      <c r="D47" s="11" t="n">
        <v>2.0145</v>
      </c>
    </row>
    <row r="48">
      <c r="A48" s="3" t="inlineStr">
        <is>
          <t>2025Q3</t>
        </is>
      </c>
      <c r="B48" s="11" t="n">
        <v>1.94</v>
      </c>
      <c r="C48" s="11" t="n">
        <v>2.1014</v>
      </c>
      <c r="D48" s="11" t="n">
        <v>-0.1581</v>
      </c>
    </row>
    <row r="49">
      <c r="A49" s="3" t="inlineStr">
        <is>
          <t>2025Q4</t>
        </is>
      </c>
      <c r="B49" s="11" t="n">
        <v>2.94</v>
      </c>
      <c r="C49" s="11" t="n">
        <v>2.0662</v>
      </c>
      <c r="D49" s="11" t="n">
        <v>0.8561</v>
      </c>
    </row>
    <row r="50">
      <c r="A50" s="3" t="inlineStr">
        <is>
          <t>2026Q1</t>
        </is>
      </c>
      <c r="B50" s="11" t="n">
        <v>2.59</v>
      </c>
      <c r="C50" s="11" t="n">
        <v>2.0424</v>
      </c>
      <c r="D50" s="11" t="n">
        <v>0.5366</v>
      </c>
    </row>
    <row r="51">
      <c r="A51" s="3" t="inlineStr">
        <is>
          <t>2026Q2</t>
        </is>
      </c>
      <c r="B51" s="11" t="n">
        <v>2.44</v>
      </c>
      <c r="C51" s="11" t="n">
        <v>2.9844</v>
      </c>
      <c r="D51" s="11" t="n">
        <v>-0.5286</v>
      </c>
    </row>
    <row r="54">
      <c r="A54" s="13" t="inlineStr">
        <is>
          <t>Area euro - bce_wage_tracker (BCE EWT/Q.U2.N.WT.INWS._T.4F0.GY), variazioni annue %</t>
        </is>
      </c>
    </row>
    <row r="55">
      <c r="A55" s="5" t="inlineStr">
        <is>
          <t>Periodo</t>
        </is>
      </c>
      <c r="B55" s="5" t="inlineStr">
        <is>
          <t>salari_nominali</t>
        </is>
      </c>
      <c r="C55" s="5" t="inlineStr">
        <is>
          <t>prezzi</t>
        </is>
      </c>
      <c r="D55" s="5" t="inlineStr">
        <is>
          <t>salari_reali</t>
        </is>
      </c>
    </row>
    <row r="56">
      <c r="A56" s="3" t="inlineStr">
        <is>
          <t>2015Q1</t>
        </is>
      </c>
      <c r="B56" s="11" t="n">
        <v>1.3038</v>
      </c>
      <c r="C56" s="11" t="n">
        <v>-0.3154</v>
      </c>
      <c r="D56" s="11" t="n">
        <v>1.6243</v>
      </c>
    </row>
    <row r="57">
      <c r="A57" s="3" t="inlineStr">
        <is>
          <t>2015Q2</t>
        </is>
      </c>
      <c r="B57" s="11" t="n">
        <v>1.3969</v>
      </c>
      <c r="C57" s="11" t="n">
        <v>0.4327</v>
      </c>
      <c r="D57" s="11" t="n">
        <v>0.9601</v>
      </c>
    </row>
    <row r="58">
      <c r="A58" s="3" t="inlineStr">
        <is>
          <t>2015Q3</t>
        </is>
      </c>
      <c r="B58" s="11" t="n">
        <v>1.5053</v>
      </c>
      <c r="C58" s="11" t="n">
        <v>0.4</v>
      </c>
      <c r="D58" s="11" t="n">
        <v>1.1009</v>
      </c>
    </row>
    <row r="59">
      <c r="A59" s="3" t="inlineStr">
        <is>
          <t>2015Q4</t>
        </is>
      </c>
      <c r="B59" s="11" t="n">
        <v>1.4786</v>
      </c>
      <c r="C59" s="11" t="n">
        <v>0.2534</v>
      </c>
      <c r="D59" s="11" t="n">
        <v>1.222</v>
      </c>
    </row>
    <row r="60">
      <c r="A60" s="3" t="inlineStr">
        <is>
          <t>2016Q1</t>
        </is>
      </c>
      <c r="B60" s="11" t="n">
        <v>1.4491</v>
      </c>
      <c r="C60" s="11" t="n">
        <v>0.052</v>
      </c>
      <c r="D60" s="11" t="n">
        <v>1.3964</v>
      </c>
    </row>
    <row r="61">
      <c r="A61" s="3" t="inlineStr">
        <is>
          <t>2016Q2</t>
        </is>
      </c>
      <c r="B61" s="11" t="n">
        <v>1.3382</v>
      </c>
      <c r="C61" s="11" t="n">
        <v>-0.1066</v>
      </c>
      <c r="D61" s="11" t="n">
        <v>1.4463</v>
      </c>
    </row>
    <row r="62">
      <c r="A62" s="3" t="inlineStr">
        <is>
          <t>2016Q3</t>
        </is>
      </c>
      <c r="B62" s="11" t="n">
        <v>1.3533</v>
      </c>
      <c r="C62" s="11" t="n">
        <v>0.2613</v>
      </c>
      <c r="D62" s="11" t="n">
        <v>1.0892</v>
      </c>
    </row>
    <row r="63">
      <c r="A63" s="3" t="inlineStr">
        <is>
          <t>2016Q4</t>
        </is>
      </c>
      <c r="B63" s="11" t="n">
        <v>1.3449</v>
      </c>
      <c r="C63" s="11" t="n">
        <v>0.7284</v>
      </c>
      <c r="D63" s="11" t="n">
        <v>0.6121</v>
      </c>
    </row>
    <row r="64">
      <c r="A64" s="3" t="inlineStr">
        <is>
          <t>2017Q1</t>
        </is>
      </c>
      <c r="B64" s="11" t="n">
        <v>1.499</v>
      </c>
      <c r="C64" s="11" t="n">
        <v>1.7369</v>
      </c>
      <c r="D64" s="11" t="n">
        <v>-0.2339</v>
      </c>
    </row>
    <row r="65">
      <c r="A65" s="3" t="inlineStr">
        <is>
          <t>2017Q2</t>
        </is>
      </c>
      <c r="B65" s="11" t="n">
        <v>1.4047</v>
      </c>
      <c r="C65" s="11" t="n">
        <v>1.5243</v>
      </c>
      <c r="D65" s="11" t="n">
        <v>-0.1179</v>
      </c>
    </row>
    <row r="66">
      <c r="A66" s="3" t="inlineStr">
        <is>
          <t>2017Q3</t>
        </is>
      </c>
      <c r="B66" s="11" t="n">
        <v>1.3489</v>
      </c>
      <c r="C66" s="11" t="n">
        <v>1.4783</v>
      </c>
      <c r="D66" s="11" t="n">
        <v>-0.1275</v>
      </c>
    </row>
    <row r="67">
      <c r="A67" s="3" t="inlineStr">
        <is>
          <t>2017Q4</t>
        </is>
      </c>
      <c r="B67" s="11" t="n">
        <v>1.3745</v>
      </c>
      <c r="C67" s="11" t="n">
        <v>1.4165</v>
      </c>
      <c r="D67" s="11" t="n">
        <v>-0.0414</v>
      </c>
    </row>
    <row r="68">
      <c r="A68" s="3" t="inlineStr">
        <is>
          <t>2018Q1</t>
        </is>
      </c>
      <c r="B68" s="11" t="n">
        <v>1.5206</v>
      </c>
      <c r="C68" s="11" t="n">
        <v>1.2687</v>
      </c>
      <c r="D68" s="11" t="n">
        <v>0.2487</v>
      </c>
    </row>
    <row r="69">
      <c r="A69" s="3" t="inlineStr">
        <is>
          <t>2018Q2</t>
        </is>
      </c>
      <c r="B69" s="11" t="n">
        <v>2.0356</v>
      </c>
      <c r="C69" s="11" t="n">
        <v>1.7201</v>
      </c>
      <c r="D69" s="11" t="n">
        <v>0.3102</v>
      </c>
    </row>
    <row r="70">
      <c r="A70" s="3" t="inlineStr">
        <is>
          <t>2018Q3</t>
        </is>
      </c>
      <c r="B70" s="11" t="n">
        <v>2.0641</v>
      </c>
      <c r="C70" s="11" t="n">
        <v>2.1178</v>
      </c>
      <c r="D70" s="11" t="n">
        <v>-0.0526</v>
      </c>
    </row>
    <row r="71">
      <c r="A71" s="3" t="inlineStr">
        <is>
          <t>2018Q4</t>
        </is>
      </c>
      <c r="B71" s="11" t="n">
        <v>2.1443</v>
      </c>
      <c r="C71" s="11" t="n">
        <v>1.9084</v>
      </c>
      <c r="D71" s="11" t="n">
        <v>0.2315</v>
      </c>
    </row>
    <row r="72">
      <c r="A72" s="3" t="inlineStr">
        <is>
          <t>2019Q1</t>
        </is>
      </c>
      <c r="B72" s="11" t="n">
        <v>2.2643</v>
      </c>
      <c r="C72" s="11" t="n">
        <v>1.4294</v>
      </c>
      <c r="D72" s="11" t="n">
        <v>0.8231000000000001</v>
      </c>
    </row>
    <row r="73">
      <c r="A73" s="3" t="inlineStr">
        <is>
          <t>2019Q2</t>
        </is>
      </c>
      <c r="B73" s="11" t="n">
        <v>1.7599</v>
      </c>
      <c r="C73" s="11" t="n">
        <v>1.3975</v>
      </c>
      <c r="D73" s="11" t="n">
        <v>0.3574</v>
      </c>
    </row>
    <row r="74">
      <c r="A74" s="3" t="inlineStr">
        <is>
          <t>2019Q3</t>
        </is>
      </c>
      <c r="B74" s="11" t="n">
        <v>1.9577</v>
      </c>
      <c r="C74" s="11" t="n">
        <v>0.9607</v>
      </c>
      <c r="D74" s="11" t="n">
        <v>0.9875</v>
      </c>
    </row>
    <row r="75">
      <c r="A75" s="3" t="inlineStr">
        <is>
          <t>2019Q4</t>
        </is>
      </c>
      <c r="B75" s="11" t="n">
        <v>1.912</v>
      </c>
      <c r="C75" s="11" t="n">
        <v>1.0042</v>
      </c>
      <c r="D75" s="11" t="n">
        <v>0.8987000000000001</v>
      </c>
    </row>
    <row r="76">
      <c r="A76" s="3" t="inlineStr">
        <is>
          <t>2020Q1</t>
        </is>
      </c>
      <c r="B76" s="11" t="n">
        <v>1.8242</v>
      </c>
      <c r="C76" s="11" t="n">
        <v>1.1067</v>
      </c>
      <c r="D76" s="11" t="n">
        <v>0.7097</v>
      </c>
    </row>
    <row r="77">
      <c r="A77" s="3" t="inlineStr">
        <is>
          <t>2020Q2</t>
        </is>
      </c>
      <c r="B77" s="11" t="n">
        <v>1.7305</v>
      </c>
      <c r="C77" s="11" t="n">
        <v>0.2243</v>
      </c>
      <c r="D77" s="11" t="n">
        <v>1.5029</v>
      </c>
    </row>
    <row r="78">
      <c r="A78" s="3" t="inlineStr">
        <is>
          <t>2020Q3</t>
        </is>
      </c>
      <c r="B78" s="11" t="n">
        <v>1.3922</v>
      </c>
      <c r="C78" s="11" t="n">
        <v>-0.0368</v>
      </c>
      <c r="D78" s="11" t="n">
        <v>1.4295</v>
      </c>
    </row>
    <row r="79">
      <c r="A79" s="3" t="inlineStr">
        <is>
          <t>2020Q4</t>
        </is>
      </c>
      <c r="B79" s="11" t="n">
        <v>1.3474</v>
      </c>
      <c r="C79" s="11" t="n">
        <v>-0.273</v>
      </c>
      <c r="D79" s="11" t="n">
        <v>1.6249</v>
      </c>
    </row>
    <row r="80">
      <c r="A80" s="3" t="inlineStr">
        <is>
          <t>2021Q1</t>
        </is>
      </c>
      <c r="B80" s="11" t="n">
        <v>1.2037</v>
      </c>
      <c r="C80" s="11" t="n">
        <v>1.0577</v>
      </c>
      <c r="D80" s="11" t="n">
        <v>0.1445</v>
      </c>
    </row>
    <row r="81">
      <c r="A81" s="3" t="inlineStr">
        <is>
          <t>2021Q2</t>
        </is>
      </c>
      <c r="B81" s="11" t="n">
        <v>1.2692</v>
      </c>
      <c r="C81" s="11" t="n">
        <v>1.8308</v>
      </c>
      <c r="D81" s="11" t="n">
        <v>-0.5515</v>
      </c>
    </row>
    <row r="82">
      <c r="A82" s="3" t="inlineStr">
        <is>
          <t>2021Q3</t>
        </is>
      </c>
      <c r="B82" s="11" t="n">
        <v>1.2582</v>
      </c>
      <c r="C82" s="11" t="n">
        <v>2.8311</v>
      </c>
      <c r="D82" s="11" t="n">
        <v>-1.5296</v>
      </c>
    </row>
    <row r="83">
      <c r="A83" s="3" t="inlineStr">
        <is>
          <t>2021Q4</t>
        </is>
      </c>
      <c r="B83" s="11" t="n">
        <v>1.4676</v>
      </c>
      <c r="C83" s="11" t="n">
        <v>4.6253</v>
      </c>
      <c r="D83" s="11" t="n">
        <v>-3.0181</v>
      </c>
    </row>
    <row r="84">
      <c r="A84" s="3" t="inlineStr">
        <is>
          <t>2022Q1</t>
        </is>
      </c>
      <c r="B84" s="11" t="n">
        <v>2.0661</v>
      </c>
      <c r="C84" s="11" t="n">
        <v>6.1499</v>
      </c>
      <c r="D84" s="11" t="n">
        <v>-3.8472</v>
      </c>
    </row>
    <row r="85">
      <c r="A85" s="3" t="inlineStr">
        <is>
          <t>2022Q2</t>
        </is>
      </c>
      <c r="B85" s="11" t="n">
        <v>2.9186</v>
      </c>
      <c r="C85" s="11" t="n">
        <v>8.050700000000001</v>
      </c>
      <c r="D85" s="11" t="n">
        <v>-4.7497</v>
      </c>
    </row>
    <row r="86">
      <c r="A86" s="3" t="inlineStr">
        <is>
          <t>2022Q3</t>
        </is>
      </c>
      <c r="B86" s="11" t="n">
        <v>3.205</v>
      </c>
      <c r="C86" s="11" t="n">
        <v>9.308299999999999</v>
      </c>
      <c r="D86" s="11" t="n">
        <v>-5.5836</v>
      </c>
    </row>
    <row r="87">
      <c r="A87" s="3" t="inlineStr">
        <is>
          <t>2022Q4</t>
        </is>
      </c>
      <c r="B87" s="11" t="n">
        <v>3.5284</v>
      </c>
      <c r="C87" s="11" t="n">
        <v>9.954700000000001</v>
      </c>
      <c r="D87" s="11" t="n">
        <v>-5.8445</v>
      </c>
    </row>
    <row r="88">
      <c r="A88" s="3" t="inlineStr">
        <is>
          <t>2023Q1</t>
        </is>
      </c>
      <c r="B88" s="11" t="n">
        <v>4.3894</v>
      </c>
      <c r="C88" s="11" t="n">
        <v>7.9986</v>
      </c>
      <c r="D88" s="11" t="n">
        <v>-3.3419</v>
      </c>
    </row>
    <row r="89">
      <c r="A89" s="3" t="inlineStr">
        <is>
          <t>2023Q2</t>
        </is>
      </c>
      <c r="B89" s="11" t="n">
        <v>4.2005</v>
      </c>
      <c r="C89" s="11" t="n">
        <v>6.1862</v>
      </c>
      <c r="D89" s="11" t="n">
        <v>-1.87</v>
      </c>
    </row>
    <row r="90">
      <c r="A90" s="3" t="inlineStr">
        <is>
          <t>2023Q3</t>
        </is>
      </c>
      <c r="B90" s="11" t="n">
        <v>4.675</v>
      </c>
      <c r="C90" s="11" t="n">
        <v>4.9575</v>
      </c>
      <c r="D90" s="11" t="n">
        <v>-0.2692</v>
      </c>
    </row>
    <row r="91">
      <c r="A91" s="3" t="inlineStr">
        <is>
          <t>2023Q4</t>
        </is>
      </c>
      <c r="B91" s="11" t="n">
        <v>4.4695</v>
      </c>
      <c r="C91" s="11" t="n">
        <v>2.742</v>
      </c>
      <c r="D91" s="11" t="n">
        <v>1.6814</v>
      </c>
    </row>
    <row r="92">
      <c r="A92" s="3" t="inlineStr">
        <is>
          <t>2024Q1</t>
        </is>
      </c>
      <c r="B92" s="11" t="n">
        <v>4.0256</v>
      </c>
      <c r="C92" s="11" t="n">
        <v>2.5938</v>
      </c>
      <c r="D92" s="11" t="n">
        <v>1.3956</v>
      </c>
    </row>
    <row r="93">
      <c r="A93" s="3" t="inlineStr">
        <is>
          <t>2024Q2</t>
        </is>
      </c>
      <c r="B93" s="11" t="n">
        <v>4.3026</v>
      </c>
      <c r="C93" s="11" t="n">
        <v>2.4828</v>
      </c>
      <c r="D93" s="11" t="n">
        <v>1.7756</v>
      </c>
    </row>
    <row r="94">
      <c r="A94" s="3" t="inlineStr">
        <is>
          <t>2024Q3</t>
        </is>
      </c>
      <c r="B94" s="11" t="n">
        <v>5.0487</v>
      </c>
      <c r="C94" s="11" t="n">
        <v>2.1677</v>
      </c>
      <c r="D94" s="11" t="n">
        <v>2.8198</v>
      </c>
    </row>
    <row r="95">
      <c r="A95" s="3" t="inlineStr">
        <is>
          <t>2024Q4</t>
        </is>
      </c>
      <c r="B95" s="11" t="n">
        <v>5.2476</v>
      </c>
      <c r="C95" s="11" t="n">
        <v>2.2263</v>
      </c>
      <c r="D95" s="11" t="n">
        <v>2.9555</v>
      </c>
    </row>
    <row r="96">
      <c r="A96" s="3" t="inlineStr">
        <is>
          <t>2025Q1</t>
        </is>
      </c>
      <c r="B96" s="11" t="n">
        <v>4.7287</v>
      </c>
      <c r="C96" s="11" t="n">
        <v>2.3385</v>
      </c>
      <c r="D96" s="11" t="n">
        <v>2.3355</v>
      </c>
    </row>
    <row r="97">
      <c r="A97" s="3" t="inlineStr">
        <is>
          <t>2025Q2</t>
        </is>
      </c>
      <c r="B97" s="11" t="n">
        <v>4.1619</v>
      </c>
      <c r="C97" s="11" t="n">
        <v>2.015</v>
      </c>
      <c r="D97" s="11" t="n">
        <v>2.1046</v>
      </c>
    </row>
    <row r="98">
      <c r="A98" s="3" t="inlineStr">
        <is>
          <t>2025Q3</t>
        </is>
      </c>
      <c r="B98" s="11" t="n">
        <v>2.3189</v>
      </c>
      <c r="C98" s="11" t="n">
        <v>2.1014</v>
      </c>
      <c r="D98" s="11" t="n">
        <v>0.213</v>
      </c>
    </row>
    <row r="99">
      <c r="A99" s="3" t="inlineStr">
        <is>
          <t>2025Q4</t>
        </is>
      </c>
      <c r="B99" s="11" t="n">
        <v>1.8336</v>
      </c>
      <c r="C99" s="11" t="n">
        <v>2.0662</v>
      </c>
      <c r="D99" s="11" t="n">
        <v>-0.2279</v>
      </c>
    </row>
    <row r="100">
      <c r="A100" s="3" t="inlineStr">
        <is>
          <t>2026Q1</t>
        </is>
      </c>
      <c r="B100" s="11" t="n">
        <v>1.822</v>
      </c>
      <c r="C100" s="11" t="n">
        <v>2.0424</v>
      </c>
      <c r="D100" s="11" t="n">
        <v>-0.216</v>
      </c>
    </row>
    <row r="101">
      <c r="A101" s="3" t="inlineStr">
        <is>
          <t>2026Q2</t>
        </is>
      </c>
      <c r="B101" s="11" t="n">
        <v>1.8681</v>
      </c>
      <c r="C101" s="11" t="n">
        <v>2.9844</v>
      </c>
      <c r="D101" s="11" t="n">
        <v>-1.0839</v>
      </c>
    </row>
    <row r="102">
      <c r="A102" s="3" t="inlineStr">
        <is>
          <t>2026Q3</t>
        </is>
      </c>
      <c r="B102" s="11" t="n">
        <v>2.4557</v>
      </c>
      <c r="C102" s="11" t="n">
        <v>3.3196</v>
      </c>
      <c r="D102" s="11" t="n">
        <v>-0.8361</v>
      </c>
    </row>
    <row r="105">
      <c r="A105" s="13" t="inlineStr">
        <is>
          <t>Area euro - bce_wage_tracker_senza_una_tantum (BCE EWT/Q.U2.N.WT.INWX._T.4F0.GY), variazioni annue %</t>
        </is>
      </c>
    </row>
    <row r="106">
      <c r="A106" s="5" t="inlineStr">
        <is>
          <t>Periodo</t>
        </is>
      </c>
      <c r="B106" s="5" t="inlineStr">
        <is>
          <t>salari_nominali</t>
        </is>
      </c>
      <c r="C106" s="5" t="inlineStr">
        <is>
          <t>prezzi</t>
        </is>
      </c>
      <c r="D106" s="5" t="inlineStr">
        <is>
          <t>salari_reali</t>
        </is>
      </c>
    </row>
    <row r="107">
      <c r="A107" s="3" t="inlineStr">
        <is>
          <t>2015Q1</t>
        </is>
      </c>
      <c r="B107" s="11" t="n">
        <v>1.341</v>
      </c>
      <c r="C107" s="11" t="n">
        <v>-0.3154</v>
      </c>
      <c r="D107" s="11" t="n">
        <v>1.6616</v>
      </c>
    </row>
    <row r="108">
      <c r="A108" s="3" t="inlineStr">
        <is>
          <t>2015Q2</t>
        </is>
      </c>
      <c r="B108" s="11" t="n">
        <v>1.4206</v>
      </c>
      <c r="C108" s="11" t="n">
        <v>0.4327</v>
      </c>
      <c r="D108" s="11" t="n">
        <v>0.9837</v>
      </c>
    </row>
    <row r="109">
      <c r="A109" s="3" t="inlineStr">
        <is>
          <t>2015Q3</t>
        </is>
      </c>
      <c r="B109" s="11" t="n">
        <v>1.5321</v>
      </c>
      <c r="C109" s="11" t="n">
        <v>0.4</v>
      </c>
      <c r="D109" s="11" t="n">
        <v>1.1276</v>
      </c>
    </row>
    <row r="110">
      <c r="A110" s="3" t="inlineStr">
        <is>
          <t>2015Q4</t>
        </is>
      </c>
      <c r="B110" s="11" t="n">
        <v>1.4999</v>
      </c>
      <c r="C110" s="11" t="n">
        <v>0.2534</v>
      </c>
      <c r="D110" s="11" t="n">
        <v>1.2434</v>
      </c>
    </row>
    <row r="111">
      <c r="A111" s="3" t="inlineStr">
        <is>
          <t>2016Q1</t>
        </is>
      </c>
      <c r="B111" s="11" t="n">
        <v>1.4572</v>
      </c>
      <c r="C111" s="11" t="n">
        <v>0.052</v>
      </c>
      <c r="D111" s="11" t="n">
        <v>1.4045</v>
      </c>
    </row>
    <row r="112">
      <c r="A112" s="3" t="inlineStr">
        <is>
          <t>2016Q2</t>
        </is>
      </c>
      <c r="B112" s="11" t="n">
        <v>1.3614</v>
      </c>
      <c r="C112" s="11" t="n">
        <v>-0.1066</v>
      </c>
      <c r="D112" s="11" t="n">
        <v>1.4696</v>
      </c>
    </row>
    <row r="113">
      <c r="A113" s="3" t="inlineStr">
        <is>
          <t>2016Q3</t>
        </is>
      </c>
      <c r="B113" s="11" t="n">
        <v>1.3581</v>
      </c>
      <c r="C113" s="11" t="n">
        <v>0.2613</v>
      </c>
      <c r="D113" s="11" t="n">
        <v>1.0939</v>
      </c>
    </row>
    <row r="114">
      <c r="A114" s="3" t="inlineStr">
        <is>
          <t>2016Q4</t>
        </is>
      </c>
      <c r="B114" s="11" t="n">
        <v>1.3609</v>
      </c>
      <c r="C114" s="11" t="n">
        <v>0.7284</v>
      </c>
      <c r="D114" s="11" t="n">
        <v>0.628</v>
      </c>
    </row>
    <row r="115">
      <c r="A115" s="3" t="inlineStr">
        <is>
          <t>2017Q1</t>
        </is>
      </c>
      <c r="B115" s="11" t="n">
        <v>1.4856</v>
      </c>
      <c r="C115" s="11" t="n">
        <v>1.7369</v>
      </c>
      <c r="D115" s="11" t="n">
        <v>-0.247</v>
      </c>
    </row>
    <row r="116">
      <c r="A116" s="3" t="inlineStr">
        <is>
          <t>2017Q2</t>
        </is>
      </c>
      <c r="B116" s="11" t="n">
        <v>1.398</v>
      </c>
      <c r="C116" s="11" t="n">
        <v>1.5243</v>
      </c>
      <c r="D116" s="11" t="n">
        <v>-0.1245</v>
      </c>
    </row>
    <row r="117">
      <c r="A117" s="3" t="inlineStr">
        <is>
          <t>2017Q3</t>
        </is>
      </c>
      <c r="B117" s="11" t="n">
        <v>1.3767</v>
      </c>
      <c r="C117" s="11" t="n">
        <v>1.4783</v>
      </c>
      <c r="D117" s="11" t="n">
        <v>-0.1001</v>
      </c>
    </row>
    <row r="118">
      <c r="A118" s="3" t="inlineStr">
        <is>
          <t>2017Q4</t>
        </is>
      </c>
      <c r="B118" s="11" t="n">
        <v>1.3987</v>
      </c>
      <c r="C118" s="11" t="n">
        <v>1.4165</v>
      </c>
      <c r="D118" s="11" t="n">
        <v>-0.0175</v>
      </c>
    </row>
    <row r="119">
      <c r="A119" s="3" t="inlineStr">
        <is>
          <t>2018Q1</t>
        </is>
      </c>
      <c r="B119" s="11" t="n">
        <v>1.549</v>
      </c>
      <c r="C119" s="11" t="n">
        <v>1.2687</v>
      </c>
      <c r="D119" s="11" t="n">
        <v>0.2768</v>
      </c>
    </row>
    <row r="120">
      <c r="A120" s="3" t="inlineStr">
        <is>
          <t>2018Q2</t>
        </is>
      </c>
      <c r="B120" s="11" t="n">
        <v>1.9734</v>
      </c>
      <c r="C120" s="11" t="n">
        <v>1.7201</v>
      </c>
      <c r="D120" s="11" t="n">
        <v>0.249</v>
      </c>
    </row>
    <row r="121">
      <c r="A121" s="3" t="inlineStr">
        <is>
          <t>2018Q3</t>
        </is>
      </c>
      <c r="B121" s="11" t="n">
        <v>1.9369</v>
      </c>
      <c r="C121" s="11" t="n">
        <v>2.1178</v>
      </c>
      <c r="D121" s="11" t="n">
        <v>-0.1771</v>
      </c>
    </row>
    <row r="122">
      <c r="A122" s="3" t="inlineStr">
        <is>
          <t>2018Q4</t>
        </is>
      </c>
      <c r="B122" s="11" t="n">
        <v>2.0011</v>
      </c>
      <c r="C122" s="11" t="n">
        <v>1.9084</v>
      </c>
      <c r="D122" s="11" t="n">
        <v>0.09089999999999999</v>
      </c>
    </row>
    <row r="123">
      <c r="A123" s="3" t="inlineStr">
        <is>
          <t>2019Q1</t>
        </is>
      </c>
      <c r="B123" s="11" t="n">
        <v>2.1265</v>
      </c>
      <c r="C123" s="11" t="n">
        <v>1.4294</v>
      </c>
      <c r="D123" s="11" t="n">
        <v>0.6873</v>
      </c>
    </row>
    <row r="124">
      <c r="A124" s="3" t="inlineStr">
        <is>
          <t>2019Q2</t>
        </is>
      </c>
      <c r="B124" s="11" t="n">
        <v>1.7533</v>
      </c>
      <c r="C124" s="11" t="n">
        <v>1.3975</v>
      </c>
      <c r="D124" s="11" t="n">
        <v>0.3509</v>
      </c>
    </row>
    <row r="125">
      <c r="A125" s="3" t="inlineStr">
        <is>
          <t>2019Q3</t>
        </is>
      </c>
      <c r="B125" s="11" t="n">
        <v>1.8521</v>
      </c>
      <c r="C125" s="11" t="n">
        <v>0.9607</v>
      </c>
      <c r="D125" s="11" t="n">
        <v>0.8829</v>
      </c>
    </row>
    <row r="126">
      <c r="A126" s="3" t="inlineStr">
        <is>
          <t>2019Q4</t>
        </is>
      </c>
      <c r="B126" s="11" t="n">
        <v>1.8229</v>
      </c>
      <c r="C126" s="11" t="n">
        <v>1.0042</v>
      </c>
      <c r="D126" s="11" t="n">
        <v>0.8105</v>
      </c>
    </row>
    <row r="127">
      <c r="A127" s="3" t="inlineStr">
        <is>
          <t>2020Q1</t>
        </is>
      </c>
      <c r="B127" s="11" t="n">
        <v>1.7445</v>
      </c>
      <c r="C127" s="11" t="n">
        <v>1.1067</v>
      </c>
      <c r="D127" s="11" t="n">
        <v>0.6308</v>
      </c>
    </row>
    <row r="128">
      <c r="A128" s="3" t="inlineStr">
        <is>
          <t>2020Q2</t>
        </is>
      </c>
      <c r="B128" s="11" t="n">
        <v>1.598</v>
      </c>
      <c r="C128" s="11" t="n">
        <v>0.2243</v>
      </c>
      <c r="D128" s="11" t="n">
        <v>1.3707</v>
      </c>
    </row>
    <row r="129">
      <c r="A129" s="3" t="inlineStr">
        <is>
          <t>2020Q3</t>
        </is>
      </c>
      <c r="B129" s="11" t="n">
        <v>1.4119</v>
      </c>
      <c r="C129" s="11" t="n">
        <v>-0.0368</v>
      </c>
      <c r="D129" s="11" t="n">
        <v>1.4492</v>
      </c>
    </row>
    <row r="130">
      <c r="A130" s="3" t="inlineStr">
        <is>
          <t>2020Q4</t>
        </is>
      </c>
      <c r="B130" s="11" t="n">
        <v>1.3345</v>
      </c>
      <c r="C130" s="11" t="n">
        <v>-0.273</v>
      </c>
      <c r="D130" s="11" t="n">
        <v>1.6119</v>
      </c>
    </row>
    <row r="131">
      <c r="A131" s="3" t="inlineStr">
        <is>
          <t>2021Q1</t>
        </is>
      </c>
      <c r="B131" s="11" t="n">
        <v>1.1285</v>
      </c>
      <c r="C131" s="11" t="n">
        <v>1.0577</v>
      </c>
      <c r="D131" s="11" t="n">
        <v>0.0701</v>
      </c>
    </row>
    <row r="132">
      <c r="A132" s="3" t="inlineStr">
        <is>
          <t>2021Q2</t>
        </is>
      </c>
      <c r="B132" s="11" t="n">
        <v>1.1634</v>
      </c>
      <c r="C132" s="11" t="n">
        <v>1.8308</v>
      </c>
      <c r="D132" s="11" t="n">
        <v>-0.6555</v>
      </c>
    </row>
    <row r="133">
      <c r="A133" s="3" t="inlineStr">
        <is>
          <t>2021Q3</t>
        </is>
      </c>
      <c r="B133" s="11" t="n">
        <v>1.1269</v>
      </c>
      <c r="C133" s="11" t="n">
        <v>2.8311</v>
      </c>
      <c r="D133" s="11" t="n">
        <v>-1.6573</v>
      </c>
    </row>
    <row r="134">
      <c r="A134" s="3" t="inlineStr">
        <is>
          <t>2021Q4</t>
        </is>
      </c>
      <c r="B134" s="11" t="n">
        <v>1.3328</v>
      </c>
      <c r="C134" s="11" t="n">
        <v>4.6253</v>
      </c>
      <c r="D134" s="11" t="n">
        <v>-3.147</v>
      </c>
    </row>
    <row r="135">
      <c r="A135" s="3" t="inlineStr">
        <is>
          <t>2022Q1</t>
        </is>
      </c>
      <c r="B135" s="11" t="n">
        <v>1.8856</v>
      </c>
      <c r="C135" s="11" t="n">
        <v>6.1499</v>
      </c>
      <c r="D135" s="11" t="n">
        <v>-4.0172</v>
      </c>
    </row>
    <row r="136">
      <c r="A136" s="3" t="inlineStr">
        <is>
          <t>2022Q2</t>
        </is>
      </c>
      <c r="B136" s="11" t="n">
        <v>2.6129</v>
      </c>
      <c r="C136" s="11" t="n">
        <v>8.050700000000001</v>
      </c>
      <c r="D136" s="11" t="n">
        <v>-5.0326</v>
      </c>
    </row>
    <row r="137">
      <c r="A137" s="3" t="inlineStr">
        <is>
          <t>2022Q3</t>
        </is>
      </c>
      <c r="B137" s="11" t="n">
        <v>2.9208</v>
      </c>
      <c r="C137" s="11" t="n">
        <v>9.308299999999999</v>
      </c>
      <c r="D137" s="11" t="n">
        <v>-5.8435</v>
      </c>
    </row>
    <row r="138">
      <c r="A138" s="3" t="inlineStr">
        <is>
          <t>2022Q4</t>
        </is>
      </c>
      <c r="B138" s="11" t="n">
        <v>3.2417</v>
      </c>
      <c r="C138" s="11" t="n">
        <v>9.954700000000001</v>
      </c>
      <c r="D138" s="11" t="n">
        <v>-6.1053</v>
      </c>
    </row>
    <row r="139">
      <c r="A139" s="3" t="inlineStr">
        <is>
          <t>2023Q1</t>
        </is>
      </c>
      <c r="B139" s="11" t="n">
        <v>3.8944</v>
      </c>
      <c r="C139" s="11" t="n">
        <v>7.9986</v>
      </c>
      <c r="D139" s="11" t="n">
        <v>-3.8002</v>
      </c>
    </row>
    <row r="140">
      <c r="A140" s="3" t="inlineStr">
        <is>
          <t>2023Q2</t>
        </is>
      </c>
      <c r="B140" s="11" t="n">
        <v>3.8361</v>
      </c>
      <c r="C140" s="11" t="n">
        <v>6.1862</v>
      </c>
      <c r="D140" s="11" t="n">
        <v>-2.2132</v>
      </c>
    </row>
    <row r="141">
      <c r="A141" s="3" t="inlineStr">
        <is>
          <t>2023Q3</t>
        </is>
      </c>
      <c r="B141" s="11" t="n">
        <v>4.111</v>
      </c>
      <c r="C141" s="11" t="n">
        <v>4.9575</v>
      </c>
      <c r="D141" s="11" t="n">
        <v>-0.8065</v>
      </c>
    </row>
    <row r="142">
      <c r="A142" s="3" t="inlineStr">
        <is>
          <t>2023Q4</t>
        </is>
      </c>
      <c r="B142" s="11" t="n">
        <v>3.9</v>
      </c>
      <c r="C142" s="11" t="n">
        <v>2.742</v>
      </c>
      <c r="D142" s="11" t="n">
        <v>1.1272</v>
      </c>
    </row>
    <row r="143">
      <c r="A143" s="3" t="inlineStr">
        <is>
          <t>2024Q1</t>
        </is>
      </c>
      <c r="B143" s="11" t="n">
        <v>3.7127</v>
      </c>
      <c r="C143" s="11" t="n">
        <v>2.5938</v>
      </c>
      <c r="D143" s="11" t="n">
        <v>1.0906</v>
      </c>
    </row>
    <row r="144">
      <c r="A144" s="3" t="inlineStr">
        <is>
          <t>2024Q2</t>
        </is>
      </c>
      <c r="B144" s="11" t="n">
        <v>3.8498</v>
      </c>
      <c r="C144" s="11" t="n">
        <v>2.4828</v>
      </c>
      <c r="D144" s="11" t="n">
        <v>1.3338</v>
      </c>
    </row>
    <row r="145">
      <c r="A145" s="3" t="inlineStr">
        <is>
          <t>2024Q3</t>
        </is>
      </c>
      <c r="B145" s="11" t="n">
        <v>4.3956</v>
      </c>
      <c r="C145" s="11" t="n">
        <v>2.1677</v>
      </c>
      <c r="D145" s="11" t="n">
        <v>2.1806</v>
      </c>
    </row>
    <row r="146">
      <c r="A146" s="3" t="inlineStr">
        <is>
          <t>2024Q4</t>
        </is>
      </c>
      <c r="B146" s="11" t="n">
        <v>4.6275</v>
      </c>
      <c r="C146" s="11" t="n">
        <v>2.2263</v>
      </c>
      <c r="D146" s="11" t="n">
        <v>2.3489</v>
      </c>
    </row>
    <row r="147">
      <c r="A147" s="3" t="inlineStr">
        <is>
          <t>2025Q1</t>
        </is>
      </c>
      <c r="B147" s="11" t="n">
        <v>4.5035</v>
      </c>
      <c r="C147" s="11" t="n">
        <v>2.3385</v>
      </c>
      <c r="D147" s="11" t="n">
        <v>2.1155</v>
      </c>
    </row>
    <row r="148">
      <c r="A148" s="3" t="inlineStr">
        <is>
          <t>2025Q2</t>
        </is>
      </c>
      <c r="B148" s="11" t="n">
        <v>4.4122</v>
      </c>
      <c r="C148" s="11" t="n">
        <v>2.015</v>
      </c>
      <c r="D148" s="11" t="n">
        <v>2.3499</v>
      </c>
    </row>
    <row r="149">
      <c r="A149" s="3" t="inlineStr">
        <is>
          <t>2025Q3</t>
        </is>
      </c>
      <c r="B149" s="11" t="n">
        <v>3.5189</v>
      </c>
      <c r="C149" s="11" t="n">
        <v>2.1014</v>
      </c>
      <c r="D149" s="11" t="n">
        <v>1.3883</v>
      </c>
    </row>
    <row r="150">
      <c r="A150" s="3" t="inlineStr">
        <is>
          <t>2025Q4</t>
        </is>
      </c>
      <c r="B150" s="11" t="n">
        <v>3.1093</v>
      </c>
      <c r="C150" s="11" t="n">
        <v>2.0662</v>
      </c>
      <c r="D150" s="11" t="n">
        <v>1.0219</v>
      </c>
    </row>
    <row r="151">
      <c r="A151" s="3" t="inlineStr">
        <is>
          <t>2026Q1</t>
        </is>
      </c>
      <c r="B151" s="11" t="n">
        <v>2.6601</v>
      </c>
      <c r="C151" s="11" t="n">
        <v>2.0424</v>
      </c>
      <c r="D151" s="11" t="n">
        <v>0.6054</v>
      </c>
    </row>
    <row r="152">
      <c r="A152" s="3" t="inlineStr">
        <is>
          <t>2026Q2</t>
        </is>
      </c>
      <c r="B152" s="11" t="n">
        <v>2.4335</v>
      </c>
      <c r="C152" s="11" t="n">
        <v>2.9844</v>
      </c>
      <c r="D152" s="11" t="n">
        <v>-0.535</v>
      </c>
    </row>
    <row r="153">
      <c r="A153" s="3" t="inlineStr">
        <is>
          <t>2026Q3</t>
        </is>
      </c>
      <c r="B153" s="11" t="n">
        <v>2.523</v>
      </c>
      <c r="C153" s="11" t="n">
        <v>3.3196</v>
      </c>
      <c r="D153" s="11" t="n">
        <v>-0.771</v>
      </c>
    </row>
    <row r="156">
      <c r="A156" s="13" t="inlineStr">
        <is>
          <t>Area euro - compensation_per_employee (Eurostat namq_10_a10 D1 / namq_10_a10_e SAL_DC), variazioni annue %</t>
        </is>
      </c>
    </row>
    <row r="157">
      <c r="A157" s="5" t="inlineStr">
        <is>
          <t>Periodo</t>
        </is>
      </c>
      <c r="B157" s="5" t="inlineStr">
        <is>
          <t>salari_nominali</t>
        </is>
      </c>
      <c r="C157" s="5" t="inlineStr">
        <is>
          <t>prezzi</t>
        </is>
      </c>
      <c r="D157" s="5" t="inlineStr">
        <is>
          <t>salari_reali</t>
        </is>
      </c>
    </row>
    <row r="158">
      <c r="A158" s="3" t="inlineStr">
        <is>
          <t>2001Q1</t>
        </is>
      </c>
      <c r="B158" s="11" t="n">
        <v>2.5342</v>
      </c>
      <c r="C158" s="11" t="n">
        <v>2.0557</v>
      </c>
      <c r="D158" s="11" t="n">
        <v>0.4688</v>
      </c>
    </row>
    <row r="159">
      <c r="A159" s="3" t="inlineStr">
        <is>
          <t>2001Q2</t>
        </is>
      </c>
      <c r="B159" s="11" t="n">
        <v>2.7777</v>
      </c>
      <c r="C159" s="11" t="n">
        <v>2.8924</v>
      </c>
      <c r="D159" s="11" t="n">
        <v>-0.1115</v>
      </c>
    </row>
    <row r="160">
      <c r="A160" s="3" t="inlineStr">
        <is>
          <t>2001Q3</t>
        </is>
      </c>
      <c r="B160" s="11" t="n">
        <v>2.5676</v>
      </c>
      <c r="C160" s="11" t="n">
        <v>2.3291</v>
      </c>
      <c r="D160" s="11" t="n">
        <v>0.2331</v>
      </c>
    </row>
    <row r="161">
      <c r="A161" s="3" t="inlineStr">
        <is>
          <t>2001Q4</t>
        </is>
      </c>
      <c r="B161" s="11" t="n">
        <v>2.6837</v>
      </c>
      <c r="C161" s="11" t="n">
        <v>2.0865</v>
      </c>
      <c r="D161" s="11" t="n">
        <v>0.585</v>
      </c>
    </row>
    <row r="162">
      <c r="A162" s="3" t="inlineStr">
        <is>
          <t>2002Q1</t>
        </is>
      </c>
      <c r="B162" s="11" t="n">
        <v>2.7044</v>
      </c>
      <c r="C162" s="11" t="n">
        <v>2.5388</v>
      </c>
      <c r="D162" s="11" t="n">
        <v>0.1615</v>
      </c>
    </row>
    <row r="163">
      <c r="A163" s="3" t="inlineStr">
        <is>
          <t>2002Q2</t>
        </is>
      </c>
      <c r="B163" s="11" t="n">
        <v>2.6036</v>
      </c>
      <c r="C163" s="11" t="n">
        <v>2.0959</v>
      </c>
      <c r="D163" s="11" t="n">
        <v>0.4973</v>
      </c>
    </row>
    <row r="164">
      <c r="A164" s="3" t="inlineStr">
        <is>
          <t>2002Q3</t>
        </is>
      </c>
      <c r="B164" s="11" t="n">
        <v>2.675</v>
      </c>
      <c r="C164" s="11" t="n">
        <v>2.0892</v>
      </c>
      <c r="D164" s="11" t="n">
        <v>0.5739</v>
      </c>
    </row>
    <row r="165">
      <c r="A165" s="3" t="inlineStr">
        <is>
          <t>2002Q4</t>
        </is>
      </c>
      <c r="B165" s="11" t="n">
        <v>2.5411</v>
      </c>
      <c r="C165" s="11" t="n">
        <v>2.2904</v>
      </c>
      <c r="D165" s="11" t="n">
        <v>0.2451</v>
      </c>
    </row>
    <row r="166">
      <c r="A166" s="3" t="inlineStr">
        <is>
          <t>2003Q1</t>
        </is>
      </c>
      <c r="B166" s="11" t="n">
        <v>2.3527</v>
      </c>
      <c r="C166" s="11" t="n">
        <v>2.2855</v>
      </c>
      <c r="D166" s="11" t="n">
        <v>0.06569999999999999</v>
      </c>
    </row>
    <row r="167">
      <c r="A167" s="3" t="inlineStr">
        <is>
          <t>2003Q2</t>
        </is>
      </c>
      <c r="B167" s="11" t="n">
        <v>2.3017</v>
      </c>
      <c r="C167" s="11" t="n">
        <v>1.9505</v>
      </c>
      <c r="D167" s="11" t="n">
        <v>0.3444</v>
      </c>
    </row>
    <row r="168">
      <c r="A168" s="3" t="inlineStr">
        <is>
          <t>2003Q3</t>
        </is>
      </c>
      <c r="B168" s="11" t="n">
        <v>2.7971</v>
      </c>
      <c r="C168" s="11" t="n">
        <v>2.0249</v>
      </c>
      <c r="D168" s="11" t="n">
        <v>0.7569</v>
      </c>
    </row>
    <row r="169">
      <c r="A169" s="3" t="inlineStr">
        <is>
          <t>2003Q4</t>
        </is>
      </c>
      <c r="B169" s="11" t="n">
        <v>2.2332</v>
      </c>
      <c r="C169" s="11" t="n">
        <v>2.057</v>
      </c>
      <c r="D169" s="11" t="n">
        <v>0.1727</v>
      </c>
    </row>
    <row r="170">
      <c r="A170" s="3" t="inlineStr">
        <is>
          <t>2004Q1</t>
        </is>
      </c>
      <c r="B170" s="11" t="n">
        <v>2.5837</v>
      </c>
      <c r="C170" s="11" t="n">
        <v>1.7077</v>
      </c>
      <c r="D170" s="11" t="n">
        <v>0.8613</v>
      </c>
    </row>
    <row r="171">
      <c r="A171" s="3" t="inlineStr">
        <is>
          <t>2004Q2</t>
        </is>
      </c>
      <c r="B171" s="11" t="n">
        <v>2.6174</v>
      </c>
      <c r="C171" s="11" t="n">
        <v>2.2937</v>
      </c>
      <c r="D171" s="11" t="n">
        <v>0.3164</v>
      </c>
    </row>
    <row r="172">
      <c r="A172" s="3" t="inlineStr">
        <is>
          <t>2004Q3</t>
        </is>
      </c>
      <c r="B172" s="11" t="n">
        <v>1.7346</v>
      </c>
      <c r="C172" s="11" t="n">
        <v>2.2644</v>
      </c>
      <c r="D172" s="11" t="n">
        <v>-0.5181</v>
      </c>
    </row>
    <row r="173">
      <c r="A173" s="3" t="inlineStr">
        <is>
          <t>2004Q4</t>
        </is>
      </c>
      <c r="B173" s="11" t="n">
        <v>2.1431</v>
      </c>
      <c r="C173" s="11" t="n">
        <v>2.3147</v>
      </c>
      <c r="D173" s="11" t="n">
        <v>-0.1677</v>
      </c>
    </row>
    <row r="174">
      <c r="A174" s="3" t="inlineStr">
        <is>
          <t>2005Q1</t>
        </is>
      </c>
      <c r="B174" s="11" t="n">
        <v>1.8523</v>
      </c>
      <c r="C174" s="11" t="n">
        <v>2.0452</v>
      </c>
      <c r="D174" s="11" t="n">
        <v>-0.189</v>
      </c>
    </row>
    <row r="175">
      <c r="A175" s="3" t="inlineStr">
        <is>
          <t>2005Q2</t>
        </is>
      </c>
      <c r="B175" s="11" t="n">
        <v>1.8416</v>
      </c>
      <c r="C175" s="11" t="n">
        <v>2.0305</v>
      </c>
      <c r="D175" s="11" t="n">
        <v>-0.1852</v>
      </c>
    </row>
    <row r="176">
      <c r="A176" s="3" t="inlineStr">
        <is>
          <t>2005Q3</t>
        </is>
      </c>
      <c r="B176" s="11" t="n">
        <v>2.0606</v>
      </c>
      <c r="C176" s="11" t="n">
        <v>2.3072</v>
      </c>
      <c r="D176" s="11" t="n">
        <v>-0.2411</v>
      </c>
    </row>
    <row r="177">
      <c r="A177" s="3" t="inlineStr">
        <is>
          <t>2005Q4</t>
        </is>
      </c>
      <c r="B177" s="11" t="n">
        <v>2.5012</v>
      </c>
      <c r="C177" s="11" t="n">
        <v>2.329</v>
      </c>
      <c r="D177" s="11" t="n">
        <v>0.1682</v>
      </c>
    </row>
    <row r="178">
      <c r="A178" s="3" t="inlineStr">
        <is>
          <t>2006Q1</t>
        </is>
      </c>
      <c r="B178" s="11" t="n">
        <v>2.3711</v>
      </c>
      <c r="C178" s="11" t="n">
        <v>2.3271</v>
      </c>
      <c r="D178" s="11" t="n">
        <v>0.0429</v>
      </c>
    </row>
    <row r="179">
      <c r="A179" s="3" t="inlineStr">
        <is>
          <t>2006Q2</t>
        </is>
      </c>
      <c r="B179" s="11" t="n">
        <v>2.5099</v>
      </c>
      <c r="C179" s="11" t="n">
        <v>2.461</v>
      </c>
      <c r="D179" s="11" t="n">
        <v>0.0477</v>
      </c>
    </row>
    <row r="180">
      <c r="A180" s="3" t="inlineStr">
        <is>
          <t>2006Q3</t>
        </is>
      </c>
      <c r="B180" s="11" t="n">
        <v>2.5078</v>
      </c>
      <c r="C180" s="11" t="n">
        <v>2.1644</v>
      </c>
      <c r="D180" s="11" t="n">
        <v>0.3361</v>
      </c>
    </row>
    <row r="181">
      <c r="A181" s="3" t="inlineStr">
        <is>
          <t>2006Q4</t>
        </is>
      </c>
      <c r="B181" s="11" t="n">
        <v>2.273</v>
      </c>
      <c r="C181" s="11" t="n">
        <v>1.7847</v>
      </c>
      <c r="D181" s="11" t="n">
        <v>0.4797</v>
      </c>
    </row>
    <row r="182">
      <c r="A182" s="3" t="inlineStr">
        <is>
          <t>2007Q1</t>
        </is>
      </c>
      <c r="B182" s="11" t="n">
        <v>2.4653</v>
      </c>
      <c r="C182" s="11" t="n">
        <v>1.8785</v>
      </c>
      <c r="D182" s="11" t="n">
        <v>0.576</v>
      </c>
    </row>
    <row r="183">
      <c r="A183" s="3" t="inlineStr">
        <is>
          <t>2007Q2</t>
        </is>
      </c>
      <c r="B183" s="11" t="n">
        <v>2.3623</v>
      </c>
      <c r="C183" s="11" t="n">
        <v>1.8879</v>
      </c>
      <c r="D183" s="11" t="n">
        <v>0.4656</v>
      </c>
    </row>
    <row r="184">
      <c r="A184" s="3" t="inlineStr">
        <is>
          <t>2007Q3</t>
        </is>
      </c>
      <c r="B184" s="11" t="n">
        <v>2.4474</v>
      </c>
      <c r="C184" s="11" t="n">
        <v>1.8765</v>
      </c>
      <c r="D184" s="11" t="n">
        <v>0.5603</v>
      </c>
    </row>
    <row r="185">
      <c r="A185" s="3" t="inlineStr">
        <is>
          <t>2007Q4</t>
        </is>
      </c>
      <c r="B185" s="11" t="n">
        <v>2.8095</v>
      </c>
      <c r="C185" s="11" t="n">
        <v>2.8863</v>
      </c>
      <c r="D185" s="11" t="n">
        <v>-0.0746</v>
      </c>
    </row>
    <row r="186">
      <c r="A186" s="3" t="inlineStr">
        <is>
          <t>2008Q1</t>
        </is>
      </c>
      <c r="B186" s="11" t="n">
        <v>3.4742</v>
      </c>
      <c r="C186" s="11" t="n">
        <v>3.3484</v>
      </c>
      <c r="D186" s="11" t="n">
        <v>0.1217</v>
      </c>
    </row>
    <row r="187">
      <c r="A187" s="3" t="inlineStr">
        <is>
          <t>2008Q2</t>
        </is>
      </c>
      <c r="B187" s="11" t="n">
        <v>3.4243</v>
      </c>
      <c r="C187" s="11" t="n">
        <v>3.6282</v>
      </c>
      <c r="D187" s="11" t="n">
        <v>-0.1968</v>
      </c>
    </row>
    <row r="188">
      <c r="A188" s="3" t="inlineStr">
        <is>
          <t>2008Q3</t>
        </is>
      </c>
      <c r="B188" s="11" t="n">
        <v>3.7974</v>
      </c>
      <c r="C188" s="11" t="n">
        <v>3.8488</v>
      </c>
      <c r="D188" s="11" t="n">
        <v>-0.0495</v>
      </c>
    </row>
    <row r="189">
      <c r="A189" s="3" t="inlineStr">
        <is>
          <t>2008Q4</t>
        </is>
      </c>
      <c r="B189" s="11" t="n">
        <v>3.0369</v>
      </c>
      <c r="C189" s="11" t="n">
        <v>2.2883</v>
      </c>
      <c r="D189" s="11" t="n">
        <v>0.7318</v>
      </c>
    </row>
    <row r="190">
      <c r="A190" s="3" t="inlineStr">
        <is>
          <t>2009Q1</t>
        </is>
      </c>
      <c r="B190" s="11" t="n">
        <v>1.7661</v>
      </c>
      <c r="C190" s="11" t="n">
        <v>0.9563</v>
      </c>
      <c r="D190" s="11" t="n">
        <v>0.8021</v>
      </c>
    </row>
    <row r="191">
      <c r="A191" s="3" t="inlineStr">
        <is>
          <t>2009Q2</t>
        </is>
      </c>
      <c r="B191" s="11" t="n">
        <v>1.6746</v>
      </c>
      <c r="C191" s="11" t="n">
        <v>0.1685</v>
      </c>
      <c r="D191" s="11" t="n">
        <v>1.5036</v>
      </c>
    </row>
    <row r="192">
      <c r="A192" s="3" t="inlineStr">
        <is>
          <t>2009Q3</t>
        </is>
      </c>
      <c r="B192" s="11" t="n">
        <v>1.3643</v>
      </c>
      <c r="C192" s="11" t="n">
        <v>-0.3874</v>
      </c>
      <c r="D192" s="11" t="n">
        <v>1.7585</v>
      </c>
    </row>
    <row r="193">
      <c r="A193" s="3" t="inlineStr">
        <is>
          <t>2009Q4</t>
        </is>
      </c>
      <c r="B193" s="11" t="n">
        <v>1.7215</v>
      </c>
      <c r="C193" s="11" t="n">
        <v>0.4306</v>
      </c>
      <c r="D193" s="11" t="n">
        <v>1.2854</v>
      </c>
    </row>
    <row r="194">
      <c r="A194" s="3" t="inlineStr">
        <is>
          <t>2010Q1</t>
        </is>
      </c>
      <c r="B194" s="11" t="n">
        <v>2.1658</v>
      </c>
      <c r="C194" s="11" t="n">
        <v>1.1263</v>
      </c>
      <c r="D194" s="11" t="n">
        <v>1.0279</v>
      </c>
    </row>
    <row r="195">
      <c r="A195" s="3" t="inlineStr">
        <is>
          <t>2010Q2</t>
        </is>
      </c>
      <c r="B195" s="11" t="n">
        <v>2.4851</v>
      </c>
      <c r="C195" s="11" t="n">
        <v>1.6121</v>
      </c>
      <c r="D195" s="11" t="n">
        <v>0.8591</v>
      </c>
    </row>
    <row r="196">
      <c r="A196" s="3" t="inlineStr">
        <is>
          <t>2010Q3</t>
        </is>
      </c>
      <c r="B196" s="11" t="n">
        <v>2.1315</v>
      </c>
      <c r="C196" s="11" t="n">
        <v>1.7291</v>
      </c>
      <c r="D196" s="11" t="n">
        <v>0.3956</v>
      </c>
    </row>
    <row r="197">
      <c r="A197" s="3" t="inlineStr">
        <is>
          <t>2010Q4</t>
        </is>
      </c>
      <c r="B197" s="11" t="n">
        <v>1.912</v>
      </c>
      <c r="C197" s="11" t="n">
        <v>2.0178</v>
      </c>
      <c r="D197" s="11" t="n">
        <v>-0.1037</v>
      </c>
    </row>
    <row r="198">
      <c r="A198" s="3" t="inlineStr">
        <is>
          <t>2011Q1</t>
        </is>
      </c>
      <c r="B198" s="11" t="n">
        <v>2.4118</v>
      </c>
      <c r="C198" s="11" t="n">
        <v>2.4698</v>
      </c>
      <c r="D198" s="11" t="n">
        <v>-0.0567</v>
      </c>
    </row>
    <row r="199">
      <c r="A199" s="3" t="inlineStr">
        <is>
          <t>2011Q2</t>
        </is>
      </c>
      <c r="B199" s="11" t="n">
        <v>2.1401</v>
      </c>
      <c r="C199" s="11" t="n">
        <v>2.7455</v>
      </c>
      <c r="D199" s="11" t="n">
        <v>-0.5891999999999999</v>
      </c>
    </row>
    <row r="200">
      <c r="A200" s="3" t="inlineStr">
        <is>
          <t>2011Q3</t>
        </is>
      </c>
      <c r="B200" s="11" t="n">
        <v>2.0372</v>
      </c>
      <c r="C200" s="11" t="n">
        <v>2.6946</v>
      </c>
      <c r="D200" s="11" t="n">
        <v>-0.6401</v>
      </c>
    </row>
    <row r="201">
      <c r="A201" s="3" t="inlineStr">
        <is>
          <t>2011Q4</t>
        </is>
      </c>
      <c r="B201" s="11" t="n">
        <v>2.1044</v>
      </c>
      <c r="C201" s="11" t="n">
        <v>2.9371</v>
      </c>
      <c r="D201" s="11" t="n">
        <v>-0.8090000000000001</v>
      </c>
    </row>
    <row r="202">
      <c r="A202" s="3" t="inlineStr">
        <is>
          <t>2012Q1</t>
        </is>
      </c>
      <c r="B202" s="11" t="n">
        <v>1.71</v>
      </c>
      <c r="C202" s="11" t="n">
        <v>2.6877</v>
      </c>
      <c r="D202" s="11" t="n">
        <v>-0.9520999999999999</v>
      </c>
    </row>
    <row r="203">
      <c r="A203" s="3" t="inlineStr">
        <is>
          <t>2012Q2</t>
        </is>
      </c>
      <c r="B203" s="11" t="n">
        <v>1.5556</v>
      </c>
      <c r="C203" s="11" t="n">
        <v>2.4573</v>
      </c>
      <c r="D203" s="11" t="n">
        <v>-0.88</v>
      </c>
    </row>
    <row r="204">
      <c r="A204" s="3" t="inlineStr">
        <is>
          <t>2012Q3</t>
        </is>
      </c>
      <c r="B204" s="11" t="n">
        <v>1.6014</v>
      </c>
      <c r="C204" s="11" t="n">
        <v>2.5432</v>
      </c>
      <c r="D204" s="11" t="n">
        <v>-0.9184</v>
      </c>
    </row>
    <row r="205">
      <c r="A205" s="3" t="inlineStr">
        <is>
          <t>2012Q4</t>
        </is>
      </c>
      <c r="B205" s="11" t="n">
        <v>1.3403</v>
      </c>
      <c r="C205" s="11" t="n">
        <v>2.3031</v>
      </c>
      <c r="D205" s="11" t="n">
        <v>-0.9411</v>
      </c>
    </row>
    <row r="206">
      <c r="A206" s="3" t="inlineStr">
        <is>
          <t>2013Q1</t>
        </is>
      </c>
      <c r="B206" s="11" t="n">
        <v>1.4563</v>
      </c>
      <c r="C206" s="11" t="n">
        <v>1.8601</v>
      </c>
      <c r="D206" s="11" t="n">
        <v>-0.3963</v>
      </c>
    </row>
    <row r="207">
      <c r="A207" s="3" t="inlineStr">
        <is>
          <t>2013Q2</t>
        </is>
      </c>
      <c r="B207" s="11" t="n">
        <v>1.516</v>
      </c>
      <c r="C207" s="11" t="n">
        <v>1.4023</v>
      </c>
      <c r="D207" s="11" t="n">
        <v>0.1121</v>
      </c>
    </row>
    <row r="208">
      <c r="A208" s="3" t="inlineStr">
        <is>
          <t>2013Q3</t>
        </is>
      </c>
      <c r="B208" s="11" t="n">
        <v>1.6522</v>
      </c>
      <c r="C208" s="11" t="n">
        <v>1.3428</v>
      </c>
      <c r="D208" s="11" t="n">
        <v>0.3052</v>
      </c>
    </row>
    <row r="209">
      <c r="A209" s="3" t="inlineStr">
        <is>
          <t>2013Q4</t>
        </is>
      </c>
      <c r="B209" s="11" t="n">
        <v>1.6082</v>
      </c>
      <c r="C209" s="11" t="n">
        <v>0.8111</v>
      </c>
      <c r="D209" s="11" t="n">
        <v>0.7907</v>
      </c>
    </row>
    <row r="210">
      <c r="A210" s="3" t="inlineStr">
        <is>
          <t>2014Q1</t>
        </is>
      </c>
      <c r="B210" s="11" t="n">
        <v>1.5111</v>
      </c>
      <c r="C210" s="11" t="n">
        <v>0.6435</v>
      </c>
      <c r="D210" s="11" t="n">
        <v>0.8621</v>
      </c>
    </row>
    <row r="211">
      <c r="A211" s="3" t="inlineStr">
        <is>
          <t>2014Q2</t>
        </is>
      </c>
      <c r="B211" s="11" t="n">
        <v>1.2766</v>
      </c>
      <c r="C211" s="11" t="n">
        <v>0.5687</v>
      </c>
      <c r="D211" s="11" t="n">
        <v>0.7039</v>
      </c>
    </row>
    <row r="212">
      <c r="A212" s="3" t="inlineStr">
        <is>
          <t>2014Q3</t>
        </is>
      </c>
      <c r="B212" s="11" t="n">
        <v>1.177</v>
      </c>
      <c r="C212" s="11" t="n">
        <v>0.3539</v>
      </c>
      <c r="D212" s="11" t="n">
        <v>0.8202</v>
      </c>
    </row>
    <row r="213">
      <c r="A213" s="3" t="inlineStr">
        <is>
          <t>2014Q4</t>
        </is>
      </c>
      <c r="B213" s="11" t="n">
        <v>1.4471</v>
      </c>
      <c r="C213" s="11" t="n">
        <v>0.1678</v>
      </c>
      <c r="D213" s="11" t="n">
        <v>1.2772</v>
      </c>
    </row>
    <row r="214">
      <c r="A214" s="3" t="inlineStr">
        <is>
          <t>2015Q1</t>
        </is>
      </c>
      <c r="B214" s="11" t="n">
        <v>1.3824</v>
      </c>
      <c r="C214" s="11" t="n">
        <v>-0.3154</v>
      </c>
      <c r="D214" s="11" t="n">
        <v>1.7031</v>
      </c>
    </row>
    <row r="215">
      <c r="A215" s="3" t="inlineStr">
        <is>
          <t>2015Q2</t>
        </is>
      </c>
      <c r="B215" s="11" t="n">
        <v>1.68</v>
      </c>
      <c r="C215" s="11" t="n">
        <v>0.4327</v>
      </c>
      <c r="D215" s="11" t="n">
        <v>1.242</v>
      </c>
    </row>
    <row r="216">
      <c r="A216" s="3" t="inlineStr">
        <is>
          <t>2015Q3</t>
        </is>
      </c>
      <c r="B216" s="11" t="n">
        <v>1.5145</v>
      </c>
      <c r="C216" s="11" t="n">
        <v>0.4</v>
      </c>
      <c r="D216" s="11" t="n">
        <v>1.1101</v>
      </c>
    </row>
    <row r="217">
      <c r="A217" s="3" t="inlineStr">
        <is>
          <t>2015Q4</t>
        </is>
      </c>
      <c r="B217" s="11" t="n">
        <v>1.4535</v>
      </c>
      <c r="C217" s="11" t="n">
        <v>0.2534</v>
      </c>
      <c r="D217" s="11" t="n">
        <v>1.197</v>
      </c>
    </row>
    <row r="218">
      <c r="A218" s="3" t="inlineStr">
        <is>
          <t>2016Q1</t>
        </is>
      </c>
      <c r="B218" s="11" t="n">
        <v>1.4003</v>
      </c>
      <c r="C218" s="11" t="n">
        <v>0.052</v>
      </c>
      <c r="D218" s="11" t="n">
        <v>1.3476</v>
      </c>
    </row>
    <row r="219">
      <c r="A219" s="3" t="inlineStr">
        <is>
          <t>2016Q2</t>
        </is>
      </c>
      <c r="B219" s="11" t="n">
        <v>1.0163</v>
      </c>
      <c r="C219" s="11" t="n">
        <v>-0.1066</v>
      </c>
      <c r="D219" s="11" t="n">
        <v>1.1242</v>
      </c>
    </row>
    <row r="220">
      <c r="A220" s="3" t="inlineStr">
        <is>
          <t>2016Q3</t>
        </is>
      </c>
      <c r="B220" s="11" t="n">
        <v>1.2983</v>
      </c>
      <c r="C220" s="11" t="n">
        <v>0.2613</v>
      </c>
      <c r="D220" s="11" t="n">
        <v>1.0343</v>
      </c>
    </row>
    <row r="221">
      <c r="A221" s="3" t="inlineStr">
        <is>
          <t>2016Q4</t>
        </is>
      </c>
      <c r="B221" s="11" t="n">
        <v>1.4168</v>
      </c>
      <c r="C221" s="11" t="n">
        <v>0.7284</v>
      </c>
      <c r="D221" s="11" t="n">
        <v>0.6835</v>
      </c>
    </row>
    <row r="222">
      <c r="A222" s="3" t="inlineStr">
        <is>
          <t>2017Q1</t>
        </is>
      </c>
      <c r="B222" s="11" t="n">
        <v>1.5842</v>
      </c>
      <c r="C222" s="11" t="n">
        <v>1.7369</v>
      </c>
      <c r="D222" s="11" t="n">
        <v>-0.1501</v>
      </c>
    </row>
    <row r="223">
      <c r="A223" s="3" t="inlineStr">
        <is>
          <t>2017Q2</t>
        </is>
      </c>
      <c r="B223" s="11" t="n">
        <v>1.8771</v>
      </c>
      <c r="C223" s="11" t="n">
        <v>1.5243</v>
      </c>
      <c r="D223" s="11" t="n">
        <v>0.3475</v>
      </c>
    </row>
    <row r="224">
      <c r="A224" s="3" t="inlineStr">
        <is>
          <t>2017Q3</t>
        </is>
      </c>
      <c r="B224" s="11" t="n">
        <v>1.782</v>
      </c>
      <c r="C224" s="11" t="n">
        <v>1.4783</v>
      </c>
      <c r="D224" s="11" t="n">
        <v>0.2992</v>
      </c>
    </row>
    <row r="225">
      <c r="A225" s="3" t="inlineStr">
        <is>
          <t>2017Q4</t>
        </is>
      </c>
      <c r="B225" s="11" t="n">
        <v>2.0176</v>
      </c>
      <c r="C225" s="11" t="n">
        <v>1.4165</v>
      </c>
      <c r="D225" s="11" t="n">
        <v>0.5927</v>
      </c>
    </row>
    <row r="226">
      <c r="A226" s="3" t="inlineStr">
        <is>
          <t>2018Q1</t>
        </is>
      </c>
      <c r="B226" s="11" t="n">
        <v>1.8316</v>
      </c>
      <c r="C226" s="11" t="n">
        <v>1.2687</v>
      </c>
      <c r="D226" s="11" t="n">
        <v>0.5558</v>
      </c>
    </row>
    <row r="227">
      <c r="A227" s="3" t="inlineStr">
        <is>
          <t>2018Q2</t>
        </is>
      </c>
      <c r="B227" s="11" t="n">
        <v>2.0554</v>
      </c>
      <c r="C227" s="11" t="n">
        <v>1.7201</v>
      </c>
      <c r="D227" s="11" t="n">
        <v>0.3296</v>
      </c>
    </row>
    <row r="228">
      <c r="A228" s="3" t="inlineStr">
        <is>
          <t>2018Q3</t>
        </is>
      </c>
      <c r="B228" s="11" t="n">
        <v>2.501</v>
      </c>
      <c r="C228" s="11" t="n">
        <v>2.1178</v>
      </c>
      <c r="D228" s="11" t="n">
        <v>0.3753</v>
      </c>
    </row>
    <row r="229">
      <c r="A229" s="3" t="inlineStr">
        <is>
          <t>2018Q4</t>
        </is>
      </c>
      <c r="B229" s="11" t="n">
        <v>2.3085</v>
      </c>
      <c r="C229" s="11" t="n">
        <v>1.9084</v>
      </c>
      <c r="D229" s="11" t="n">
        <v>0.3926</v>
      </c>
    </row>
    <row r="230">
      <c r="A230" s="3" t="inlineStr">
        <is>
          <t>2019Q1</t>
        </is>
      </c>
      <c r="B230" s="11" t="n">
        <v>2.3449</v>
      </c>
      <c r="C230" s="11" t="n">
        <v>1.4294</v>
      </c>
      <c r="D230" s="11" t="n">
        <v>0.9026</v>
      </c>
    </row>
    <row r="231">
      <c r="A231" s="3" t="inlineStr">
        <is>
          <t>2019Q2</t>
        </is>
      </c>
      <c r="B231" s="11" t="n">
        <v>2.423</v>
      </c>
      <c r="C231" s="11" t="n">
        <v>1.3975</v>
      </c>
      <c r="D231" s="11" t="n">
        <v>1.0114</v>
      </c>
    </row>
    <row r="232">
      <c r="A232" s="3" t="inlineStr">
        <is>
          <t>2019Q3</t>
        </is>
      </c>
      <c r="B232" s="11" t="n">
        <v>2.2683</v>
      </c>
      <c r="C232" s="11" t="n">
        <v>0.9607</v>
      </c>
      <c r="D232" s="11" t="n">
        <v>1.2952</v>
      </c>
    </row>
    <row r="233">
      <c r="A233" s="3" t="inlineStr">
        <is>
          <t>2019Q4</t>
        </is>
      </c>
      <c r="B233" s="11" t="n">
        <v>1.9315</v>
      </c>
      <c r="C233" s="11" t="n">
        <v>1.0042</v>
      </c>
      <c r="D233" s="11" t="n">
        <v>0.918</v>
      </c>
    </row>
    <row r="234">
      <c r="A234" s="3" t="inlineStr">
        <is>
          <t>2020Q1</t>
        </is>
      </c>
      <c r="B234" s="11" t="n">
        <v>0.6941000000000001</v>
      </c>
      <c r="C234" s="11" t="n">
        <v>1.1067</v>
      </c>
      <c r="D234" s="11" t="n">
        <v>-0.4081</v>
      </c>
    </row>
    <row r="235">
      <c r="A235" s="3" t="inlineStr">
        <is>
          <t>2020Q2</t>
        </is>
      </c>
      <c r="B235" s="11" t="n">
        <v>-4.2086</v>
      </c>
      <c r="C235" s="11" t="n">
        <v>0.2243</v>
      </c>
      <c r="D235" s="11" t="n">
        <v>-4.423</v>
      </c>
    </row>
    <row r="236">
      <c r="A236" s="3" t="inlineStr">
        <is>
          <t>2020Q3</t>
        </is>
      </c>
      <c r="B236" s="11" t="n">
        <v>0.6882</v>
      </c>
      <c r="C236" s="11" t="n">
        <v>-0.0368</v>
      </c>
      <c r="D236" s="11" t="n">
        <v>0.7252</v>
      </c>
    </row>
    <row r="237">
      <c r="A237" s="3" t="inlineStr">
        <is>
          <t>2020Q4</t>
        </is>
      </c>
      <c r="B237" s="11" t="n">
        <v>1.08</v>
      </c>
      <c r="C237" s="11" t="n">
        <v>-0.273</v>
      </c>
      <c r="D237" s="11" t="n">
        <v>1.3568</v>
      </c>
    </row>
    <row r="238">
      <c r="A238" s="3" t="inlineStr">
        <is>
          <t>2021Q1</t>
        </is>
      </c>
      <c r="B238" s="11" t="n">
        <v>2.1787</v>
      </c>
      <c r="C238" s="11" t="n">
        <v>1.0577</v>
      </c>
      <c r="D238" s="11" t="n">
        <v>1.1093</v>
      </c>
    </row>
    <row r="239">
      <c r="A239" s="3" t="inlineStr">
        <is>
          <t>2021Q2</t>
        </is>
      </c>
      <c r="B239" s="11" t="n">
        <v>7.6503</v>
      </c>
      <c r="C239" s="11" t="n">
        <v>1.8308</v>
      </c>
      <c r="D239" s="11" t="n">
        <v>5.7148</v>
      </c>
    </row>
    <row r="240">
      <c r="A240" s="3" t="inlineStr">
        <is>
          <t>2021Q3</t>
        </is>
      </c>
      <c r="B240" s="11" t="n">
        <v>3.7318</v>
      </c>
      <c r="C240" s="11" t="n">
        <v>2.8311</v>
      </c>
      <c r="D240" s="11" t="n">
        <v>0.8759</v>
      </c>
    </row>
    <row r="241">
      <c r="A241" s="3" t="inlineStr">
        <is>
          <t>2021Q4</t>
        </is>
      </c>
      <c r="B241" s="11" t="n">
        <v>4.0342</v>
      </c>
      <c r="C241" s="11" t="n">
        <v>4.6253</v>
      </c>
      <c r="D241" s="11" t="n">
        <v>-0.5649999999999999</v>
      </c>
    </row>
    <row r="242">
      <c r="A242" s="3" t="inlineStr">
        <is>
          <t>2022Q1</t>
        </is>
      </c>
      <c r="B242" s="11" t="n">
        <v>4.7606</v>
      </c>
      <c r="C242" s="11" t="n">
        <v>6.1499</v>
      </c>
      <c r="D242" s="11" t="n">
        <v>-1.3088</v>
      </c>
    </row>
    <row r="243">
      <c r="A243" s="3" t="inlineStr">
        <is>
          <t>2022Q2</t>
        </is>
      </c>
      <c r="B243" s="11" t="n">
        <v>4.6075</v>
      </c>
      <c r="C243" s="11" t="n">
        <v>8.050700000000001</v>
      </c>
      <c r="D243" s="11" t="n">
        <v>-3.1866</v>
      </c>
    </row>
    <row r="244">
      <c r="A244" s="3" t="inlineStr">
        <is>
          <t>2022Q3</t>
        </is>
      </c>
      <c r="B244" s="11" t="n">
        <v>4.1966</v>
      </c>
      <c r="C244" s="11" t="n">
        <v>9.308299999999999</v>
      </c>
      <c r="D244" s="11" t="n">
        <v>-4.6765</v>
      </c>
    </row>
    <row r="245">
      <c r="A245" s="3" t="inlineStr">
        <is>
          <t>2022Q4</t>
        </is>
      </c>
      <c r="B245" s="11" t="n">
        <v>4.7484</v>
      </c>
      <c r="C245" s="11" t="n">
        <v>9.954700000000001</v>
      </c>
      <c r="D245" s="11" t="n">
        <v>-4.735</v>
      </c>
    </row>
    <row r="246">
      <c r="A246" s="3" t="inlineStr">
        <is>
          <t>2023Q1</t>
        </is>
      </c>
      <c r="B246" s="11" t="n">
        <v>5.3845</v>
      </c>
      <c r="C246" s="11" t="n">
        <v>7.9986</v>
      </c>
      <c r="D246" s="11" t="n">
        <v>-2.4205</v>
      </c>
    </row>
    <row r="247">
      <c r="A247" s="3" t="inlineStr">
        <is>
          <t>2023Q2</t>
        </is>
      </c>
      <c r="B247" s="11" t="n">
        <v>5.5723</v>
      </c>
      <c r="C247" s="11" t="n">
        <v>6.1862</v>
      </c>
      <c r="D247" s="11" t="n">
        <v>-0.5780999999999999</v>
      </c>
    </row>
    <row r="248">
      <c r="A248" s="3" t="inlineStr">
        <is>
          <t>2023Q3</t>
        </is>
      </c>
      <c r="B248" s="11" t="n">
        <v>5.1928</v>
      </c>
      <c r="C248" s="11" t="n">
        <v>4.9575</v>
      </c>
      <c r="D248" s="11" t="n">
        <v>0.2242</v>
      </c>
    </row>
    <row r="249">
      <c r="A249" s="3" t="inlineStr">
        <is>
          <t>2023Q4</t>
        </is>
      </c>
      <c r="B249" s="11" t="n">
        <v>5.1</v>
      </c>
      <c r="C249" s="11" t="n">
        <v>2.742</v>
      </c>
      <c r="D249" s="11" t="n">
        <v>2.2951</v>
      </c>
    </row>
    <row r="250">
      <c r="A250" s="3" t="inlineStr">
        <is>
          <t>2024Q1</t>
        </is>
      </c>
      <c r="B250" s="11" t="n">
        <v>4.7524</v>
      </c>
      <c r="C250" s="11" t="n">
        <v>2.5938</v>
      </c>
      <c r="D250" s="11" t="n">
        <v>2.104</v>
      </c>
    </row>
    <row r="251">
      <c r="A251" s="3" t="inlineStr">
        <is>
          <t>2024Q2</t>
        </is>
      </c>
      <c r="B251" s="11" t="n">
        <v>4.6872</v>
      </c>
      <c r="C251" s="11" t="n">
        <v>2.4828</v>
      </c>
      <c r="D251" s="11" t="n">
        <v>2.151</v>
      </c>
    </row>
    <row r="252">
      <c r="A252" s="3" t="inlineStr">
        <is>
          <t>2024Q3</t>
        </is>
      </c>
      <c r="B252" s="11" t="n">
        <v>4.3583</v>
      </c>
      <c r="C252" s="11" t="n">
        <v>2.1677</v>
      </c>
      <c r="D252" s="11" t="n">
        <v>2.1441</v>
      </c>
    </row>
    <row r="253">
      <c r="A253" s="3" t="inlineStr">
        <is>
          <t>2024Q4</t>
        </is>
      </c>
      <c r="B253" s="11" t="n">
        <v>4.1658</v>
      </c>
      <c r="C253" s="11" t="n">
        <v>2.2263</v>
      </c>
      <c r="D253" s="11" t="n">
        <v>1.8972</v>
      </c>
    </row>
    <row r="254">
      <c r="A254" s="3" t="inlineStr">
        <is>
          <t>2025Q1</t>
        </is>
      </c>
      <c r="B254" s="11" t="n">
        <v>3.8158</v>
      </c>
      <c r="C254" s="11" t="n">
        <v>2.3385</v>
      </c>
      <c r="D254" s="11" t="n">
        <v>1.4436</v>
      </c>
    </row>
    <row r="255">
      <c r="A255" s="3" t="inlineStr">
        <is>
          <t>2025Q2</t>
        </is>
      </c>
      <c r="B255" s="11" t="n">
        <v>3.9209</v>
      </c>
      <c r="C255" s="11" t="n">
        <v>2.015</v>
      </c>
      <c r="D255" s="11" t="n">
        <v>1.8683</v>
      </c>
    </row>
    <row r="256">
      <c r="A256" s="3" t="inlineStr">
        <is>
          <t>2025Q3</t>
        </is>
      </c>
      <c r="B256" s="11" t="n">
        <v>3.9035</v>
      </c>
      <c r="C256" s="11" t="n">
        <v>2.1014</v>
      </c>
      <c r="D256" s="11" t="n">
        <v>1.765</v>
      </c>
    </row>
    <row r="257">
      <c r="A257" s="3" t="inlineStr">
        <is>
          <t>2025Q4</t>
        </is>
      </c>
      <c r="B257" s="11" t="n">
        <v>3.6294</v>
      </c>
      <c r="C257" s="11" t="n">
        <v>2.0662</v>
      </c>
      <c r="D257" s="11" t="n">
        <v>1.5315</v>
      </c>
    </row>
    <row r="258">
      <c r="A258" s="3" t="inlineStr">
        <is>
          <t>2026Q1</t>
        </is>
      </c>
      <c r="B258" s="11" t="n">
        <v>3.5003</v>
      </c>
      <c r="C258" s="11" t="n">
        <v>2.0424</v>
      </c>
      <c r="D258" s="11" t="n">
        <v>1.4287</v>
      </c>
    </row>
    <row r="259">
      <c r="A259" s="3" t="inlineStr">
        <is>
          <t>2026Q2</t>
        </is>
      </c>
      <c r="B259" s="11" t="n">
        <v>3.3236</v>
      </c>
      <c r="C259" s="11" t="n">
        <v>2.9844</v>
      </c>
      <c r="D259" s="11" t="n">
        <v>0.3294</v>
      </c>
    </row>
    <row r="262">
      <c r="A262" s="13" t="inlineStr">
        <is>
          <t>Italia - compensation_per_employee (Eurostat namq_10_a10 D1 / namq_10_a10_e SAL_DC), variazioni annue %</t>
        </is>
      </c>
    </row>
    <row r="263">
      <c r="A263" s="5" t="inlineStr">
        <is>
          <t>Periodo</t>
        </is>
      </c>
      <c r="B263" s="5" t="inlineStr">
        <is>
          <t>salari_nominali</t>
        </is>
      </c>
      <c r="C263" s="5" t="inlineStr">
        <is>
          <t>prezzi</t>
        </is>
      </c>
      <c r="D263" s="5" t="inlineStr">
        <is>
          <t>salari_reali</t>
        </is>
      </c>
    </row>
    <row r="264">
      <c r="A264" s="3" t="inlineStr">
        <is>
          <t>2001Q1</t>
        </is>
      </c>
      <c r="B264" s="11" t="n">
        <v>2.321</v>
      </c>
      <c r="C264" s="11" t="n">
        <v>2.0305</v>
      </c>
      <c r="D264" s="11" t="n">
        <v>0.2848</v>
      </c>
    </row>
    <row r="265">
      <c r="A265" s="3" t="inlineStr">
        <is>
          <t>2001Q2</t>
        </is>
      </c>
      <c r="B265" s="11" t="n">
        <v>3.0317</v>
      </c>
      <c r="C265" s="11" t="n">
        <v>2.8555</v>
      </c>
      <c r="D265" s="11" t="n">
        <v>0.1713</v>
      </c>
    </row>
    <row r="266">
      <c r="A266" s="3" t="inlineStr">
        <is>
          <t>2001Q3</t>
        </is>
      </c>
      <c r="B266" s="11" t="n">
        <v>3.2432</v>
      </c>
      <c r="C266" s="11" t="n">
        <v>2.2272</v>
      </c>
      <c r="D266" s="11" t="n">
        <v>0.9939</v>
      </c>
    </row>
    <row r="267">
      <c r="A267" s="3" t="inlineStr">
        <is>
          <t>2001Q4</t>
        </is>
      </c>
      <c r="B267" s="11" t="n">
        <v>3.327</v>
      </c>
      <c r="C267" s="11" t="n">
        <v>2.2652</v>
      </c>
      <c r="D267" s="11" t="n">
        <v>1.0383</v>
      </c>
    </row>
    <row r="268">
      <c r="A268" s="3" t="inlineStr">
        <is>
          <t>2002Q1</t>
        </is>
      </c>
      <c r="B268" s="11" t="n">
        <v>2.4208</v>
      </c>
      <c r="C268" s="11" t="n">
        <v>2.4876</v>
      </c>
      <c r="D268" s="11" t="n">
        <v>-0.06510000000000001</v>
      </c>
    </row>
    <row r="269">
      <c r="A269" s="3" t="inlineStr">
        <is>
          <t>2002Q2</t>
        </is>
      </c>
      <c r="B269" s="11" t="n">
        <v>2.3613</v>
      </c>
      <c r="C269" s="11" t="n">
        <v>2.4496</v>
      </c>
      <c r="D269" s="11" t="n">
        <v>-0.0862</v>
      </c>
    </row>
    <row r="270">
      <c r="A270" s="3" t="inlineStr">
        <is>
          <t>2002Q3</t>
        </is>
      </c>
      <c r="B270" s="11" t="n">
        <v>1.7724</v>
      </c>
      <c r="C270" s="11" t="n">
        <v>2.6144</v>
      </c>
      <c r="D270" s="11" t="n">
        <v>-0.8206</v>
      </c>
    </row>
    <row r="271">
      <c r="A271" s="3" t="inlineStr">
        <is>
          <t>2002Q4</t>
        </is>
      </c>
      <c r="B271" s="11" t="n">
        <v>2.1294</v>
      </c>
      <c r="C271" s="11" t="n">
        <v>2.8633</v>
      </c>
      <c r="D271" s="11" t="n">
        <v>-0.7135</v>
      </c>
    </row>
    <row r="272">
      <c r="A272" s="3" t="inlineStr">
        <is>
          <t>2003Q1</t>
        </is>
      </c>
      <c r="B272" s="11" t="n">
        <v>2.5096</v>
      </c>
      <c r="C272" s="11" t="n">
        <v>2.8587</v>
      </c>
      <c r="D272" s="11" t="n">
        <v>-0.3394</v>
      </c>
    </row>
    <row r="273">
      <c r="A273" s="3" t="inlineStr">
        <is>
          <t>2003Q2</t>
        </is>
      </c>
      <c r="B273" s="11" t="n">
        <v>2.3435</v>
      </c>
      <c r="C273" s="11" t="n">
        <v>2.9224</v>
      </c>
      <c r="D273" s="11" t="n">
        <v>-0.5625</v>
      </c>
    </row>
    <row r="274">
      <c r="A274" s="3" t="inlineStr">
        <is>
          <t>2003Q3</t>
        </is>
      </c>
      <c r="B274" s="11" t="n">
        <v>4.6499</v>
      </c>
      <c r="C274" s="11" t="n">
        <v>2.8132</v>
      </c>
      <c r="D274" s="11" t="n">
        <v>1.7865</v>
      </c>
    </row>
    <row r="275">
      <c r="A275" s="3" t="inlineStr">
        <is>
          <t>2003Q4</t>
        </is>
      </c>
      <c r="B275" s="11" t="n">
        <v>1.6135</v>
      </c>
      <c r="C275" s="11" t="n">
        <v>2.6786</v>
      </c>
      <c r="D275" s="11" t="n">
        <v>-1.0373</v>
      </c>
    </row>
    <row r="276">
      <c r="A276" s="3" t="inlineStr">
        <is>
          <t>2004Q1</t>
        </is>
      </c>
      <c r="B276" s="11" t="n">
        <v>3.07</v>
      </c>
      <c r="C276" s="11" t="n">
        <v>2.2549</v>
      </c>
      <c r="D276" s="11" t="n">
        <v>0.7972</v>
      </c>
    </row>
    <row r="277">
      <c r="A277" s="3" t="inlineStr">
        <is>
          <t>2004Q2</t>
        </is>
      </c>
      <c r="B277" s="11" t="n">
        <v>4.45</v>
      </c>
      <c r="C277" s="11" t="n">
        <v>2.3232</v>
      </c>
      <c r="D277" s="11" t="n">
        <v>2.0786</v>
      </c>
    </row>
    <row r="278">
      <c r="A278" s="3" t="inlineStr">
        <is>
          <t>2004Q3</t>
        </is>
      </c>
      <c r="B278" s="11" t="n">
        <v>1.2402</v>
      </c>
      <c r="C278" s="11" t="n">
        <v>2.2716</v>
      </c>
      <c r="D278" s="11" t="n">
        <v>-1.0084</v>
      </c>
    </row>
    <row r="279">
      <c r="A279" s="3" t="inlineStr">
        <is>
          <t>2004Q4</t>
        </is>
      </c>
      <c r="B279" s="11" t="n">
        <v>4.3723</v>
      </c>
      <c r="C279" s="11" t="n">
        <v>2.1995</v>
      </c>
      <c r="D279" s="11" t="n">
        <v>2.1261</v>
      </c>
    </row>
    <row r="280">
      <c r="A280" s="3" t="inlineStr">
        <is>
          <t>2005Q1</t>
        </is>
      </c>
      <c r="B280" s="11" t="n">
        <v>2.5748</v>
      </c>
      <c r="C280" s="11" t="n">
        <v>2.0513</v>
      </c>
      <c r="D280" s="11" t="n">
        <v>0.513</v>
      </c>
    </row>
    <row r="281">
      <c r="A281" s="3" t="inlineStr">
        <is>
          <t>2005Q2</t>
        </is>
      </c>
      <c r="B281" s="11" t="n">
        <v>0.9595</v>
      </c>
      <c r="C281" s="11" t="n">
        <v>2.22</v>
      </c>
      <c r="D281" s="11" t="n">
        <v>-1.2331</v>
      </c>
    </row>
    <row r="282">
      <c r="A282" s="3" t="inlineStr">
        <is>
          <t>2005Q3</t>
        </is>
      </c>
      <c r="B282" s="11" t="n">
        <v>2.1681</v>
      </c>
      <c r="C282" s="11" t="n">
        <v>2.1706</v>
      </c>
      <c r="D282" s="11" t="n">
        <v>-0.0025</v>
      </c>
    </row>
    <row r="283">
      <c r="A283" s="3" t="inlineStr">
        <is>
          <t>2005Q4</t>
        </is>
      </c>
      <c r="B283" s="11" t="n">
        <v>5.1217</v>
      </c>
      <c r="C283" s="11" t="n">
        <v>2.4024</v>
      </c>
      <c r="D283" s="11" t="n">
        <v>2.6555</v>
      </c>
    </row>
    <row r="284">
      <c r="A284" s="3" t="inlineStr">
        <is>
          <t>2006Q1</t>
        </is>
      </c>
      <c r="B284" s="11" t="n">
        <v>2.876</v>
      </c>
      <c r="C284" s="11" t="n">
        <v>2.2111</v>
      </c>
      <c r="D284" s="11" t="n">
        <v>0.6505</v>
      </c>
    </row>
    <row r="285">
      <c r="A285" s="3" t="inlineStr">
        <is>
          <t>2006Q2</t>
        </is>
      </c>
      <c r="B285" s="11" t="n">
        <v>3.0607</v>
      </c>
      <c r="C285" s="11" t="n">
        <v>2.2705</v>
      </c>
      <c r="D285" s="11" t="n">
        <v>0.7727000000000001</v>
      </c>
    </row>
    <row r="286">
      <c r="A286" s="3" t="inlineStr">
        <is>
          <t>2006Q3</t>
        </is>
      </c>
      <c r="B286" s="11" t="n">
        <v>3.7105</v>
      </c>
      <c r="C286" s="11" t="n">
        <v>2.3715</v>
      </c>
      <c r="D286" s="11" t="n">
        <v>1.3079</v>
      </c>
    </row>
    <row r="287">
      <c r="A287" s="3" t="inlineStr">
        <is>
          <t>2006Q4</t>
        </is>
      </c>
      <c r="B287" s="11" t="n">
        <v>-0.3334</v>
      </c>
      <c r="C287" s="11" t="n">
        <v>1.955</v>
      </c>
      <c r="D287" s="11" t="n">
        <v>-2.2445</v>
      </c>
    </row>
    <row r="288">
      <c r="A288" s="3" t="inlineStr">
        <is>
          <t>2007Q1</t>
        </is>
      </c>
      <c r="B288" s="11" t="n">
        <v>2.2236</v>
      </c>
      <c r="C288" s="11" t="n">
        <v>2.0157</v>
      </c>
      <c r="D288" s="11" t="n">
        <v>0.2037</v>
      </c>
    </row>
    <row r="289">
      <c r="A289" s="3" t="inlineStr">
        <is>
          <t>2007Q2</t>
        </is>
      </c>
      <c r="B289" s="11" t="n">
        <v>1.8406</v>
      </c>
      <c r="C289" s="11" t="n">
        <v>1.8822</v>
      </c>
      <c r="D289" s="11" t="n">
        <v>-0.0409</v>
      </c>
    </row>
    <row r="290">
      <c r="A290" s="3" t="inlineStr">
        <is>
          <t>2007Q3</t>
        </is>
      </c>
      <c r="B290" s="11" t="n">
        <v>1.1376</v>
      </c>
      <c r="C290" s="11" t="n">
        <v>1.6409</v>
      </c>
      <c r="D290" s="11" t="n">
        <v>-0.4952</v>
      </c>
    </row>
    <row r="291">
      <c r="A291" s="3" t="inlineStr">
        <is>
          <t>2007Q4</t>
        </is>
      </c>
      <c r="B291" s="11" t="n">
        <v>3.1412</v>
      </c>
      <c r="C291" s="11" t="n">
        <v>2.5887</v>
      </c>
      <c r="D291" s="11" t="n">
        <v>0.5386</v>
      </c>
    </row>
    <row r="292">
      <c r="A292" s="3" t="inlineStr">
        <is>
          <t>2008Q1</t>
        </is>
      </c>
      <c r="B292" s="11" t="n">
        <v>3.9972</v>
      </c>
      <c r="C292" s="11" t="n">
        <v>3.2771</v>
      </c>
      <c r="D292" s="11" t="n">
        <v>0.6972</v>
      </c>
    </row>
    <row r="293">
      <c r="A293" s="3" t="inlineStr">
        <is>
          <t>2008Q2</t>
        </is>
      </c>
      <c r="B293" s="11" t="n">
        <v>2.6519</v>
      </c>
      <c r="C293" s="11" t="n">
        <v>3.7423</v>
      </c>
      <c r="D293" s="11" t="n">
        <v>-1.0511</v>
      </c>
    </row>
    <row r="294">
      <c r="A294" s="3" t="inlineStr">
        <is>
          <t>2008Q3</t>
        </is>
      </c>
      <c r="B294" s="11" t="n">
        <v>3.1696</v>
      </c>
      <c r="C294" s="11" t="n">
        <v>4.1311</v>
      </c>
      <c r="D294" s="11" t="n">
        <v>-0.9233</v>
      </c>
    </row>
    <row r="295">
      <c r="A295" s="3" t="inlineStr">
        <is>
          <t>2008Q4</t>
        </is>
      </c>
      <c r="B295" s="11" t="n">
        <v>1.4837</v>
      </c>
      <c r="C295" s="11" t="n">
        <v>2.8972</v>
      </c>
      <c r="D295" s="11" t="n">
        <v>-1.3737</v>
      </c>
    </row>
    <row r="296">
      <c r="A296" s="3" t="inlineStr">
        <is>
          <t>2009Q1</t>
        </is>
      </c>
      <c r="B296" s="11" t="n">
        <v>-0.3147</v>
      </c>
      <c r="C296" s="11" t="n">
        <v>1.3066</v>
      </c>
      <c r="D296" s="11" t="n">
        <v>-1.6004</v>
      </c>
    </row>
    <row r="297">
      <c r="A297" s="3" t="inlineStr">
        <is>
          <t>2009Q2</t>
        </is>
      </c>
      <c r="B297" s="11" t="n">
        <v>0.9033</v>
      </c>
      <c r="C297" s="11" t="n">
        <v>0.9132</v>
      </c>
      <c r="D297" s="11" t="n">
        <v>-0.0098</v>
      </c>
    </row>
    <row r="298">
      <c r="A298" s="3" t="inlineStr">
        <is>
          <t>2009Q3</t>
        </is>
      </c>
      <c r="B298" s="11" t="n">
        <v>0.2022</v>
      </c>
      <c r="C298" s="11" t="n">
        <v>0.0912</v>
      </c>
      <c r="D298" s="11" t="n">
        <v>0.1109</v>
      </c>
    </row>
    <row r="299">
      <c r="A299" s="3" t="inlineStr">
        <is>
          <t>2009Q4</t>
        </is>
      </c>
      <c r="B299" s="11" t="n">
        <v>0.9741</v>
      </c>
      <c r="C299" s="11" t="n">
        <v>0.772</v>
      </c>
      <c r="D299" s="11" t="n">
        <v>0.2005</v>
      </c>
    </row>
    <row r="300">
      <c r="A300" s="3" t="inlineStr">
        <is>
          <t>2010Q1</t>
        </is>
      </c>
      <c r="B300" s="11" t="n">
        <v>1.1735</v>
      </c>
      <c r="C300" s="11" t="n">
        <v>1.2897</v>
      </c>
      <c r="D300" s="11" t="n">
        <v>-0.1147</v>
      </c>
    </row>
    <row r="301">
      <c r="A301" s="3" t="inlineStr">
        <is>
          <t>2010Q2</t>
        </is>
      </c>
      <c r="B301" s="11" t="n">
        <v>3.5242</v>
      </c>
      <c r="C301" s="11" t="n">
        <v>1.4932</v>
      </c>
      <c r="D301" s="11" t="n">
        <v>2.0011</v>
      </c>
    </row>
    <row r="302">
      <c r="A302" s="3" t="inlineStr">
        <is>
          <t>2010Q3</t>
        </is>
      </c>
      <c r="B302" s="11" t="n">
        <v>2.9143</v>
      </c>
      <c r="C302" s="11" t="n">
        <v>1.7312</v>
      </c>
      <c r="D302" s="11" t="n">
        <v>1.1629</v>
      </c>
    </row>
    <row r="303">
      <c r="A303" s="3" t="inlineStr">
        <is>
          <t>2010Q4</t>
        </is>
      </c>
      <c r="B303" s="11" t="n">
        <v>1.6062</v>
      </c>
      <c r="C303" s="11" t="n">
        <v>1.9378</v>
      </c>
      <c r="D303" s="11" t="n">
        <v>-0.3253</v>
      </c>
    </row>
    <row r="304">
      <c r="A304" s="3" t="inlineStr">
        <is>
          <t>2011Q1</t>
        </is>
      </c>
      <c r="B304" s="11" t="n">
        <v>2.7791</v>
      </c>
      <c r="C304" s="11" t="n">
        <v>2.3192</v>
      </c>
      <c r="D304" s="11" t="n">
        <v>0.4494</v>
      </c>
    </row>
    <row r="305">
      <c r="A305" s="3" t="inlineStr">
        <is>
          <t>2011Q2</t>
        </is>
      </c>
      <c r="B305" s="11" t="n">
        <v>0.9095</v>
      </c>
      <c r="C305" s="11" t="n">
        <v>2.9871</v>
      </c>
      <c r="D305" s="11" t="n">
        <v>-2.0173</v>
      </c>
    </row>
    <row r="306">
      <c r="A306" s="3" t="inlineStr">
        <is>
          <t>2011Q3</t>
        </is>
      </c>
      <c r="B306" s="11" t="n">
        <v>0.2632</v>
      </c>
      <c r="C306" s="11" t="n">
        <v>2.6422</v>
      </c>
      <c r="D306" s="11" t="n">
        <v>-2.3177</v>
      </c>
    </row>
    <row r="307">
      <c r="A307" s="3" t="inlineStr">
        <is>
          <t>2011Q4</t>
        </is>
      </c>
      <c r="B307" s="11" t="n">
        <v>0.6755</v>
      </c>
      <c r="C307" s="11" t="n">
        <v>3.7135</v>
      </c>
      <c r="D307" s="11" t="n">
        <v>-2.9293</v>
      </c>
    </row>
    <row r="308">
      <c r="A308" s="3" t="inlineStr">
        <is>
          <t>2012Q1</t>
        </is>
      </c>
      <c r="B308" s="11" t="n">
        <v>-0.5118</v>
      </c>
      <c r="C308" s="11" t="n">
        <v>3.6</v>
      </c>
      <c r="D308" s="11" t="n">
        <v>-3.9689</v>
      </c>
    </row>
    <row r="309">
      <c r="A309" s="3" t="inlineStr">
        <is>
          <t>2012Q2</t>
        </is>
      </c>
      <c r="B309" s="11" t="n">
        <v>-2.0806</v>
      </c>
      <c r="C309" s="11" t="n">
        <v>3.5931</v>
      </c>
      <c r="D309" s="11" t="n">
        <v>-5.4769</v>
      </c>
    </row>
    <row r="310">
      <c r="A310" s="3" t="inlineStr">
        <is>
          <t>2012Q3</t>
        </is>
      </c>
      <c r="B310" s="11" t="n">
        <v>-1.2753</v>
      </c>
      <c r="C310" s="11" t="n">
        <v>3.4468</v>
      </c>
      <c r="D310" s="11" t="n">
        <v>-4.5647</v>
      </c>
    </row>
    <row r="311">
      <c r="A311" s="3" t="inlineStr">
        <is>
          <t>2012Q4</t>
        </is>
      </c>
      <c r="B311" s="11" t="n">
        <v>-1.3201</v>
      </c>
      <c r="C311" s="11" t="n">
        <v>2.6428</v>
      </c>
      <c r="D311" s="11" t="n">
        <v>-3.8609</v>
      </c>
    </row>
    <row r="312">
      <c r="A312" s="3" t="inlineStr">
        <is>
          <t>2013Q1</t>
        </is>
      </c>
      <c r="B312" s="11" t="n">
        <v>-0.4256</v>
      </c>
      <c r="C312" s="11" t="n">
        <v>2.0163</v>
      </c>
      <c r="D312" s="11" t="n">
        <v>-2.3936</v>
      </c>
    </row>
    <row r="313">
      <c r="A313" s="3" t="inlineStr">
        <is>
          <t>2013Q2</t>
        </is>
      </c>
      <c r="B313" s="11" t="n">
        <v>0.7153</v>
      </c>
      <c r="C313" s="11" t="n">
        <v>1.2537</v>
      </c>
      <c r="D313" s="11" t="n">
        <v>-0.5317</v>
      </c>
    </row>
    <row r="314">
      <c r="A314" s="3" t="inlineStr">
        <is>
          <t>2013Q3</t>
        </is>
      </c>
      <c r="B314" s="11" t="n">
        <v>1.1895</v>
      </c>
      <c r="C314" s="11" t="n">
        <v>1.0966</v>
      </c>
      <c r="D314" s="11" t="n">
        <v>0.0919</v>
      </c>
    </row>
    <row r="315">
      <c r="A315" s="3" t="inlineStr">
        <is>
          <t>2013Q4</t>
        </is>
      </c>
      <c r="B315" s="11" t="n">
        <v>1.7746</v>
      </c>
      <c r="C315" s="11" t="n">
        <v>0.6645</v>
      </c>
      <c r="D315" s="11" t="n">
        <v>1.1028</v>
      </c>
    </row>
    <row r="316">
      <c r="A316" s="3" t="inlineStr">
        <is>
          <t>2014Q1</t>
        </is>
      </c>
      <c r="B316" s="11" t="n">
        <v>0.6424</v>
      </c>
      <c r="C316" s="11" t="n">
        <v>0.4205</v>
      </c>
      <c r="D316" s="11" t="n">
        <v>0.2209</v>
      </c>
    </row>
    <row r="317">
      <c r="A317" s="3" t="inlineStr">
        <is>
          <t>2014Q2</t>
        </is>
      </c>
      <c r="B317" s="11" t="n">
        <v>0.5171</v>
      </c>
      <c r="C317" s="11" t="n">
        <v>0.3714</v>
      </c>
      <c r="D317" s="11" t="n">
        <v>0.1452</v>
      </c>
    </row>
    <row r="318">
      <c r="A318" s="3" t="inlineStr">
        <is>
          <t>2014Q3</t>
        </is>
      </c>
      <c r="B318" s="11" t="n">
        <v>0.0123</v>
      </c>
      <c r="C318" s="11" t="n">
        <v>-0.0834</v>
      </c>
      <c r="D318" s="11" t="n">
        <v>0.0958</v>
      </c>
    </row>
    <row r="319">
      <c r="A319" s="3" t="inlineStr">
        <is>
          <t>2014Q4</t>
        </is>
      </c>
      <c r="B319" s="11" t="n">
        <v>0.0927</v>
      </c>
      <c r="C319" s="11" t="n">
        <v>0.0825</v>
      </c>
      <c r="D319" s="11" t="n">
        <v>0.0102</v>
      </c>
    </row>
    <row r="320">
      <c r="A320" s="3" t="inlineStr">
        <is>
          <t>2015Q1</t>
        </is>
      </c>
      <c r="B320" s="11" t="n">
        <v>0.9815</v>
      </c>
      <c r="C320" s="11" t="n">
        <v>-0.0838</v>
      </c>
      <c r="D320" s="11" t="n">
        <v>1.0661</v>
      </c>
    </row>
    <row r="321">
      <c r="A321" s="3" t="inlineStr">
        <is>
          <t>2015Q2</t>
        </is>
      </c>
      <c r="B321" s="11" t="n">
        <v>1.2948</v>
      </c>
      <c r="C321" s="11" t="n">
        <v>0.1645</v>
      </c>
      <c r="D321" s="11" t="n">
        <v>1.1285</v>
      </c>
    </row>
    <row r="322">
      <c r="A322" s="3" t="inlineStr">
        <is>
          <t>2015Q3</t>
        </is>
      </c>
      <c r="B322" s="11" t="n">
        <v>1.0064</v>
      </c>
      <c r="C322" s="11" t="n">
        <v>0.2923</v>
      </c>
      <c r="D322" s="11" t="n">
        <v>0.7121</v>
      </c>
    </row>
    <row r="323">
      <c r="A323" s="3" t="inlineStr">
        <is>
          <t>2015Q4</t>
        </is>
      </c>
      <c r="B323" s="11" t="n">
        <v>0.5024999999999999</v>
      </c>
      <c r="C323" s="11" t="n">
        <v>0.2473</v>
      </c>
      <c r="D323" s="11" t="n">
        <v>0.2545</v>
      </c>
    </row>
    <row r="324">
      <c r="A324" s="3" t="inlineStr">
        <is>
          <t>2016Q1</t>
        </is>
      </c>
      <c r="B324" s="11" t="n">
        <v>0.4351</v>
      </c>
      <c r="C324" s="11" t="n">
        <v>-0.0419</v>
      </c>
      <c r="D324" s="11" t="n">
        <v>0.4772</v>
      </c>
    </row>
    <row r="325">
      <c r="A325" s="3" t="inlineStr">
        <is>
          <t>2016Q2</t>
        </is>
      </c>
      <c r="B325" s="11" t="n">
        <v>-0.024</v>
      </c>
      <c r="C325" s="11" t="n">
        <v>-0.3695</v>
      </c>
      <c r="D325" s="11" t="n">
        <v>0.3467</v>
      </c>
    </row>
    <row r="326">
      <c r="A326" s="3" t="inlineStr">
        <is>
          <t>2016Q3</t>
        </is>
      </c>
      <c r="B326" s="11" t="n">
        <v>0.4106</v>
      </c>
      <c r="C326" s="11" t="n">
        <v>-0.0416</v>
      </c>
      <c r="D326" s="11" t="n">
        <v>0.4524</v>
      </c>
    </row>
    <row r="327">
      <c r="A327" s="3" t="inlineStr">
        <is>
          <t>2016Q4</t>
        </is>
      </c>
      <c r="B327" s="11" t="n">
        <v>0.7177</v>
      </c>
      <c r="C327" s="11" t="n">
        <v>0.2056</v>
      </c>
      <c r="D327" s="11" t="n">
        <v>0.511</v>
      </c>
    </row>
    <row r="328">
      <c r="A328" s="3" t="inlineStr">
        <is>
          <t>2017Q1</t>
        </is>
      </c>
      <c r="B328" s="11" t="n">
        <v>0.5372</v>
      </c>
      <c r="C328" s="11" t="n">
        <v>1.3836</v>
      </c>
      <c r="D328" s="11" t="n">
        <v>-0.8349</v>
      </c>
    </row>
    <row r="329">
      <c r="A329" s="3" t="inlineStr">
        <is>
          <t>2017Q2</t>
        </is>
      </c>
      <c r="B329" s="11" t="n">
        <v>0.1837</v>
      </c>
      <c r="C329" s="11" t="n">
        <v>1.6069</v>
      </c>
      <c r="D329" s="11" t="n">
        <v>-1.4007</v>
      </c>
    </row>
    <row r="330">
      <c r="A330" s="3" t="inlineStr">
        <is>
          <t>2017Q3</t>
        </is>
      </c>
      <c r="B330" s="11" t="n">
        <v>0.4667</v>
      </c>
      <c r="C330" s="11" t="n">
        <v>1.2911</v>
      </c>
      <c r="D330" s="11" t="n">
        <v>-0.8139999999999999</v>
      </c>
    </row>
    <row r="331">
      <c r="A331" s="3" t="inlineStr">
        <is>
          <t>2017Q4</t>
        </is>
      </c>
      <c r="B331" s="11" t="n">
        <v>1.0301</v>
      </c>
      <c r="C331" s="11" t="n">
        <v>1.0259</v>
      </c>
      <c r="D331" s="11" t="n">
        <v>0.0042</v>
      </c>
    </row>
    <row r="332">
      <c r="A332" s="3" t="inlineStr">
        <is>
          <t>2018Q1</t>
        </is>
      </c>
      <c r="B332" s="11" t="n">
        <v>0.6199</v>
      </c>
      <c r="C332" s="11" t="n">
        <v>0.8685</v>
      </c>
      <c r="D332" s="11" t="n">
        <v>-0.2464</v>
      </c>
    </row>
    <row r="333">
      <c r="A333" s="3" t="inlineStr">
        <is>
          <t>2018Q2</t>
        </is>
      </c>
      <c r="B333" s="11" t="n">
        <v>1.6129</v>
      </c>
      <c r="C333" s="11" t="n">
        <v>0.9732</v>
      </c>
      <c r="D333" s="11" t="n">
        <v>0.6335</v>
      </c>
    </row>
    <row r="334">
      <c r="A334" s="3" t="inlineStr">
        <is>
          <t>2018Q3</t>
        </is>
      </c>
      <c r="B334" s="11" t="n">
        <v>2.1113</v>
      </c>
      <c r="C334" s="11" t="n">
        <v>1.6859</v>
      </c>
      <c r="D334" s="11" t="n">
        <v>0.4184</v>
      </c>
    </row>
    <row r="335">
      <c r="A335" s="3" t="inlineStr">
        <is>
          <t>2018Q4</t>
        </is>
      </c>
      <c r="B335" s="11" t="n">
        <v>1.6844</v>
      </c>
      <c r="C335" s="11" t="n">
        <v>1.4216</v>
      </c>
      <c r="D335" s="11" t="n">
        <v>0.2591</v>
      </c>
    </row>
    <row r="336">
      <c r="A336" s="3" t="inlineStr">
        <is>
          <t>2019Q1</t>
        </is>
      </c>
      <c r="B336" s="11" t="n">
        <v>2.3554</v>
      </c>
      <c r="C336" s="11" t="n">
        <v>1.066</v>
      </c>
      <c r="D336" s="11" t="n">
        <v>1.2758</v>
      </c>
    </row>
    <row r="337">
      <c r="A337" s="3" t="inlineStr">
        <is>
          <t>2019Q2</t>
        </is>
      </c>
      <c r="B337" s="11" t="n">
        <v>1.2882</v>
      </c>
      <c r="C337" s="11" t="n">
        <v>0.9237</v>
      </c>
      <c r="D337" s="11" t="n">
        <v>0.3611</v>
      </c>
    </row>
    <row r="338">
      <c r="A338" s="3" t="inlineStr">
        <is>
          <t>2019Q3</t>
        </is>
      </c>
      <c r="B338" s="11" t="n">
        <v>0.5935</v>
      </c>
      <c r="C338" s="11" t="n">
        <v>0.3235</v>
      </c>
      <c r="D338" s="11" t="n">
        <v>0.2691</v>
      </c>
    </row>
    <row r="339">
      <c r="A339" s="3" t="inlineStr">
        <is>
          <t>2019Q4</t>
        </is>
      </c>
      <c r="B339" s="11" t="n">
        <v>0.9256</v>
      </c>
      <c r="C339" s="11" t="n">
        <v>0.3204</v>
      </c>
      <c r="D339" s="11" t="n">
        <v>0.6032999999999999</v>
      </c>
    </row>
    <row r="340">
      <c r="A340" s="3" t="inlineStr">
        <is>
          <t>2020Q1</t>
        </is>
      </c>
      <c r="B340" s="11" t="n">
        <v>-2.8689</v>
      </c>
      <c r="C340" s="11" t="n">
        <v>0.2028</v>
      </c>
      <c r="D340" s="11" t="n">
        <v>-3.0655</v>
      </c>
    </row>
    <row r="341">
      <c r="A341" s="3" t="inlineStr">
        <is>
          <t>2020Q2</t>
        </is>
      </c>
      <c r="B341" s="11" t="n">
        <v>-10.0952</v>
      </c>
      <c r="C341" s="11" t="n">
        <v>-0.199</v>
      </c>
      <c r="D341" s="11" t="n">
        <v>-9.915900000000001</v>
      </c>
    </row>
    <row r="342">
      <c r="A342" s="3" t="inlineStr">
        <is>
          <t>2020Q3</t>
        </is>
      </c>
      <c r="B342" s="11" t="n">
        <v>-1.1304</v>
      </c>
      <c r="C342" s="11" t="n">
        <v>-0.2821</v>
      </c>
      <c r="D342" s="11" t="n">
        <v>-0.8507</v>
      </c>
    </row>
    <row r="343">
      <c r="A343" s="3" t="inlineStr">
        <is>
          <t>2020Q4</t>
        </is>
      </c>
      <c r="B343" s="11" t="n">
        <v>-2.3345</v>
      </c>
      <c r="C343" s="11" t="n">
        <v>-0.3992</v>
      </c>
      <c r="D343" s="11" t="n">
        <v>-1.943</v>
      </c>
    </row>
    <row r="344">
      <c r="A344" s="3" t="inlineStr">
        <is>
          <t>2021Q1</t>
        </is>
      </c>
      <c r="B344" s="11" t="n">
        <v>3.0848</v>
      </c>
      <c r="C344" s="11" t="n">
        <v>0.7287</v>
      </c>
      <c r="D344" s="11" t="n">
        <v>2.339</v>
      </c>
    </row>
    <row r="345">
      <c r="A345" s="3" t="inlineStr">
        <is>
          <t>2021Q2</t>
        </is>
      </c>
      <c r="B345" s="11" t="n">
        <v>13.0849</v>
      </c>
      <c r="C345" s="11" t="n">
        <v>1.1164</v>
      </c>
      <c r="D345" s="11" t="n">
        <v>11.8363</v>
      </c>
    </row>
    <row r="346">
      <c r="A346" s="3" t="inlineStr">
        <is>
          <t>2021Q3</t>
        </is>
      </c>
      <c r="B346" s="11" t="n">
        <v>5.0595</v>
      </c>
      <c r="C346" s="11" t="n">
        <v>2.1423</v>
      </c>
      <c r="D346" s="11" t="n">
        <v>2.856</v>
      </c>
    </row>
    <row r="347">
      <c r="A347" s="3" t="inlineStr">
        <is>
          <t>2021Q4</t>
        </is>
      </c>
      <c r="B347" s="11" t="n">
        <v>6.3768</v>
      </c>
      <c r="C347" s="11" t="n">
        <v>3.8076</v>
      </c>
      <c r="D347" s="11" t="n">
        <v>2.4749</v>
      </c>
    </row>
    <row r="348">
      <c r="A348" s="3" t="inlineStr">
        <is>
          <t>2022Q1</t>
        </is>
      </c>
      <c r="B348" s="11" t="n">
        <v>5.4212</v>
      </c>
      <c r="C348" s="11" t="n">
        <v>6.0289</v>
      </c>
      <c r="D348" s="11" t="n">
        <v>-0.5732</v>
      </c>
    </row>
    <row r="349">
      <c r="A349" s="3" t="inlineStr">
        <is>
          <t>2022Q2</t>
        </is>
      </c>
      <c r="B349" s="11" t="n">
        <v>4.6901</v>
      </c>
      <c r="C349" s="11" t="n">
        <v>7.4132</v>
      </c>
      <c r="D349" s="11" t="n">
        <v>-2.5352</v>
      </c>
    </row>
    <row r="350">
      <c r="A350" s="3" t="inlineStr">
        <is>
          <t>2022Q3</t>
        </is>
      </c>
      <c r="B350" s="11" t="n">
        <v>3.1632</v>
      </c>
      <c r="C350" s="11" t="n">
        <v>8.983000000000001</v>
      </c>
      <c r="D350" s="11" t="n">
        <v>-5.3401</v>
      </c>
    </row>
    <row r="351">
      <c r="A351" s="3" t="inlineStr">
        <is>
          <t>2022Q4</t>
        </is>
      </c>
      <c r="B351" s="11" t="n">
        <v>2.2307</v>
      </c>
      <c r="C351" s="11" t="n">
        <v>12.4324</v>
      </c>
      <c r="D351" s="11" t="n">
        <v>-9.073700000000001</v>
      </c>
    </row>
    <row r="352">
      <c r="A352" s="3" t="inlineStr">
        <is>
          <t>2023Q1</t>
        </is>
      </c>
      <c r="B352" s="11" t="n">
        <v>2.6027</v>
      </c>
      <c r="C352" s="11" t="n">
        <v>9.514799999999999</v>
      </c>
      <c r="D352" s="11" t="n">
        <v>-6.3116</v>
      </c>
    </row>
    <row r="353">
      <c r="A353" s="3" t="inlineStr">
        <is>
          <t>2023Q2</t>
        </is>
      </c>
      <c r="B353" s="11" t="n">
        <v>2.7243</v>
      </c>
      <c r="C353" s="11" t="n">
        <v>7.7827</v>
      </c>
      <c r="D353" s="11" t="n">
        <v>-4.6931</v>
      </c>
    </row>
    <row r="354">
      <c r="A354" s="3" t="inlineStr">
        <is>
          <t>2023Q3</t>
        </is>
      </c>
      <c r="B354" s="11" t="n">
        <v>2.6043</v>
      </c>
      <c r="C354" s="11" t="n">
        <v>5.8097</v>
      </c>
      <c r="D354" s="11" t="n">
        <v>-3.0295</v>
      </c>
    </row>
    <row r="355">
      <c r="A355" s="3" t="inlineStr">
        <is>
          <t>2023Q4</t>
        </is>
      </c>
      <c r="B355" s="11" t="n">
        <v>3.1724</v>
      </c>
      <c r="C355" s="11" t="n">
        <v>0.9959</v>
      </c>
      <c r="D355" s="11" t="n">
        <v>2.155</v>
      </c>
    </row>
    <row r="356">
      <c r="A356" s="3" t="inlineStr">
        <is>
          <t>2024Q1</t>
        </is>
      </c>
      <c r="B356" s="11" t="n">
        <v>2.826</v>
      </c>
      <c r="C356" s="11" t="n">
        <v>1.0038</v>
      </c>
      <c r="D356" s="11" t="n">
        <v>1.8041</v>
      </c>
    </row>
    <row r="357">
      <c r="A357" s="3" t="inlineStr">
        <is>
          <t>2024Q2</t>
        </is>
      </c>
      <c r="B357" s="11" t="n">
        <v>3.2108</v>
      </c>
      <c r="C357" s="11" t="n">
        <v>0.8515</v>
      </c>
      <c r="D357" s="11" t="n">
        <v>2.3394</v>
      </c>
    </row>
    <row r="358">
      <c r="A358" s="3" t="inlineStr">
        <is>
          <t>2024Q3</t>
        </is>
      </c>
      <c r="B358" s="11" t="n">
        <v>3.0688</v>
      </c>
      <c r="C358" s="11" t="n">
        <v>1.2011</v>
      </c>
      <c r="D358" s="11" t="n">
        <v>1.8456</v>
      </c>
    </row>
    <row r="359">
      <c r="A359" s="3" t="inlineStr">
        <is>
          <t>2024Q4</t>
        </is>
      </c>
      <c r="B359" s="11" t="n">
        <v>3.4564</v>
      </c>
      <c r="C359" s="11" t="n">
        <v>1.2581</v>
      </c>
      <c r="D359" s="11" t="n">
        <v>2.171</v>
      </c>
    </row>
    <row r="360">
      <c r="A360" s="3" t="inlineStr">
        <is>
          <t>2025Q1</t>
        </is>
      </c>
      <c r="B360" s="11" t="n">
        <v>2.7053</v>
      </c>
      <c r="C360" s="11" t="n">
        <v>1.8163</v>
      </c>
      <c r="D360" s="11" t="n">
        <v>0.8731</v>
      </c>
    </row>
    <row r="361">
      <c r="A361" s="3" t="inlineStr">
        <is>
          <t>2025Q2</t>
        </is>
      </c>
      <c r="B361" s="11" t="n">
        <v>3.4014</v>
      </c>
      <c r="C361" s="11" t="n">
        <v>1.8237</v>
      </c>
      <c r="D361" s="11" t="n">
        <v>1.5494</v>
      </c>
    </row>
    <row r="362">
      <c r="A362" s="3" t="inlineStr">
        <is>
          <t>2025Q3</t>
        </is>
      </c>
      <c r="B362" s="11" t="n">
        <v>3.402</v>
      </c>
      <c r="C362" s="11" t="n">
        <v>1.6955</v>
      </c>
      <c r="D362" s="11" t="n">
        <v>1.6781</v>
      </c>
    </row>
    <row r="363">
      <c r="A363" s="3" t="inlineStr">
        <is>
          <t>2025Q4</t>
        </is>
      </c>
      <c r="B363" s="11" t="n">
        <v>2.8178</v>
      </c>
      <c r="C363" s="11" t="n">
        <v>1.2089</v>
      </c>
      <c r="D363" s="11" t="n">
        <v>1.5897</v>
      </c>
    </row>
    <row r="364">
      <c r="A364" s="3" t="inlineStr">
        <is>
          <t>2026Q1</t>
        </is>
      </c>
      <c r="B364" s="11" t="n">
        <v>3.1811</v>
      </c>
      <c r="C364" s="11" t="n">
        <v>1.38</v>
      </c>
      <c r="D364" s="11" t="n">
        <v>1.7766</v>
      </c>
    </row>
    <row r="365">
      <c r="A365" s="3" t="inlineStr">
        <is>
          <t>2026Q2</t>
        </is>
      </c>
      <c r="B365" s="11" t="n">
        <v>2.0484</v>
      </c>
      <c r="C365" s="11" t="n">
        <v>2.9851</v>
      </c>
      <c r="D365" s="11" t="n">
        <v>-0.9095</v>
      </c>
    </row>
    <row r="368">
      <c r="A368" s="13" t="inlineStr">
        <is>
          <t>Germania - compensation_per_employee (Eurostat namq_10_a10 D1 / namq_10_a10_e SAL_DC), variazioni annue %</t>
        </is>
      </c>
    </row>
    <row r="369">
      <c r="A369" s="5" t="inlineStr">
        <is>
          <t>Periodo</t>
        </is>
      </c>
      <c r="B369" s="5" t="inlineStr">
        <is>
          <t>salari_nominali</t>
        </is>
      </c>
      <c r="C369" s="5" t="inlineStr">
        <is>
          <t>prezzi</t>
        </is>
      </c>
      <c r="D369" s="5" t="inlineStr">
        <is>
          <t>salari_reali</t>
        </is>
      </c>
    </row>
    <row r="370">
      <c r="A370" s="3" t="inlineStr">
        <is>
          <t>2001Q1</t>
        </is>
      </c>
      <c r="B370" s="11" t="n">
        <v>2.3647</v>
      </c>
      <c r="C370" s="11" t="n">
        <v>1.6011</v>
      </c>
      <c r="D370" s="11" t="n">
        <v>0.7516</v>
      </c>
    </row>
    <row r="371">
      <c r="A371" s="3" t="inlineStr">
        <is>
          <t>2001Q2</t>
        </is>
      </c>
      <c r="B371" s="11" t="n">
        <v>2.088</v>
      </c>
      <c r="C371" s="11" t="n">
        <v>2.4831</v>
      </c>
      <c r="D371" s="11" t="n">
        <v>-0.3855</v>
      </c>
    </row>
    <row r="372">
      <c r="A372" s="3" t="inlineStr">
        <is>
          <t>2001Q3</t>
        </is>
      </c>
      <c r="B372" s="11" t="n">
        <v>1.5941</v>
      </c>
      <c r="C372" s="11" t="n">
        <v>2.073</v>
      </c>
      <c r="D372" s="11" t="n">
        <v>-0.4692</v>
      </c>
    </row>
    <row r="373">
      <c r="A373" s="3" t="inlineStr">
        <is>
          <t>2001Q4</t>
        </is>
      </c>
      <c r="B373" s="11" t="n">
        <v>1.7351</v>
      </c>
      <c r="C373" s="11" t="n">
        <v>1.4567</v>
      </c>
      <c r="D373" s="11" t="n">
        <v>0.2743</v>
      </c>
    </row>
    <row r="374">
      <c r="A374" s="3" t="inlineStr">
        <is>
          <t>2002Q1</t>
        </is>
      </c>
      <c r="B374" s="11" t="n">
        <v>1.1966</v>
      </c>
      <c r="C374" s="11" t="n">
        <v>1.956</v>
      </c>
      <c r="D374" s="11" t="n">
        <v>-0.7448</v>
      </c>
    </row>
    <row r="375">
      <c r="A375" s="3" t="inlineStr">
        <is>
          <t>2002Q2</t>
        </is>
      </c>
      <c r="B375" s="11" t="n">
        <v>1.1214</v>
      </c>
      <c r="C375" s="11" t="n">
        <v>1.1569</v>
      </c>
      <c r="D375" s="11" t="n">
        <v>-0.0351</v>
      </c>
    </row>
    <row r="376">
      <c r="A376" s="3" t="inlineStr">
        <is>
          <t>2002Q3</t>
        </is>
      </c>
      <c r="B376" s="11" t="n">
        <v>1.7724</v>
      </c>
      <c r="C376" s="11" t="n">
        <v>1.0726</v>
      </c>
      <c r="D376" s="11" t="n">
        <v>0.6924</v>
      </c>
    </row>
    <row r="377">
      <c r="A377" s="3" t="inlineStr">
        <is>
          <t>2002Q4</t>
        </is>
      </c>
      <c r="B377" s="11" t="n">
        <v>1.2947</v>
      </c>
      <c r="C377" s="11" t="n">
        <v>1.1902</v>
      </c>
      <c r="D377" s="11" t="n">
        <v>0.1033</v>
      </c>
    </row>
    <row r="378">
      <c r="A378" s="3" t="inlineStr">
        <is>
          <t>2003Q1</t>
        </is>
      </c>
      <c r="B378" s="11" t="n">
        <v>2.2237</v>
      </c>
      <c r="C378" s="11" t="n">
        <v>1.1565</v>
      </c>
      <c r="D378" s="11" t="n">
        <v>1.055</v>
      </c>
    </row>
    <row r="379">
      <c r="A379" s="3" t="inlineStr">
        <is>
          <t>2003Q2</t>
        </is>
      </c>
      <c r="B379" s="11" t="n">
        <v>2.3472</v>
      </c>
      <c r="C379" s="11" t="n">
        <v>0.8631</v>
      </c>
      <c r="D379" s="11" t="n">
        <v>1.4713</v>
      </c>
    </row>
    <row r="380">
      <c r="A380" s="3" t="inlineStr">
        <is>
          <t>2003Q3</t>
        </is>
      </c>
      <c r="B380" s="11" t="n">
        <v>2.0013</v>
      </c>
      <c r="C380" s="11" t="n">
        <v>1.0505</v>
      </c>
      <c r="D380" s="11" t="n">
        <v>0.9409</v>
      </c>
    </row>
    <row r="381">
      <c r="A381" s="3" t="inlineStr">
        <is>
          <t>2003Q4</t>
        </is>
      </c>
      <c r="B381" s="11" t="n">
        <v>1.175</v>
      </c>
      <c r="C381" s="11" t="n">
        <v>1.2139</v>
      </c>
      <c r="D381" s="11" t="n">
        <v>-0.0384</v>
      </c>
    </row>
    <row r="382">
      <c r="A382" s="3" t="inlineStr">
        <is>
          <t>2004Q1</t>
        </is>
      </c>
      <c r="B382" s="11" t="n">
        <v>1.4067</v>
      </c>
      <c r="C382" s="11" t="n">
        <v>1.0258</v>
      </c>
      <c r="D382" s="11" t="n">
        <v>0.3771</v>
      </c>
    </row>
    <row r="383">
      <c r="A383" s="3" t="inlineStr">
        <is>
          <t>2004Q2</t>
        </is>
      </c>
      <c r="B383" s="11" t="n">
        <v>0.722</v>
      </c>
      <c r="C383" s="11" t="n">
        <v>1.9201</v>
      </c>
      <c r="D383" s="11" t="n">
        <v>-1.1755</v>
      </c>
    </row>
    <row r="384">
      <c r="A384" s="3" t="inlineStr">
        <is>
          <t>2004Q3</t>
        </is>
      </c>
      <c r="B384" s="11" t="n">
        <v>-0.1513</v>
      </c>
      <c r="C384" s="11" t="n">
        <v>1.9938</v>
      </c>
      <c r="D384" s="11" t="n">
        <v>-2.1032</v>
      </c>
    </row>
    <row r="385">
      <c r="A385" s="3" t="inlineStr">
        <is>
          <t>2004Q4</t>
        </is>
      </c>
      <c r="B385" s="11" t="n">
        <v>-0.1292</v>
      </c>
      <c r="C385" s="11" t="n">
        <v>2.1269</v>
      </c>
      <c r="D385" s="11" t="n">
        <v>-2.2091</v>
      </c>
    </row>
    <row r="386">
      <c r="A386" s="3" t="inlineStr">
        <is>
          <t>2005Q1</t>
        </is>
      </c>
      <c r="B386" s="11" t="n">
        <v>0.4156</v>
      </c>
      <c r="C386" s="11" t="n">
        <v>1.7345</v>
      </c>
      <c r="D386" s="11" t="n">
        <v>-1.2964</v>
      </c>
    </row>
    <row r="387">
      <c r="A387" s="3" t="inlineStr">
        <is>
          <t>2005Q2</t>
        </is>
      </c>
      <c r="B387" s="11" t="n">
        <v>0.5964</v>
      </c>
      <c r="C387" s="11" t="n">
        <v>1.632</v>
      </c>
      <c r="D387" s="11" t="n">
        <v>-1.019</v>
      </c>
    </row>
    <row r="388">
      <c r="A388" s="3" t="inlineStr">
        <is>
          <t>2005Q3</t>
        </is>
      </c>
      <c r="B388" s="11" t="n">
        <v>0.0571</v>
      </c>
      <c r="C388" s="11" t="n">
        <v>2.1378</v>
      </c>
      <c r="D388" s="11" t="n">
        <v>-2.0371</v>
      </c>
    </row>
    <row r="389">
      <c r="A389" s="3" t="inlineStr">
        <is>
          <t>2005Q4</t>
        </is>
      </c>
      <c r="B389" s="11" t="n">
        <v>-0.0153</v>
      </c>
      <c r="C389" s="11" t="n">
        <v>2.2914</v>
      </c>
      <c r="D389" s="11" t="n">
        <v>-2.2549</v>
      </c>
    </row>
    <row r="390">
      <c r="A390" s="3" t="inlineStr">
        <is>
          <t>2006Q1</t>
        </is>
      </c>
      <c r="B390" s="11" t="n">
        <v>0.8984</v>
      </c>
      <c r="C390" s="11" t="n">
        <v>2.0532</v>
      </c>
      <c r="D390" s="11" t="n">
        <v>-1.1316</v>
      </c>
    </row>
    <row r="391">
      <c r="A391" s="3" t="inlineStr">
        <is>
          <t>2006Q2</t>
        </is>
      </c>
      <c r="B391" s="11" t="n">
        <v>1.0704</v>
      </c>
      <c r="C391" s="11" t="n">
        <v>2.1222</v>
      </c>
      <c r="D391" s="11" t="n">
        <v>-1.0299</v>
      </c>
    </row>
    <row r="392">
      <c r="A392" s="3" t="inlineStr">
        <is>
          <t>2006Q3</t>
        </is>
      </c>
      <c r="B392" s="11" t="n">
        <v>1.5403</v>
      </c>
      <c r="C392" s="11" t="n">
        <v>1.6069</v>
      </c>
      <c r="D392" s="11" t="n">
        <v>-0.0655</v>
      </c>
    </row>
    <row r="393">
      <c r="A393" s="3" t="inlineStr">
        <is>
          <t>2006Q4</t>
        </is>
      </c>
      <c r="B393" s="11" t="n">
        <v>1.2141</v>
      </c>
      <c r="C393" s="11" t="n">
        <v>1.2961</v>
      </c>
      <c r="D393" s="11" t="n">
        <v>-0.0809</v>
      </c>
    </row>
    <row r="394">
      <c r="A394" s="3" t="inlineStr">
        <is>
          <t>2007Q1</t>
        </is>
      </c>
      <c r="B394" s="11" t="n">
        <v>0.8572</v>
      </c>
      <c r="C394" s="11" t="n">
        <v>1.8897</v>
      </c>
      <c r="D394" s="11" t="n">
        <v>-1.0133</v>
      </c>
    </row>
    <row r="395">
      <c r="A395" s="3" t="inlineStr">
        <is>
          <t>2007Q2</t>
        </is>
      </c>
      <c r="B395" s="11" t="n">
        <v>1.1843</v>
      </c>
      <c r="C395" s="11" t="n">
        <v>2.0022</v>
      </c>
      <c r="D395" s="11" t="n">
        <v>-0.8018999999999999</v>
      </c>
    </row>
    <row r="396">
      <c r="A396" s="3" t="inlineStr">
        <is>
          <t>2007Q3</t>
        </is>
      </c>
      <c r="B396" s="11" t="n">
        <v>0.7099</v>
      </c>
      <c r="C396" s="11" t="n">
        <v>2.1909</v>
      </c>
      <c r="D396" s="11" t="n">
        <v>-1.4492</v>
      </c>
    </row>
    <row r="397">
      <c r="A397" s="3" t="inlineStr">
        <is>
          <t>2007Q4</t>
        </is>
      </c>
      <c r="B397" s="11" t="n">
        <v>1.2111</v>
      </c>
      <c r="C397" s="11" t="n">
        <v>3.0526</v>
      </c>
      <c r="D397" s="11" t="n">
        <v>-1.7869</v>
      </c>
    </row>
    <row r="398">
      <c r="A398" s="3" t="inlineStr">
        <is>
          <t>2008Q1</t>
        </is>
      </c>
      <c r="B398" s="11" t="n">
        <v>1.9804</v>
      </c>
      <c r="C398" s="11" t="n">
        <v>3.0694</v>
      </c>
      <c r="D398" s="11" t="n">
        <v>-1.0566</v>
      </c>
    </row>
    <row r="399">
      <c r="A399" s="3" t="inlineStr">
        <is>
          <t>2008Q2</t>
        </is>
      </c>
      <c r="B399" s="11" t="n">
        <v>2.4966</v>
      </c>
      <c r="C399" s="11" t="n">
        <v>3.0138</v>
      </c>
      <c r="D399" s="11" t="n">
        <v>-0.502</v>
      </c>
    </row>
    <row r="400">
      <c r="A400" s="3" t="inlineStr">
        <is>
          <t>2008Q3</t>
        </is>
      </c>
      <c r="B400" s="11" t="n">
        <v>2.3327</v>
      </c>
      <c r="C400" s="11" t="n">
        <v>3.243</v>
      </c>
      <c r="D400" s="11" t="n">
        <v>-0.8817</v>
      </c>
    </row>
    <row r="401">
      <c r="A401" s="3" t="inlineStr">
        <is>
          <t>2008Q4</t>
        </is>
      </c>
      <c r="B401" s="11" t="n">
        <v>2.4022</v>
      </c>
      <c r="C401" s="11" t="n">
        <v>1.6913</v>
      </c>
      <c r="D401" s="11" t="n">
        <v>0.6991000000000001</v>
      </c>
    </row>
    <row r="402">
      <c r="A402" s="3" t="inlineStr">
        <is>
          <t>2009Q1</t>
        </is>
      </c>
      <c r="B402" s="11" t="n">
        <v>1.0845</v>
      </c>
      <c r="C402" s="11" t="n">
        <v>0.7809</v>
      </c>
      <c r="D402" s="11" t="n">
        <v>0.3013</v>
      </c>
    </row>
    <row r="403">
      <c r="A403" s="3" t="inlineStr">
        <is>
          <t>2009Q2</t>
        </is>
      </c>
      <c r="B403" s="11" t="n">
        <v>0.2033</v>
      </c>
      <c r="C403" s="11" t="n">
        <v>0.1925</v>
      </c>
      <c r="D403" s="11" t="n">
        <v>0.0108</v>
      </c>
    </row>
    <row r="404">
      <c r="A404" s="3" t="inlineStr">
        <is>
          <t>2009Q3</t>
        </is>
      </c>
      <c r="B404" s="11" t="n">
        <v>0.5315</v>
      </c>
      <c r="C404" s="11" t="n">
        <v>-0.3914</v>
      </c>
      <c r="D404" s="11" t="n">
        <v>0.9266</v>
      </c>
    </row>
    <row r="405">
      <c r="A405" s="3" t="inlineStr">
        <is>
          <t>2009Q4</t>
        </is>
      </c>
      <c r="B405" s="11" t="n">
        <v>0.127</v>
      </c>
      <c r="C405" s="11" t="n">
        <v>0.3605</v>
      </c>
      <c r="D405" s="11" t="n">
        <v>-0.2327</v>
      </c>
    </row>
    <row r="406">
      <c r="A406" s="3" t="inlineStr">
        <is>
          <t>2010Q1</t>
        </is>
      </c>
      <c r="B406" s="11" t="n">
        <v>2.1975</v>
      </c>
      <c r="C406" s="11" t="n">
        <v>0.7893</v>
      </c>
      <c r="D406" s="11" t="n">
        <v>1.3972</v>
      </c>
    </row>
    <row r="407">
      <c r="A407" s="3" t="inlineStr">
        <is>
          <t>2010Q2</t>
        </is>
      </c>
      <c r="B407" s="11" t="n">
        <v>2.6463</v>
      </c>
      <c r="C407" s="11" t="n">
        <v>1.0422</v>
      </c>
      <c r="D407" s="11" t="n">
        <v>1.5876</v>
      </c>
    </row>
    <row r="408">
      <c r="A408" s="3" t="inlineStr">
        <is>
          <t>2010Q3</t>
        </is>
      </c>
      <c r="B408" s="11" t="n">
        <v>2.414</v>
      </c>
      <c r="C408" s="11" t="n">
        <v>1.1598</v>
      </c>
      <c r="D408" s="11" t="n">
        <v>1.2399</v>
      </c>
    </row>
    <row r="409">
      <c r="A409" s="3" t="inlineStr">
        <is>
          <t>2010Q4</t>
        </is>
      </c>
      <c r="B409" s="11" t="n">
        <v>2.6787</v>
      </c>
      <c r="C409" s="11" t="n">
        <v>1.571</v>
      </c>
      <c r="D409" s="11" t="n">
        <v>1.0906</v>
      </c>
    </row>
    <row r="410">
      <c r="A410" s="3" t="inlineStr">
        <is>
          <t>2011Q1</t>
        </is>
      </c>
      <c r="B410" s="11" t="n">
        <v>3.01</v>
      </c>
      <c r="C410" s="11" t="n">
        <v>2.1487</v>
      </c>
      <c r="D410" s="11" t="n">
        <v>0.8431999999999999</v>
      </c>
    </row>
    <row r="411">
      <c r="A411" s="3" t="inlineStr">
        <is>
          <t>2011Q2</t>
        </is>
      </c>
      <c r="B411" s="11" t="n">
        <v>3.5217</v>
      </c>
      <c r="C411" s="11" t="n">
        <v>2.5144</v>
      </c>
      <c r="D411" s="11" t="n">
        <v>0.9826</v>
      </c>
    </row>
    <row r="412">
      <c r="A412" s="3" t="inlineStr">
        <is>
          <t>2011Q3</t>
        </is>
      </c>
      <c r="B412" s="11" t="n">
        <v>2.8756</v>
      </c>
      <c r="C412" s="11" t="n">
        <v>2.6388</v>
      </c>
      <c r="D412" s="11" t="n">
        <v>0.2307</v>
      </c>
    </row>
    <row r="413">
      <c r="A413" s="3" t="inlineStr">
        <is>
          <t>2011Q4</t>
        </is>
      </c>
      <c r="B413" s="11" t="n">
        <v>2.6069</v>
      </c>
      <c r="C413" s="11" t="n">
        <v>2.5935</v>
      </c>
      <c r="D413" s="11" t="n">
        <v>0.0131</v>
      </c>
    </row>
    <row r="414">
      <c r="A414" s="3" t="inlineStr">
        <is>
          <t>2012Q1</t>
        </is>
      </c>
      <c r="B414" s="11" t="n">
        <v>2.4234</v>
      </c>
      <c r="C414" s="11" t="n">
        <v>2.4027</v>
      </c>
      <c r="D414" s="11" t="n">
        <v>0.0203</v>
      </c>
    </row>
    <row r="415">
      <c r="A415" s="3" t="inlineStr">
        <is>
          <t>2012Q2</t>
        </is>
      </c>
      <c r="B415" s="11" t="n">
        <v>2.7925</v>
      </c>
      <c r="C415" s="11" t="n">
        <v>2.0957</v>
      </c>
      <c r="D415" s="11" t="n">
        <v>0.6825</v>
      </c>
    </row>
    <row r="416">
      <c r="A416" s="3" t="inlineStr">
        <is>
          <t>2012Q3</t>
        </is>
      </c>
      <c r="B416" s="11" t="n">
        <v>2.6879</v>
      </c>
      <c r="C416" s="11" t="n">
        <v>2.0771</v>
      </c>
      <c r="D416" s="11" t="n">
        <v>0.5984</v>
      </c>
    </row>
    <row r="417">
      <c r="A417" s="3" t="inlineStr">
        <is>
          <t>2012Q4</t>
        </is>
      </c>
      <c r="B417" s="11" t="n">
        <v>2.6815</v>
      </c>
      <c r="C417" s="11" t="n">
        <v>1.9902</v>
      </c>
      <c r="D417" s="11" t="n">
        <v>0.6778999999999999</v>
      </c>
    </row>
    <row r="418">
      <c r="A418" s="3" t="inlineStr">
        <is>
          <t>2013Q1</t>
        </is>
      </c>
      <c r="B418" s="11" t="n">
        <v>2.0384</v>
      </c>
      <c r="C418" s="11" t="n">
        <v>1.835</v>
      </c>
      <c r="D418" s="11" t="n">
        <v>0.1997</v>
      </c>
    </row>
    <row r="419">
      <c r="A419" s="3" t="inlineStr">
        <is>
          <t>2013Q2</t>
        </is>
      </c>
      <c r="B419" s="11" t="n">
        <v>1.8788</v>
      </c>
      <c r="C419" s="11" t="n">
        <v>1.5168</v>
      </c>
      <c r="D419" s="11" t="n">
        <v>0.3566</v>
      </c>
    </row>
    <row r="420">
      <c r="A420" s="3" t="inlineStr">
        <is>
          <t>2013Q3</t>
        </is>
      </c>
      <c r="B420" s="11" t="n">
        <v>2.12</v>
      </c>
      <c r="C420" s="11" t="n">
        <v>1.6866</v>
      </c>
      <c r="D420" s="11" t="n">
        <v>0.4262</v>
      </c>
    </row>
    <row r="421">
      <c r="A421" s="3" t="inlineStr">
        <is>
          <t>2013Q4</t>
        </is>
      </c>
      <c r="B421" s="11" t="n">
        <v>2.2137</v>
      </c>
      <c r="C421" s="11" t="n">
        <v>1.37</v>
      </c>
      <c r="D421" s="11" t="n">
        <v>0.8323</v>
      </c>
    </row>
    <row r="422">
      <c r="A422" s="3" t="inlineStr">
        <is>
          <t>2014Q1</t>
        </is>
      </c>
      <c r="B422" s="11" t="n">
        <v>3.1831</v>
      </c>
      <c r="C422" s="11" t="n">
        <v>0.9861</v>
      </c>
      <c r="D422" s="11" t="n">
        <v>2.1755</v>
      </c>
    </row>
    <row r="423">
      <c r="A423" s="3" t="inlineStr">
        <is>
          <t>2014Q2</t>
        </is>
      </c>
      <c r="B423" s="11" t="n">
        <v>2.8741</v>
      </c>
      <c r="C423" s="11" t="n">
        <v>0.9081</v>
      </c>
      <c r="D423" s="11" t="n">
        <v>1.9483</v>
      </c>
    </row>
    <row r="424">
      <c r="A424" s="3" t="inlineStr">
        <is>
          <t>2014Q3</t>
        </is>
      </c>
      <c r="B424" s="11" t="n">
        <v>2.848</v>
      </c>
      <c r="C424" s="11" t="n">
        <v>0.7871</v>
      </c>
      <c r="D424" s="11" t="n">
        <v>2.0448</v>
      </c>
    </row>
    <row r="425">
      <c r="A425" s="3" t="inlineStr">
        <is>
          <t>2014Q4</t>
        </is>
      </c>
      <c r="B425" s="11" t="n">
        <v>3.0428</v>
      </c>
      <c r="C425" s="11" t="n">
        <v>0.449</v>
      </c>
      <c r="D425" s="11" t="n">
        <v>2.5822</v>
      </c>
    </row>
    <row r="426">
      <c r="A426" s="3" t="inlineStr">
        <is>
          <t>2015Q1</t>
        </is>
      </c>
      <c r="B426" s="11" t="n">
        <v>2.6083</v>
      </c>
      <c r="C426" s="11" t="n">
        <v>-0.1065</v>
      </c>
      <c r="D426" s="11" t="n">
        <v>2.7177</v>
      </c>
    </row>
    <row r="427">
      <c r="A427" s="3" t="inlineStr">
        <is>
          <t>2015Q2</t>
        </is>
      </c>
      <c r="B427" s="11" t="n">
        <v>3.1333</v>
      </c>
      <c r="C427" s="11" t="n">
        <v>1.259</v>
      </c>
      <c r="D427" s="11" t="n">
        <v>1.851</v>
      </c>
    </row>
    <row r="428">
      <c r="A428" s="3" t="inlineStr">
        <is>
          <t>2015Q3</t>
        </is>
      </c>
      <c r="B428" s="11" t="n">
        <v>2.9367</v>
      </c>
      <c r="C428" s="11" t="n">
        <v>1.081</v>
      </c>
      <c r="D428" s="11" t="n">
        <v>1.8359</v>
      </c>
    </row>
    <row r="429">
      <c r="A429" s="3" t="inlineStr">
        <is>
          <t>2015Q4</t>
        </is>
      </c>
      <c r="B429" s="11" t="n">
        <v>2.8389</v>
      </c>
      <c r="C429" s="11" t="n">
        <v>0.5266999999999999</v>
      </c>
      <c r="D429" s="11" t="n">
        <v>2.3001</v>
      </c>
    </row>
    <row r="430">
      <c r="A430" s="3" t="inlineStr">
        <is>
          <t>2016Q1</t>
        </is>
      </c>
      <c r="B430" s="11" t="n">
        <v>2.8372</v>
      </c>
      <c r="C430" s="11" t="n">
        <v>0.12</v>
      </c>
      <c r="D430" s="11" t="n">
        <v>2.714</v>
      </c>
    </row>
    <row r="431">
      <c r="A431" s="3" t="inlineStr">
        <is>
          <t>2016Q2</t>
        </is>
      </c>
      <c r="B431" s="11" t="n">
        <v>2.0218</v>
      </c>
      <c r="C431" s="11" t="n">
        <v>-0.1051</v>
      </c>
      <c r="D431" s="11" t="n">
        <v>2.1291</v>
      </c>
    </row>
    <row r="432">
      <c r="A432" s="3" t="inlineStr">
        <is>
          <t>2016Q3</t>
        </is>
      </c>
      <c r="B432" s="11" t="n">
        <v>2.3193</v>
      </c>
      <c r="C432" s="11" t="n">
        <v>0.3797</v>
      </c>
      <c r="D432" s="11" t="n">
        <v>1.9322</v>
      </c>
    </row>
    <row r="433">
      <c r="A433" s="3" t="inlineStr">
        <is>
          <t>2016Q4</t>
        </is>
      </c>
      <c r="B433" s="11" t="n">
        <v>2.372</v>
      </c>
      <c r="C433" s="11" t="n">
        <v>1.0082</v>
      </c>
      <c r="D433" s="11" t="n">
        <v>1.3502</v>
      </c>
    </row>
    <row r="434">
      <c r="A434" s="3" t="inlineStr">
        <is>
          <t>2017Q1</t>
        </is>
      </c>
      <c r="B434" s="11" t="n">
        <v>2.633</v>
      </c>
      <c r="C434" s="11" t="n">
        <v>1.7886</v>
      </c>
      <c r="D434" s="11" t="n">
        <v>0.8296</v>
      </c>
    </row>
    <row r="435">
      <c r="A435" s="3" t="inlineStr">
        <is>
          <t>2017Q2</t>
        </is>
      </c>
      <c r="B435" s="11" t="n">
        <v>2.859</v>
      </c>
      <c r="C435" s="11" t="n">
        <v>1.6698</v>
      </c>
      <c r="D435" s="11" t="n">
        <v>1.1697</v>
      </c>
    </row>
    <row r="436">
      <c r="A436" s="3" t="inlineStr">
        <is>
          <t>2017Q3</t>
        </is>
      </c>
      <c r="B436" s="11" t="n">
        <v>2.7775</v>
      </c>
      <c r="C436" s="11" t="n">
        <v>1.8133</v>
      </c>
      <c r="D436" s="11" t="n">
        <v>0.947</v>
      </c>
    </row>
    <row r="437">
      <c r="A437" s="3" t="inlineStr">
        <is>
          <t>2017Q4</t>
        </is>
      </c>
      <c r="B437" s="11" t="n">
        <v>2.8124</v>
      </c>
      <c r="C437" s="11" t="n">
        <v>1.5822</v>
      </c>
      <c r="D437" s="11" t="n">
        <v>1.211</v>
      </c>
    </row>
    <row r="438">
      <c r="A438" s="3" t="inlineStr">
        <is>
          <t>2018Q1</t>
        </is>
      </c>
      <c r="B438" s="11" t="n">
        <v>2.9736</v>
      </c>
      <c r="C438" s="11" t="n">
        <v>1.4258</v>
      </c>
      <c r="D438" s="11" t="n">
        <v>1.5261</v>
      </c>
    </row>
    <row r="439">
      <c r="A439" s="3" t="inlineStr">
        <is>
          <t>2018Q2</t>
        </is>
      </c>
      <c r="B439" s="11" t="n">
        <v>3.0386</v>
      </c>
      <c r="C439" s="11" t="n">
        <v>1.901</v>
      </c>
      <c r="D439" s="11" t="n">
        <v>1.1164</v>
      </c>
    </row>
    <row r="440">
      <c r="A440" s="3" t="inlineStr">
        <is>
          <t>2018Q3</t>
        </is>
      </c>
      <c r="B440" s="11" t="n">
        <v>3.586</v>
      </c>
      <c r="C440" s="11" t="n">
        <v>2.1867</v>
      </c>
      <c r="D440" s="11" t="n">
        <v>1.3694</v>
      </c>
    </row>
    <row r="441">
      <c r="A441" s="3" t="inlineStr">
        <is>
          <t>2018Q4</t>
        </is>
      </c>
      <c r="B441" s="11" t="n">
        <v>3.0288</v>
      </c>
      <c r="C441" s="11" t="n">
        <v>2.1196</v>
      </c>
      <c r="D441" s="11" t="n">
        <v>0.8903</v>
      </c>
    </row>
    <row r="442">
      <c r="A442" s="3" t="inlineStr">
        <is>
          <t>2019Q1</t>
        </is>
      </c>
      <c r="B442" s="11" t="n">
        <v>3.4076</v>
      </c>
      <c r="C442" s="11" t="n">
        <v>1.5992</v>
      </c>
      <c r="D442" s="11" t="n">
        <v>1.78</v>
      </c>
    </row>
    <row r="443">
      <c r="A443" s="3" t="inlineStr">
        <is>
          <t>2019Q2</t>
        </is>
      </c>
      <c r="B443" s="11" t="n">
        <v>3.4751</v>
      </c>
      <c r="C443" s="11" t="n">
        <v>1.6794</v>
      </c>
      <c r="D443" s="11" t="n">
        <v>1.766</v>
      </c>
    </row>
    <row r="444">
      <c r="A444" s="3" t="inlineStr">
        <is>
          <t>2019Q3</t>
        </is>
      </c>
      <c r="B444" s="11" t="n">
        <v>3.6894</v>
      </c>
      <c r="C444" s="11" t="n">
        <v>1.0532</v>
      </c>
      <c r="D444" s="11" t="n">
        <v>2.6087</v>
      </c>
    </row>
    <row r="445">
      <c r="A445" s="3" t="inlineStr">
        <is>
          <t>2019Q4</t>
        </is>
      </c>
      <c r="B445" s="11" t="n">
        <v>2.7536</v>
      </c>
      <c r="C445" s="11" t="n">
        <v>1.2143</v>
      </c>
      <c r="D445" s="11" t="n">
        <v>1.5208</v>
      </c>
    </row>
    <row r="446">
      <c r="A446" s="3" t="inlineStr">
        <is>
          <t>2020Q1</t>
        </is>
      </c>
      <c r="B446" s="11" t="n">
        <v>2.1114</v>
      </c>
      <c r="C446" s="11" t="n">
        <v>1.5571</v>
      </c>
      <c r="D446" s="11" t="n">
        <v>0.5458</v>
      </c>
    </row>
    <row r="447">
      <c r="A447" s="3" t="inlineStr">
        <is>
          <t>2020Q2</t>
        </is>
      </c>
      <c r="B447" s="11" t="n">
        <v>-2.4246</v>
      </c>
      <c r="C447" s="11" t="n">
        <v>0.7030999999999999</v>
      </c>
      <c r="D447" s="11" t="n">
        <v>-3.1059</v>
      </c>
    </row>
    <row r="448">
      <c r="A448" s="3" t="inlineStr">
        <is>
          <t>2020Q3</t>
        </is>
      </c>
      <c r="B448" s="11" t="n">
        <v>0.1023</v>
      </c>
      <c r="C448" s="11" t="n">
        <v>-0.1737</v>
      </c>
      <c r="D448" s="11" t="n">
        <v>0.2765</v>
      </c>
    </row>
    <row r="449">
      <c r="A449" s="3" t="inlineStr">
        <is>
          <t>2020Q4</t>
        </is>
      </c>
      <c r="B449" s="11" t="n">
        <v>1.3298</v>
      </c>
      <c r="C449" s="11" t="n">
        <v>-0.5936</v>
      </c>
      <c r="D449" s="11" t="n">
        <v>1.9349</v>
      </c>
    </row>
    <row r="450">
      <c r="A450" s="3" t="inlineStr">
        <is>
          <t>2021Q1</t>
        </is>
      </c>
      <c r="B450" s="11" t="n">
        <v>0.4784</v>
      </c>
      <c r="C450" s="11" t="n">
        <v>1.7165</v>
      </c>
      <c r="D450" s="11" t="n">
        <v>-1.2173</v>
      </c>
    </row>
    <row r="451">
      <c r="A451" s="3" t="inlineStr">
        <is>
          <t>2021Q2</t>
        </is>
      </c>
      <c r="B451" s="11" t="n">
        <v>4.8128</v>
      </c>
      <c r="C451" s="11" t="n">
        <v>2.169</v>
      </c>
      <c r="D451" s="11" t="n">
        <v>2.5877</v>
      </c>
    </row>
    <row r="452">
      <c r="A452" s="3" t="inlineStr">
        <is>
          <t>2021Q3</t>
        </is>
      </c>
      <c r="B452" s="11" t="n">
        <v>3.7758</v>
      </c>
      <c r="C452" s="11" t="n">
        <v>3.5259</v>
      </c>
      <c r="D452" s="11" t="n">
        <v>0.2414</v>
      </c>
    </row>
    <row r="453">
      <c r="A453" s="3" t="inlineStr">
        <is>
          <t>2021Q4</t>
        </is>
      </c>
      <c r="B453" s="11" t="n">
        <v>3.4932</v>
      </c>
      <c r="C453" s="11" t="n">
        <v>5.4247</v>
      </c>
      <c r="D453" s="11" t="n">
        <v>-1.8321</v>
      </c>
    </row>
    <row r="454">
      <c r="A454" s="3" t="inlineStr">
        <is>
          <t>2022Q1</t>
        </is>
      </c>
      <c r="B454" s="11" t="n">
        <v>5.4811</v>
      </c>
      <c r="C454" s="11" t="n">
        <v>6.0703</v>
      </c>
      <c r="D454" s="11" t="n">
        <v>-0.5555</v>
      </c>
    </row>
    <row r="455">
      <c r="A455" s="3" t="inlineStr">
        <is>
          <t>2022Q2</t>
        </is>
      </c>
      <c r="B455" s="11" t="n">
        <v>4.1826</v>
      </c>
      <c r="C455" s="11" t="n">
        <v>8.2774</v>
      </c>
      <c r="D455" s="11" t="n">
        <v>-3.7818</v>
      </c>
    </row>
    <row r="456">
      <c r="A456" s="3" t="inlineStr">
        <is>
          <t>2022Q3</t>
        </is>
      </c>
      <c r="B456" s="11" t="n">
        <v>3.3281</v>
      </c>
      <c r="C456" s="11" t="n">
        <v>9.408899999999999</v>
      </c>
      <c r="D456" s="11" t="n">
        <v>-5.5578</v>
      </c>
    </row>
    <row r="457">
      <c r="A457" s="3" t="inlineStr">
        <is>
          <t>2022Q4</t>
        </is>
      </c>
      <c r="B457" s="11" t="n">
        <v>4.5941</v>
      </c>
      <c r="C457" s="11" t="n">
        <v>10.8219</v>
      </c>
      <c r="D457" s="11" t="n">
        <v>-5.6197</v>
      </c>
    </row>
    <row r="458">
      <c r="A458" s="3" t="inlineStr">
        <is>
          <t>2023Q1</t>
        </is>
      </c>
      <c r="B458" s="11" t="n">
        <v>5.9094</v>
      </c>
      <c r="C458" s="11" t="n">
        <v>8.7658</v>
      </c>
      <c r="D458" s="11" t="n">
        <v>-2.6262</v>
      </c>
    </row>
    <row r="459">
      <c r="A459" s="3" t="inlineStr">
        <is>
          <t>2023Q2</t>
        </is>
      </c>
      <c r="B459" s="11" t="n">
        <v>6.4811</v>
      </c>
      <c r="C459" s="11" t="n">
        <v>6.8604</v>
      </c>
      <c r="D459" s="11" t="n">
        <v>-0.3549</v>
      </c>
    </row>
    <row r="460">
      <c r="A460" s="3" t="inlineStr">
        <is>
          <t>2023Q3</t>
        </is>
      </c>
      <c r="B460" s="11" t="n">
        <v>6.5582</v>
      </c>
      <c r="C460" s="11" t="n">
        <v>5.71</v>
      </c>
      <c r="D460" s="11" t="n">
        <v>0.8024</v>
      </c>
    </row>
    <row r="461">
      <c r="A461" s="3" t="inlineStr">
        <is>
          <t>2023Q4</t>
        </is>
      </c>
      <c r="B461" s="11" t="n">
        <v>6.158</v>
      </c>
      <c r="C461" s="11" t="n">
        <v>2.9739</v>
      </c>
      <c r="D461" s="11" t="n">
        <v>3.0922</v>
      </c>
    </row>
    <row r="462">
      <c r="A462" s="3" t="inlineStr">
        <is>
          <t>2024Q1</t>
        </is>
      </c>
      <c r="B462" s="11" t="n">
        <v>5.7443</v>
      </c>
      <c r="C462" s="11" t="n">
        <v>2.6983</v>
      </c>
      <c r="D462" s="11" t="n">
        <v>2.9659</v>
      </c>
    </row>
    <row r="463">
      <c r="A463" s="3" t="inlineStr">
        <is>
          <t>2024Q2</t>
        </is>
      </c>
      <c r="B463" s="11" t="n">
        <v>5.3195</v>
      </c>
      <c r="C463" s="11" t="n">
        <v>2.5652</v>
      </c>
      <c r="D463" s="11" t="n">
        <v>2.6854</v>
      </c>
    </row>
    <row r="464">
      <c r="A464" s="3" t="inlineStr">
        <is>
          <t>2024Q3</t>
        </is>
      </c>
      <c r="B464" s="11" t="n">
        <v>5.2801</v>
      </c>
      <c r="C464" s="11" t="n">
        <v>2.1765</v>
      </c>
      <c r="D464" s="11" t="n">
        <v>3.0374</v>
      </c>
    </row>
    <row r="465">
      <c r="A465" s="3" t="inlineStr">
        <is>
          <t>2024Q4</t>
        </is>
      </c>
      <c r="B465" s="11" t="n">
        <v>4.5005</v>
      </c>
      <c r="C465" s="11" t="n">
        <v>2.5374</v>
      </c>
      <c r="D465" s="11" t="n">
        <v>1.9145</v>
      </c>
    </row>
    <row r="466">
      <c r="A466" s="3" t="inlineStr">
        <is>
          <t>2025Q1</t>
        </is>
      </c>
      <c r="B466" s="11" t="n">
        <v>4.6975</v>
      </c>
      <c r="C466" s="11" t="n">
        <v>2.5859</v>
      </c>
      <c r="D466" s="11" t="n">
        <v>2.0584</v>
      </c>
    </row>
    <row r="467">
      <c r="A467" s="3" t="inlineStr">
        <is>
          <t>2025Q2</t>
        </is>
      </c>
      <c r="B467" s="11" t="n">
        <v>4.911</v>
      </c>
      <c r="C467" s="11" t="n">
        <v>2.1024</v>
      </c>
      <c r="D467" s="11" t="n">
        <v>2.7508</v>
      </c>
    </row>
    <row r="468">
      <c r="A468" s="3" t="inlineStr">
        <is>
          <t>2025Q3</t>
        </is>
      </c>
      <c r="B468" s="11" t="n">
        <v>5.1679</v>
      </c>
      <c r="C468" s="11" t="n">
        <v>2.0794</v>
      </c>
      <c r="D468" s="11" t="n">
        <v>3.0256</v>
      </c>
    </row>
    <row r="469">
      <c r="A469" s="3" t="inlineStr">
        <is>
          <t>2025Q4</t>
        </is>
      </c>
      <c r="B469" s="11" t="n">
        <v>4.6351</v>
      </c>
      <c r="C469" s="11" t="n">
        <v>2.2952</v>
      </c>
      <c r="D469" s="11" t="n">
        <v>2.2874</v>
      </c>
    </row>
    <row r="470">
      <c r="A470" s="3" t="inlineStr">
        <is>
          <t>2026Q1</t>
        </is>
      </c>
      <c r="B470" s="11" t="n">
        <v>4.1643</v>
      </c>
      <c r="C470" s="11" t="n">
        <v>2.3118</v>
      </c>
      <c r="D470" s="11" t="n">
        <v>1.8107</v>
      </c>
    </row>
    <row r="471">
      <c r="A471" s="3" t="inlineStr">
        <is>
          <t>2026Q2</t>
        </is>
      </c>
      <c r="B471" s="11" t="n">
        <v>4.2706</v>
      </c>
      <c r="C471" s="11" t="n">
        <v>2.6264</v>
      </c>
      <c r="D471" s="11" t="n">
        <v>1.6021</v>
      </c>
    </row>
    <row r="474">
      <c r="A474" s="13" t="inlineStr">
        <is>
          <t>Francia - compensation_per_employee (Eurostat namq_10_a10 D1 / namq_10_a10_e SAL_DC), variazioni annue %</t>
        </is>
      </c>
    </row>
    <row r="475">
      <c r="A475" s="5" t="inlineStr">
        <is>
          <t>Periodo</t>
        </is>
      </c>
      <c r="B475" s="5" t="inlineStr">
        <is>
          <t>salari_nominali</t>
        </is>
      </c>
      <c r="C475" s="5" t="inlineStr">
        <is>
          <t>prezzi</t>
        </is>
      </c>
      <c r="D475" s="5" t="inlineStr">
        <is>
          <t>salari_reali</t>
        </is>
      </c>
    </row>
    <row r="476">
      <c r="A476" s="3" t="inlineStr">
        <is>
          <t>2001Q1</t>
        </is>
      </c>
      <c r="B476" s="11" t="n">
        <v>2.2991</v>
      </c>
      <c r="C476" s="11" t="n">
        <v>1.4373</v>
      </c>
      <c r="D476" s="11" t="n">
        <v>0.8496</v>
      </c>
    </row>
    <row r="477">
      <c r="A477" s="3" t="inlineStr">
        <is>
          <t>2001Q2</t>
        </is>
      </c>
      <c r="B477" s="11" t="n">
        <v>2.7412</v>
      </c>
      <c r="C477" s="11" t="n">
        <v>2.2306</v>
      </c>
      <c r="D477" s="11" t="n">
        <v>0.4994</v>
      </c>
    </row>
    <row r="478">
      <c r="A478" s="3" t="inlineStr">
        <is>
          <t>2001Q3</t>
        </is>
      </c>
      <c r="B478" s="11" t="n">
        <v>2.8572</v>
      </c>
      <c r="C478" s="11" t="n">
        <v>1.9415</v>
      </c>
      <c r="D478" s="11" t="n">
        <v>0.8983</v>
      </c>
    </row>
    <row r="479">
      <c r="A479" s="3" t="inlineStr">
        <is>
          <t>2001Q4</t>
        </is>
      </c>
      <c r="B479" s="11" t="n">
        <v>2.7563</v>
      </c>
      <c r="C479" s="11" t="n">
        <v>1.5215</v>
      </c>
      <c r="D479" s="11" t="n">
        <v>1.2162</v>
      </c>
    </row>
    <row r="480">
      <c r="A480" s="3" t="inlineStr">
        <is>
          <t>2002Q1</t>
        </is>
      </c>
      <c r="B480" s="11" t="n">
        <v>3.4559</v>
      </c>
      <c r="C480" s="11" t="n">
        <v>2.286</v>
      </c>
      <c r="D480" s="11" t="n">
        <v>1.1437</v>
      </c>
    </row>
    <row r="481">
      <c r="A481" s="3" t="inlineStr">
        <is>
          <t>2002Q2</t>
        </is>
      </c>
      <c r="B481" s="11" t="n">
        <v>3.6291</v>
      </c>
      <c r="C481" s="11" t="n">
        <v>1.6936</v>
      </c>
      <c r="D481" s="11" t="n">
        <v>1.9033</v>
      </c>
    </row>
    <row r="482">
      <c r="A482" s="3" t="inlineStr">
        <is>
          <t>2002Q3</t>
        </is>
      </c>
      <c r="B482" s="11" t="n">
        <v>3.6084</v>
      </c>
      <c r="C482" s="11" t="n">
        <v>1.7281</v>
      </c>
      <c r="D482" s="11" t="n">
        <v>1.8484</v>
      </c>
    </row>
    <row r="483">
      <c r="A483" s="3" t="inlineStr">
        <is>
          <t>2002Q4</t>
        </is>
      </c>
      <c r="B483" s="11" t="n">
        <v>3.3624</v>
      </c>
      <c r="C483" s="11" t="n">
        <v>2.0588</v>
      </c>
      <c r="D483" s="11" t="n">
        <v>1.2773</v>
      </c>
    </row>
    <row r="484">
      <c r="A484" s="3" t="inlineStr">
        <is>
          <t>2003Q1</t>
        </is>
      </c>
      <c r="B484" s="11" t="n">
        <v>3.0477</v>
      </c>
      <c r="C484" s="11" t="n">
        <v>2.3173</v>
      </c>
      <c r="D484" s="11" t="n">
        <v>0.7138</v>
      </c>
    </row>
    <row r="485">
      <c r="A485" s="3" t="inlineStr">
        <is>
          <t>2003Q2</t>
        </is>
      </c>
      <c r="B485" s="11" t="n">
        <v>2.6873</v>
      </c>
      <c r="C485" s="11" t="n">
        <v>1.9055</v>
      </c>
      <c r="D485" s="11" t="n">
        <v>0.7672</v>
      </c>
    </row>
    <row r="486">
      <c r="A486" s="3" t="inlineStr">
        <is>
          <t>2003Q3</t>
        </is>
      </c>
      <c r="B486" s="11" t="n">
        <v>2.9659</v>
      </c>
      <c r="C486" s="11" t="n">
        <v>2.0711</v>
      </c>
      <c r="D486" s="11" t="n">
        <v>0.8766</v>
      </c>
    </row>
    <row r="487">
      <c r="A487" s="3" t="inlineStr">
        <is>
          <t>2003Q4</t>
        </is>
      </c>
      <c r="B487" s="11" t="n">
        <v>2.9485</v>
      </c>
      <c r="C487" s="11" t="n">
        <v>2.373</v>
      </c>
      <c r="D487" s="11" t="n">
        <v>0.5621</v>
      </c>
    </row>
    <row r="488">
      <c r="A488" s="3" t="inlineStr">
        <is>
          <t>2004Q1</t>
        </is>
      </c>
      <c r="B488" s="11" t="n">
        <v>3.5656</v>
      </c>
      <c r="C488" s="11" t="n">
        <v>2.0031</v>
      </c>
      <c r="D488" s="11" t="n">
        <v>1.5318</v>
      </c>
    </row>
    <row r="489">
      <c r="A489" s="3" t="inlineStr">
        <is>
          <t>2004Q2</t>
        </is>
      </c>
      <c r="B489" s="11" t="n">
        <v>3.4941</v>
      </c>
      <c r="C489" s="11" t="n">
        <v>2.6268</v>
      </c>
      <c r="D489" s="11" t="n">
        <v>0.8451</v>
      </c>
    </row>
    <row r="490">
      <c r="A490" s="3" t="inlineStr">
        <is>
          <t>2004Q3</t>
        </is>
      </c>
      <c r="B490" s="11" t="n">
        <v>3.1717</v>
      </c>
      <c r="C490" s="11" t="n">
        <v>2.4689</v>
      </c>
      <c r="D490" s="11" t="n">
        <v>0.6858</v>
      </c>
    </row>
    <row r="491">
      <c r="A491" s="3" t="inlineStr">
        <is>
          <t>2004Q4</t>
        </is>
      </c>
      <c r="B491" s="11" t="n">
        <v>3.4437</v>
      </c>
      <c r="C491" s="11" t="n">
        <v>2.2634</v>
      </c>
      <c r="D491" s="11" t="n">
        <v>1.1542</v>
      </c>
    </row>
    <row r="492">
      <c r="A492" s="3" t="inlineStr">
        <is>
          <t>2005Q1</t>
        </is>
      </c>
      <c r="B492" s="11" t="n">
        <v>2.8183</v>
      </c>
      <c r="C492" s="11" t="n">
        <v>1.875</v>
      </c>
      <c r="D492" s="11" t="n">
        <v>0.926</v>
      </c>
    </row>
    <row r="493">
      <c r="A493" s="3" t="inlineStr">
        <is>
          <t>2005Q2</t>
        </is>
      </c>
      <c r="B493" s="11" t="n">
        <v>2.9145</v>
      </c>
      <c r="C493" s="11" t="n">
        <v>1.8122</v>
      </c>
      <c r="D493" s="11" t="n">
        <v>1.0827</v>
      </c>
    </row>
    <row r="494">
      <c r="A494" s="3" t="inlineStr">
        <is>
          <t>2005Q3</t>
        </is>
      </c>
      <c r="B494" s="11" t="n">
        <v>3.2836</v>
      </c>
      <c r="C494" s="11" t="n">
        <v>2.0192</v>
      </c>
      <c r="D494" s="11" t="n">
        <v>1.2394</v>
      </c>
    </row>
    <row r="495">
      <c r="A495" s="3" t="inlineStr">
        <is>
          <t>2005Q4</t>
        </is>
      </c>
      <c r="B495" s="11" t="n">
        <v>3.3726</v>
      </c>
      <c r="C495" s="11" t="n">
        <v>1.8395</v>
      </c>
      <c r="D495" s="11" t="n">
        <v>1.5054</v>
      </c>
    </row>
    <row r="496">
      <c r="A496" s="3" t="inlineStr">
        <is>
          <t>2006Q1</t>
        </is>
      </c>
      <c r="B496" s="11" t="n">
        <v>3.4341</v>
      </c>
      <c r="C496" s="11" t="n">
        <v>1.9615</v>
      </c>
      <c r="D496" s="11" t="n">
        <v>1.4442</v>
      </c>
    </row>
    <row r="497">
      <c r="A497" s="3" t="inlineStr">
        <is>
          <t>2006Q2</t>
        </is>
      </c>
      <c r="B497" s="11" t="n">
        <v>3.244</v>
      </c>
      <c r="C497" s="11" t="n">
        <v>2.1782</v>
      </c>
      <c r="D497" s="11" t="n">
        <v>1.0431</v>
      </c>
    </row>
    <row r="498">
      <c r="A498" s="3" t="inlineStr">
        <is>
          <t>2006Q3</t>
        </is>
      </c>
      <c r="B498" s="11" t="n">
        <v>2.8385</v>
      </c>
      <c r="C498" s="11" t="n">
        <v>1.9171</v>
      </c>
      <c r="D498" s="11" t="n">
        <v>0.9041</v>
      </c>
    </row>
    <row r="499">
      <c r="A499" s="3" t="inlineStr">
        <is>
          <t>2006Q4</t>
        </is>
      </c>
      <c r="B499" s="11" t="n">
        <v>2.9343</v>
      </c>
      <c r="C499" s="11" t="n">
        <v>1.5061</v>
      </c>
      <c r="D499" s="11" t="n">
        <v>1.4071</v>
      </c>
    </row>
    <row r="500">
      <c r="A500" s="3" t="inlineStr">
        <is>
          <t>2007Q1</t>
        </is>
      </c>
      <c r="B500" s="11" t="n">
        <v>2.6496</v>
      </c>
      <c r="C500" s="11" t="n">
        <v>1.2778</v>
      </c>
      <c r="D500" s="11" t="n">
        <v>1.3545</v>
      </c>
    </row>
    <row r="501">
      <c r="A501" s="3" t="inlineStr">
        <is>
          <t>2007Q2</t>
        </is>
      </c>
      <c r="B501" s="11" t="n">
        <v>2.5606</v>
      </c>
      <c r="C501" s="11" t="n">
        <v>1.2584</v>
      </c>
      <c r="D501" s="11" t="n">
        <v>1.2861</v>
      </c>
    </row>
    <row r="502">
      <c r="A502" s="3" t="inlineStr">
        <is>
          <t>2007Q3</t>
        </is>
      </c>
      <c r="B502" s="11" t="n">
        <v>2.3553</v>
      </c>
      <c r="C502" s="11" t="n">
        <v>1.3557</v>
      </c>
      <c r="D502" s="11" t="n">
        <v>0.9862</v>
      </c>
    </row>
    <row r="503">
      <c r="A503" s="3" t="inlineStr">
        <is>
          <t>2007Q4</t>
        </is>
      </c>
      <c r="B503" s="11" t="n">
        <v>2.1136</v>
      </c>
      <c r="C503" s="11" t="n">
        <v>2.5214</v>
      </c>
      <c r="D503" s="11" t="n">
        <v>-0.3977</v>
      </c>
    </row>
    <row r="504">
      <c r="A504" s="3" t="inlineStr">
        <is>
          <t>2008Q1</t>
        </is>
      </c>
      <c r="B504" s="11" t="n">
        <v>2.6472</v>
      </c>
      <c r="C504" s="11" t="n">
        <v>3.3066</v>
      </c>
      <c r="D504" s="11" t="n">
        <v>-0.6383</v>
      </c>
    </row>
    <row r="505">
      <c r="A505" s="3" t="inlineStr">
        <is>
          <t>2008Q2</t>
        </is>
      </c>
      <c r="B505" s="11" t="n">
        <v>2.5822</v>
      </c>
      <c r="C505" s="11" t="n">
        <v>3.6865</v>
      </c>
      <c r="D505" s="11" t="n">
        <v>-1.0651</v>
      </c>
    </row>
    <row r="506">
      <c r="A506" s="3" t="inlineStr">
        <is>
          <t>2008Q3</t>
        </is>
      </c>
      <c r="B506" s="11" t="n">
        <v>2.8343</v>
      </c>
      <c r="C506" s="11" t="n">
        <v>3.6377</v>
      </c>
      <c r="D506" s="11" t="n">
        <v>-0.7752</v>
      </c>
    </row>
    <row r="507">
      <c r="A507" s="3" t="inlineStr">
        <is>
          <t>2008Q4</t>
        </is>
      </c>
      <c r="B507" s="11" t="n">
        <v>2.1143</v>
      </c>
      <c r="C507" s="11" t="n">
        <v>2.0197</v>
      </c>
      <c r="D507" s="11" t="n">
        <v>0.0927</v>
      </c>
    </row>
    <row r="508">
      <c r="A508" s="3" t="inlineStr">
        <is>
          <t>2009Q1</t>
        </is>
      </c>
      <c r="B508" s="11" t="n">
        <v>1.453</v>
      </c>
      <c r="C508" s="11" t="n">
        <v>0.6992</v>
      </c>
      <c r="D508" s="11" t="n">
        <v>0.7486</v>
      </c>
    </row>
    <row r="509">
      <c r="A509" s="3" t="inlineStr">
        <is>
          <t>2009Q2</t>
        </is>
      </c>
      <c r="B509" s="11" t="n">
        <v>1.3488</v>
      </c>
      <c r="C509" s="11" t="n">
        <v>-0.237</v>
      </c>
      <c r="D509" s="11" t="n">
        <v>1.5896</v>
      </c>
    </row>
    <row r="510">
      <c r="A510" s="3" t="inlineStr">
        <is>
          <t>2009Q3</t>
        </is>
      </c>
      <c r="B510" s="11" t="n">
        <v>1.3676</v>
      </c>
      <c r="C510" s="11" t="n">
        <v>-0.451</v>
      </c>
      <c r="D510" s="11" t="n">
        <v>1.8268</v>
      </c>
    </row>
    <row r="511">
      <c r="A511" s="3" t="inlineStr">
        <is>
          <t>2009Q4</t>
        </is>
      </c>
      <c r="B511" s="11" t="n">
        <v>2.1435</v>
      </c>
      <c r="C511" s="11" t="n">
        <v>0.4175</v>
      </c>
      <c r="D511" s="11" t="n">
        <v>1.7189</v>
      </c>
    </row>
    <row r="512">
      <c r="A512" s="3" t="inlineStr">
        <is>
          <t>2010Q1</t>
        </is>
      </c>
      <c r="B512" s="11" t="n">
        <v>2.6696</v>
      </c>
      <c r="C512" s="11" t="n">
        <v>1.4563</v>
      </c>
      <c r="D512" s="11" t="n">
        <v>1.196</v>
      </c>
    </row>
    <row r="513">
      <c r="A513" s="3" t="inlineStr">
        <is>
          <t>2010Q2</t>
        </is>
      </c>
      <c r="B513" s="11" t="n">
        <v>3.0006</v>
      </c>
      <c r="C513" s="11" t="n">
        <v>1.838</v>
      </c>
      <c r="D513" s="11" t="n">
        <v>1.1417</v>
      </c>
    </row>
    <row r="514">
      <c r="A514" s="3" t="inlineStr">
        <is>
          <t>2010Q3</t>
        </is>
      </c>
      <c r="B514" s="11" t="n">
        <v>2.8362</v>
      </c>
      <c r="C514" s="11" t="n">
        <v>1.763</v>
      </c>
      <c r="D514" s="11" t="n">
        <v>1.0546</v>
      </c>
    </row>
    <row r="515">
      <c r="A515" s="3" t="inlineStr">
        <is>
          <t>2010Q4</t>
        </is>
      </c>
      <c r="B515" s="11" t="n">
        <v>2.5151</v>
      </c>
      <c r="C515" s="11" t="n">
        <v>1.8865</v>
      </c>
      <c r="D515" s="11" t="n">
        <v>0.6169</v>
      </c>
    </row>
    <row r="516">
      <c r="A516" s="3" t="inlineStr">
        <is>
          <t>2011Q1</t>
        </is>
      </c>
      <c r="B516" s="11" t="n">
        <v>2.803</v>
      </c>
      <c r="C516" s="11" t="n">
        <v>1.9864</v>
      </c>
      <c r="D516" s="11" t="n">
        <v>0.8007</v>
      </c>
    </row>
    <row r="517">
      <c r="A517" s="3" t="inlineStr">
        <is>
          <t>2011Q2</t>
        </is>
      </c>
      <c r="B517" s="11" t="n">
        <v>2.5634</v>
      </c>
      <c r="C517" s="11" t="n">
        <v>2.223</v>
      </c>
      <c r="D517" s="11" t="n">
        <v>0.3329</v>
      </c>
    </row>
    <row r="518">
      <c r="A518" s="3" t="inlineStr">
        <is>
          <t>2011Q3</t>
        </is>
      </c>
      <c r="B518" s="11" t="n">
        <v>2.4062</v>
      </c>
      <c r="C518" s="11" t="n">
        <v>2.3143</v>
      </c>
      <c r="D518" s="11" t="n">
        <v>0.0898</v>
      </c>
    </row>
    <row r="519">
      <c r="A519" s="3" t="inlineStr">
        <is>
          <t>2011Q4</t>
        </is>
      </c>
      <c r="B519" s="11" t="n">
        <v>2.6278</v>
      </c>
      <c r="C519" s="11" t="n">
        <v>2.6414</v>
      </c>
      <c r="D519" s="11" t="n">
        <v>-0.0132</v>
      </c>
    </row>
    <row r="520">
      <c r="A520" s="3" t="inlineStr">
        <is>
          <t>2012Q1</t>
        </is>
      </c>
      <c r="B520" s="11" t="n">
        <v>2.1738</v>
      </c>
      <c r="C520" s="11" t="n">
        <v>2.5708</v>
      </c>
      <c r="D520" s="11" t="n">
        <v>-0.3871</v>
      </c>
    </row>
    <row r="521">
      <c r="A521" s="3" t="inlineStr">
        <is>
          <t>2012Q2</t>
        </is>
      </c>
      <c r="B521" s="11" t="n">
        <v>2.209</v>
      </c>
      <c r="C521" s="11" t="n">
        <v>2.3125</v>
      </c>
      <c r="D521" s="11" t="n">
        <v>-0.1011</v>
      </c>
    </row>
    <row r="522">
      <c r="A522" s="3" t="inlineStr">
        <is>
          <t>2012Q3</t>
        </is>
      </c>
      <c r="B522" s="11" t="n">
        <v>2.3879</v>
      </c>
      <c r="C522" s="11" t="n">
        <v>2.2576</v>
      </c>
      <c r="D522" s="11" t="n">
        <v>0.1274</v>
      </c>
    </row>
    <row r="523">
      <c r="A523" s="3" t="inlineStr">
        <is>
          <t>2012Q4</t>
        </is>
      </c>
      <c r="B523" s="11" t="n">
        <v>2.2323</v>
      </c>
      <c r="C523" s="11" t="n">
        <v>1.7441</v>
      </c>
      <c r="D523" s="11" t="n">
        <v>0.4799</v>
      </c>
    </row>
    <row r="524">
      <c r="A524" s="3" t="inlineStr">
        <is>
          <t>2013Q1</t>
        </is>
      </c>
      <c r="B524" s="11" t="n">
        <v>1.989</v>
      </c>
      <c r="C524" s="11" t="n">
        <v>1.2065</v>
      </c>
      <c r="D524" s="11" t="n">
        <v>0.7732</v>
      </c>
    </row>
    <row r="525">
      <c r="A525" s="3" t="inlineStr">
        <is>
          <t>2013Q2</t>
        </is>
      </c>
      <c r="B525" s="11" t="n">
        <v>2.1896</v>
      </c>
      <c r="C525" s="11" t="n">
        <v>0.9049</v>
      </c>
      <c r="D525" s="11" t="n">
        <v>1.2731</v>
      </c>
    </row>
    <row r="526">
      <c r="A526" s="3" t="inlineStr">
        <is>
          <t>2013Q3</t>
        </is>
      </c>
      <c r="B526" s="11" t="n">
        <v>2.1317</v>
      </c>
      <c r="C526" s="11" t="n">
        <v>1.0618</v>
      </c>
      <c r="D526" s="11" t="n">
        <v>1.0586</v>
      </c>
    </row>
    <row r="527">
      <c r="A527" s="3" t="inlineStr">
        <is>
          <t>2013Q4</t>
        </is>
      </c>
      <c r="B527" s="11" t="n">
        <v>1.6027</v>
      </c>
      <c r="C527" s="11" t="n">
        <v>0.7857</v>
      </c>
      <c r="D527" s="11" t="n">
        <v>0.8107</v>
      </c>
    </row>
    <row r="528">
      <c r="A528" s="3" t="inlineStr">
        <is>
          <t>2014Q1</t>
        </is>
      </c>
      <c r="B528" s="11" t="n">
        <v>1.5574</v>
      </c>
      <c r="C528" s="11" t="n">
        <v>0.8689</v>
      </c>
      <c r="D528" s="11" t="n">
        <v>0.6826</v>
      </c>
    </row>
    <row r="529">
      <c r="A529" s="3" t="inlineStr">
        <is>
          <t>2014Q2</t>
        </is>
      </c>
      <c r="B529" s="11" t="n">
        <v>1.245</v>
      </c>
      <c r="C529" s="11" t="n">
        <v>0.755</v>
      </c>
      <c r="D529" s="11" t="n">
        <v>0.4863</v>
      </c>
    </row>
    <row r="530">
      <c r="A530" s="3" t="inlineStr">
        <is>
          <t>2014Q3</t>
        </is>
      </c>
      <c r="B530" s="11" t="n">
        <v>1.1376</v>
      </c>
      <c r="C530" s="11" t="n">
        <v>0.4878</v>
      </c>
      <c r="D530" s="11" t="n">
        <v>0.6466</v>
      </c>
    </row>
    <row r="531">
      <c r="A531" s="3" t="inlineStr">
        <is>
          <t>2014Q4</t>
        </is>
      </c>
      <c r="B531" s="11" t="n">
        <v>1.3228</v>
      </c>
      <c r="C531" s="11" t="n">
        <v>0.3377</v>
      </c>
      <c r="D531" s="11" t="n">
        <v>0.9818</v>
      </c>
    </row>
    <row r="532">
      <c r="A532" s="3" t="inlineStr">
        <is>
          <t>2015Q1</t>
        </is>
      </c>
      <c r="B532" s="11" t="n">
        <v>1.2431</v>
      </c>
      <c r="C532" s="11" t="n">
        <v>-0.2455</v>
      </c>
      <c r="D532" s="11" t="n">
        <v>1.4923</v>
      </c>
    </row>
    <row r="533">
      <c r="A533" s="3" t="inlineStr">
        <is>
          <t>2015Q2</t>
        </is>
      </c>
      <c r="B533" s="11" t="n">
        <v>1.2325</v>
      </c>
      <c r="C533" s="11" t="n">
        <v>0.2608</v>
      </c>
      <c r="D533" s="11" t="n">
        <v>0.9692</v>
      </c>
    </row>
    <row r="534">
      <c r="A534" s="3" t="inlineStr">
        <is>
          <t>2015Q3</t>
        </is>
      </c>
      <c r="B534" s="11" t="n">
        <v>1.061</v>
      </c>
      <c r="C534" s="11" t="n">
        <v>0.1411</v>
      </c>
      <c r="D534" s="11" t="n">
        <v>0.9187</v>
      </c>
    </row>
    <row r="535">
      <c r="A535" s="3" t="inlineStr">
        <is>
          <t>2015Q4</t>
        </is>
      </c>
      <c r="B535" s="11" t="n">
        <v>1.1135</v>
      </c>
      <c r="C535" s="11" t="n">
        <v>0.1787</v>
      </c>
      <c r="D535" s="11" t="n">
        <v>0.9332</v>
      </c>
    </row>
    <row r="536">
      <c r="A536" s="3" t="inlineStr">
        <is>
          <t>2016Q1</t>
        </is>
      </c>
      <c r="B536" s="11" t="n">
        <v>1.3229</v>
      </c>
      <c r="C536" s="11" t="n">
        <v>0.0417</v>
      </c>
      <c r="D536" s="11" t="n">
        <v>1.2807</v>
      </c>
    </row>
    <row r="537">
      <c r="A537" s="3" t="inlineStr">
        <is>
          <t>2016Q2</t>
        </is>
      </c>
      <c r="B537" s="11" t="n">
        <v>0.8665</v>
      </c>
      <c r="C537" s="11" t="n">
        <v>0.095</v>
      </c>
      <c r="D537" s="11" t="n">
        <v>0.7708</v>
      </c>
    </row>
    <row r="538">
      <c r="A538" s="3" t="inlineStr">
        <is>
          <t>2016Q3</t>
        </is>
      </c>
      <c r="B538" s="11" t="n">
        <v>1.0318</v>
      </c>
      <c r="C538" s="11" t="n">
        <v>0.4309</v>
      </c>
      <c r="D538" s="11" t="n">
        <v>0.5984</v>
      </c>
    </row>
    <row r="539">
      <c r="A539" s="3" t="inlineStr">
        <is>
          <t>2016Q4</t>
        </is>
      </c>
      <c r="B539" s="11" t="n">
        <v>1.1815</v>
      </c>
      <c r="C539" s="11" t="n">
        <v>0.6553</v>
      </c>
      <c r="D539" s="11" t="n">
        <v>0.5228</v>
      </c>
    </row>
    <row r="540">
      <c r="A540" s="3" t="inlineStr">
        <is>
          <t>2017Q1</t>
        </is>
      </c>
      <c r="B540" s="11" t="n">
        <v>1.588</v>
      </c>
      <c r="C540" s="11" t="n">
        <v>1.4636</v>
      </c>
      <c r="D540" s="11" t="n">
        <v>0.1226</v>
      </c>
    </row>
    <row r="541">
      <c r="A541" s="3" t="inlineStr">
        <is>
          <t>2017Q2</t>
        </is>
      </c>
      <c r="B541" s="11" t="n">
        <v>1.9848</v>
      </c>
      <c r="C541" s="11" t="n">
        <v>1.0354</v>
      </c>
      <c r="D541" s="11" t="n">
        <v>0.9396</v>
      </c>
    </row>
    <row r="542">
      <c r="A542" s="3" t="inlineStr">
        <is>
          <t>2017Q3</t>
        </is>
      </c>
      <c r="B542" s="11" t="n">
        <v>2.0264</v>
      </c>
      <c r="C542" s="11" t="n">
        <v>0.9406</v>
      </c>
      <c r="D542" s="11" t="n">
        <v>1.0757</v>
      </c>
    </row>
    <row r="543">
      <c r="A543" s="3" t="inlineStr">
        <is>
          <t>2017Q4</t>
        </is>
      </c>
      <c r="B543" s="11" t="n">
        <v>2.2269</v>
      </c>
      <c r="C543" s="11" t="n">
        <v>1.2114</v>
      </c>
      <c r="D543" s="11" t="n">
        <v>1.0034</v>
      </c>
    </row>
    <row r="544">
      <c r="A544" s="3" t="inlineStr">
        <is>
          <t>2018Q1</t>
        </is>
      </c>
      <c r="B544" s="11" t="n">
        <v>1.2729</v>
      </c>
      <c r="C544" s="11" t="n">
        <v>1.5082</v>
      </c>
      <c r="D544" s="11" t="n">
        <v>-0.2318</v>
      </c>
    </row>
    <row r="545">
      <c r="A545" s="3" t="inlineStr">
        <is>
          <t>2018Q2</t>
        </is>
      </c>
      <c r="B545" s="11" t="n">
        <v>1.5302</v>
      </c>
      <c r="C545" s="11" t="n">
        <v>2.1395</v>
      </c>
      <c r="D545" s="11" t="n">
        <v>-0.5966</v>
      </c>
    </row>
    <row r="546">
      <c r="A546" s="3" t="inlineStr">
        <is>
          <t>2018Q3</t>
        </is>
      </c>
      <c r="B546" s="11" t="n">
        <v>1.7267</v>
      </c>
      <c r="C546" s="11" t="n">
        <v>2.5583</v>
      </c>
      <c r="D546" s="11" t="n">
        <v>-0.8109</v>
      </c>
    </row>
    <row r="547">
      <c r="A547" s="3" t="inlineStr">
        <is>
          <t>2018Q4</t>
        </is>
      </c>
      <c r="B547" s="11" t="n">
        <v>1.5181</v>
      </c>
      <c r="C547" s="11" t="n">
        <v>2.1861</v>
      </c>
      <c r="D547" s="11" t="n">
        <v>-0.6536999999999999</v>
      </c>
    </row>
    <row r="548">
      <c r="A548" s="3" t="inlineStr">
        <is>
          <t>2019Q1</t>
        </is>
      </c>
      <c r="B548" s="11" t="n">
        <v>0.6293</v>
      </c>
      <c r="C548" s="11" t="n">
        <v>1.4211</v>
      </c>
      <c r="D548" s="11" t="n">
        <v>-0.7806999999999999</v>
      </c>
    </row>
    <row r="549">
      <c r="A549" s="3" t="inlineStr">
        <is>
          <t>2019Q2</t>
        </is>
      </c>
      <c r="B549" s="11" t="n">
        <v>0.0203</v>
      </c>
      <c r="C549" s="11" t="n">
        <v>1.3032</v>
      </c>
      <c r="D549" s="11" t="n">
        <v>-1.2664</v>
      </c>
    </row>
    <row r="550">
      <c r="A550" s="3" t="inlineStr">
        <is>
          <t>2019Q3</t>
        </is>
      </c>
      <c r="B550" s="11" t="n">
        <v>-0.1203</v>
      </c>
      <c r="C550" s="11" t="n">
        <v>1.2234</v>
      </c>
      <c r="D550" s="11" t="n">
        <v>-1.3275</v>
      </c>
    </row>
    <row r="551">
      <c r="A551" s="3" t="inlineStr">
        <is>
          <t>2019Q4</t>
        </is>
      </c>
      <c r="B551" s="11" t="n">
        <v>-0.7241</v>
      </c>
      <c r="C551" s="11" t="n">
        <v>1.2509</v>
      </c>
      <c r="D551" s="11" t="n">
        <v>-1.9506</v>
      </c>
    </row>
    <row r="552">
      <c r="A552" s="3" t="inlineStr">
        <is>
          <t>2020Q1</t>
        </is>
      </c>
      <c r="B552" s="11" t="n">
        <v>-2.5012</v>
      </c>
      <c r="C552" s="11" t="n">
        <v>1.3293</v>
      </c>
      <c r="D552" s="11" t="n">
        <v>-3.7803</v>
      </c>
    </row>
    <row r="553">
      <c r="A553" s="3" t="inlineStr">
        <is>
          <t>2020Q2</t>
        </is>
      </c>
      <c r="B553" s="11" t="n">
        <v>-9.738200000000001</v>
      </c>
      <c r="C553" s="11" t="n">
        <v>0.3354</v>
      </c>
      <c r="D553" s="11" t="n">
        <v>-10.0399</v>
      </c>
    </row>
    <row r="554">
      <c r="A554" s="3" t="inlineStr">
        <is>
          <t>2020Q3</t>
        </is>
      </c>
      <c r="B554" s="11" t="n">
        <v>-0.546</v>
      </c>
      <c r="C554" s="11" t="n">
        <v>0.3504</v>
      </c>
      <c r="D554" s="11" t="n">
        <v>-0.8932</v>
      </c>
    </row>
    <row r="555">
      <c r="A555" s="3" t="inlineStr">
        <is>
          <t>2020Q4</t>
        </is>
      </c>
      <c r="B555" s="11" t="n">
        <v>-1.4074</v>
      </c>
      <c r="C555" s="11" t="n">
        <v>0.0905</v>
      </c>
      <c r="D555" s="11" t="n">
        <v>-1.4966</v>
      </c>
    </row>
    <row r="556">
      <c r="A556" s="3" t="inlineStr">
        <is>
          <t>2021Q1</t>
        </is>
      </c>
      <c r="B556" s="11" t="n">
        <v>1.5671</v>
      </c>
      <c r="C556" s="11" t="n">
        <v>0.9651999999999999</v>
      </c>
      <c r="D556" s="11" t="n">
        <v>0.5961</v>
      </c>
    </row>
    <row r="557">
      <c r="A557" s="3" t="inlineStr">
        <is>
          <t>2021Q2</t>
        </is>
      </c>
      <c r="B557" s="11" t="n">
        <v>11.116</v>
      </c>
      <c r="C557" s="11" t="n">
        <v>1.7658</v>
      </c>
      <c r="D557" s="11" t="n">
        <v>9.188000000000001</v>
      </c>
    </row>
    <row r="558">
      <c r="A558" s="3" t="inlineStr">
        <is>
          <t>2021Q3</t>
        </is>
      </c>
      <c r="B558" s="11" t="n">
        <v>2.9952</v>
      </c>
      <c r="C558" s="11" t="n">
        <v>2.2086</v>
      </c>
      <c r="D558" s="11" t="n">
        <v>0.7696</v>
      </c>
    </row>
    <row r="559">
      <c r="A559" s="3" t="inlineStr">
        <is>
          <t>2021Q4</t>
        </is>
      </c>
      <c r="B559" s="11" t="n">
        <v>4.7762</v>
      </c>
      <c r="C559" s="11" t="n">
        <v>3.3297</v>
      </c>
      <c r="D559" s="11" t="n">
        <v>1.3999</v>
      </c>
    </row>
    <row r="560">
      <c r="A560" s="3" t="inlineStr">
        <is>
          <t>2022Q1</t>
        </is>
      </c>
      <c r="B560" s="11" t="n">
        <v>5.3489</v>
      </c>
      <c r="C560" s="11" t="n">
        <v>4.1906</v>
      </c>
      <c r="D560" s="11" t="n">
        <v>1.1117</v>
      </c>
    </row>
    <row r="561">
      <c r="A561" s="3" t="inlineStr">
        <is>
          <t>2022Q2</t>
        </is>
      </c>
      <c r="B561" s="11" t="n">
        <v>5.0637</v>
      </c>
      <c r="C561" s="11" t="n">
        <v>5.9128</v>
      </c>
      <c r="D561" s="11" t="n">
        <v>-0.8017</v>
      </c>
    </row>
    <row r="562">
      <c r="A562" s="3" t="inlineStr">
        <is>
          <t>2022Q3</t>
        </is>
      </c>
      <c r="B562" s="11" t="n">
        <v>4.4605</v>
      </c>
      <c r="C562" s="11" t="n">
        <v>6.5211</v>
      </c>
      <c r="D562" s="11" t="n">
        <v>-1.9344</v>
      </c>
    </row>
    <row r="563">
      <c r="A563" s="3" t="inlineStr">
        <is>
          <t>2022Q4</t>
        </is>
      </c>
      <c r="B563" s="11" t="n">
        <v>5.0848</v>
      </c>
      <c r="C563" s="11" t="n">
        <v>6.966</v>
      </c>
      <c r="D563" s="11" t="n">
        <v>-1.7586</v>
      </c>
    </row>
    <row r="564">
      <c r="A564" s="3" t="inlineStr">
        <is>
          <t>2023Q1</t>
        </is>
      </c>
      <c r="B564" s="11" t="n">
        <v>5.302</v>
      </c>
      <c r="C564" s="11" t="n">
        <v>6.9992</v>
      </c>
      <c r="D564" s="11" t="n">
        <v>-1.5862</v>
      </c>
    </row>
    <row r="565">
      <c r="A565" s="3" t="inlineStr">
        <is>
          <t>2023Q2</t>
        </is>
      </c>
      <c r="B565" s="11" t="n">
        <v>5.049</v>
      </c>
      <c r="C565" s="11" t="n">
        <v>6.0717</v>
      </c>
      <c r="D565" s="11" t="n">
        <v>-0.9641</v>
      </c>
    </row>
    <row r="566">
      <c r="A566" s="3" t="inlineStr">
        <is>
          <t>2023Q3</t>
        </is>
      </c>
      <c r="B566" s="11" t="n">
        <v>3.9505</v>
      </c>
      <c r="C566" s="11" t="n">
        <v>5.4877</v>
      </c>
      <c r="D566" s="11" t="n">
        <v>-1.4572</v>
      </c>
    </row>
    <row r="567">
      <c r="A567" s="3" t="inlineStr">
        <is>
          <t>2023Q4</t>
        </is>
      </c>
      <c r="B567" s="11" t="n">
        <v>3.7631</v>
      </c>
      <c r="C567" s="11" t="n">
        <v>4.1684</v>
      </c>
      <c r="D567" s="11" t="n">
        <v>-0.3891</v>
      </c>
    </row>
    <row r="568">
      <c r="A568" s="3" t="inlineStr">
        <is>
          <t>2024Q1</t>
        </is>
      </c>
      <c r="B568" s="11" t="n">
        <v>3.4649</v>
      </c>
      <c r="C568" s="11" t="n">
        <v>3.0064</v>
      </c>
      <c r="D568" s="11" t="n">
        <v>0.4451</v>
      </c>
    </row>
    <row r="569">
      <c r="A569" s="3" t="inlineStr">
        <is>
          <t>2024Q2</t>
        </is>
      </c>
      <c r="B569" s="11" t="n">
        <v>3.4665</v>
      </c>
      <c r="C569" s="11" t="n">
        <v>2.5043</v>
      </c>
      <c r="D569" s="11" t="n">
        <v>0.9387</v>
      </c>
    </row>
    <row r="570">
      <c r="A570" s="3" t="inlineStr">
        <is>
          <t>2024Q3</t>
        </is>
      </c>
      <c r="B570" s="11" t="n">
        <v>3.0578</v>
      </c>
      <c r="C570" s="11" t="n">
        <v>2.1041</v>
      </c>
      <c r="D570" s="11" t="n">
        <v>0.9341</v>
      </c>
    </row>
    <row r="571">
      <c r="A571" s="3" t="inlineStr">
        <is>
          <t>2024Q4</t>
        </is>
      </c>
      <c r="B571" s="11" t="n">
        <v>2.3686</v>
      </c>
      <c r="C571" s="11" t="n">
        <v>1.6696</v>
      </c>
      <c r="D571" s="11" t="n">
        <v>0.6875</v>
      </c>
    </row>
    <row r="572">
      <c r="A572" s="3" t="inlineStr">
        <is>
          <t>2025Q1</t>
        </is>
      </c>
      <c r="B572" s="11" t="n">
        <v>2.428</v>
      </c>
      <c r="C572" s="11" t="n">
        <v>1.2096</v>
      </c>
      <c r="D572" s="11" t="n">
        <v>1.2038</v>
      </c>
    </row>
    <row r="573">
      <c r="A573" s="3" t="inlineStr">
        <is>
          <t>2025Q2</t>
        </is>
      </c>
      <c r="B573" s="11" t="n">
        <v>2.2436</v>
      </c>
      <c r="C573" s="11" t="n">
        <v>0.7886</v>
      </c>
      <c r="D573" s="11" t="n">
        <v>1.4436</v>
      </c>
    </row>
    <row r="574">
      <c r="A574" s="3" t="inlineStr">
        <is>
          <t>2025Q3</t>
        </is>
      </c>
      <c r="B574" s="11" t="n">
        <v>2.0893</v>
      </c>
      <c r="C574" s="11" t="n">
        <v>0.9467</v>
      </c>
      <c r="D574" s="11" t="n">
        <v>1.1318</v>
      </c>
    </row>
    <row r="575">
      <c r="A575" s="3" t="inlineStr">
        <is>
          <t>2025Q4</t>
        </is>
      </c>
      <c r="B575" s="11" t="n">
        <v>2.1235</v>
      </c>
      <c r="C575" s="11" t="n">
        <v>0.7623</v>
      </c>
      <c r="D575" s="11" t="n">
        <v>1.3509</v>
      </c>
    </row>
    <row r="576">
      <c r="A576" s="3" t="inlineStr">
        <is>
          <t>2026Q1</t>
        </is>
      </c>
      <c r="B576" s="11" t="n">
        <v>2.2271</v>
      </c>
      <c r="C576" s="11" t="n">
        <v>1.1482</v>
      </c>
      <c r="D576" s="11" t="n">
        <v>1.0667</v>
      </c>
    </row>
    <row r="577">
      <c r="A577" s="3" t="inlineStr">
        <is>
          <t>2026Q2</t>
        </is>
      </c>
      <c r="B577" s="11" t="n">
        <v>2.1726</v>
      </c>
      <c r="C577" s="11" t="n">
        <v>2.434</v>
      </c>
      <c r="D577" s="11" t="n">
        <v>-0.2552</v>
      </c>
    </row>
    <row r="580">
      <c r="A580" s="13" t="inlineStr">
        <is>
          <t>Francia - insee_salaire_mensuel_base (INSEE 010562695), variazioni annue %</t>
        </is>
      </c>
    </row>
    <row r="581">
      <c r="A581" s="5" t="inlineStr">
        <is>
          <t>Periodo</t>
        </is>
      </c>
      <c r="B581" s="5" t="inlineStr">
        <is>
          <t>salari_nominali</t>
        </is>
      </c>
      <c r="C581" s="5" t="inlineStr">
        <is>
          <t>prezzi</t>
        </is>
      </c>
      <c r="D581" s="5" t="inlineStr">
        <is>
          <t>salari_reali</t>
        </is>
      </c>
    </row>
    <row r="582">
      <c r="A582" s="3" t="inlineStr">
        <is>
          <t>2018Q2</t>
        </is>
      </c>
      <c r="B582" s="11" t="n">
        <v>1.5</v>
      </c>
      <c r="C582" s="11" t="n">
        <v>2.1395</v>
      </c>
      <c r="D582" s="11" t="n">
        <v>-0.6261</v>
      </c>
    </row>
    <row r="583">
      <c r="A583" s="3" t="inlineStr">
        <is>
          <t>2018Q3</t>
        </is>
      </c>
      <c r="B583" s="11" t="n">
        <v>1.4955</v>
      </c>
      <c r="C583" s="11" t="n">
        <v>2.5583</v>
      </c>
      <c r="D583" s="11" t="n">
        <v>-1.0363</v>
      </c>
    </row>
    <row r="584">
      <c r="A584" s="3" t="inlineStr">
        <is>
          <t>2018Q4</t>
        </is>
      </c>
      <c r="B584" s="11" t="n">
        <v>1.5936</v>
      </c>
      <c r="C584" s="11" t="n">
        <v>2.1861</v>
      </c>
      <c r="D584" s="11" t="n">
        <v>-0.5798</v>
      </c>
    </row>
    <row r="585">
      <c r="A585" s="3" t="inlineStr">
        <is>
          <t>2019Q1</t>
        </is>
      </c>
      <c r="B585" s="11" t="n">
        <v>1.6815</v>
      </c>
      <c r="C585" s="11" t="n">
        <v>1.4211</v>
      </c>
      <c r="D585" s="11" t="n">
        <v>0.2568</v>
      </c>
    </row>
    <row r="586">
      <c r="A586" s="3" t="inlineStr">
        <is>
          <t>2019Q2</t>
        </is>
      </c>
      <c r="B586" s="11" t="n">
        <v>1.7734</v>
      </c>
      <c r="C586" s="11" t="n">
        <v>1.3032</v>
      </c>
      <c r="D586" s="11" t="n">
        <v>0.4642</v>
      </c>
    </row>
    <row r="587">
      <c r="A587" s="3" t="inlineStr">
        <is>
          <t>2019Q3</t>
        </is>
      </c>
      <c r="B587" s="11" t="n">
        <v>1.7682</v>
      </c>
      <c r="C587" s="11" t="n">
        <v>1.2234</v>
      </c>
      <c r="D587" s="11" t="n">
        <v>0.5382</v>
      </c>
    </row>
    <row r="588">
      <c r="A588" s="3" t="inlineStr">
        <is>
          <t>2019Q4</t>
        </is>
      </c>
      <c r="B588" s="11" t="n">
        <v>1.7647</v>
      </c>
      <c r="C588" s="11" t="n">
        <v>1.2509</v>
      </c>
      <c r="D588" s="11" t="n">
        <v>0.5074</v>
      </c>
    </row>
    <row r="589">
      <c r="A589" s="3" t="inlineStr">
        <is>
          <t>2020Q2</t>
        </is>
      </c>
      <c r="B589" s="11" t="n">
        <v>1.9455</v>
      </c>
      <c r="C589" s="11" t="n">
        <v>0.3354</v>
      </c>
      <c r="D589" s="11" t="n">
        <v>1.6047</v>
      </c>
    </row>
    <row r="590">
      <c r="A590" s="3" t="inlineStr">
        <is>
          <t>2020Q3</t>
        </is>
      </c>
      <c r="B590" s="11" t="n">
        <v>1.7425</v>
      </c>
      <c r="C590" s="11" t="n">
        <v>0.3504</v>
      </c>
      <c r="D590" s="11" t="n">
        <v>1.3873</v>
      </c>
    </row>
    <row r="591">
      <c r="A591" s="3" t="inlineStr">
        <is>
          <t>2020Q4</t>
        </is>
      </c>
      <c r="B591" s="11" t="n">
        <v>1.7375</v>
      </c>
      <c r="C591" s="11" t="n">
        <v>0.0905</v>
      </c>
      <c r="D591" s="11" t="n">
        <v>1.6455</v>
      </c>
    </row>
    <row r="592">
      <c r="A592" s="3" t="inlineStr">
        <is>
          <t>2021Q1</t>
        </is>
      </c>
      <c r="B592" s="11" t="n">
        <v>2.1195</v>
      </c>
      <c r="C592" s="11" t="n">
        <v>0.9651999999999999</v>
      </c>
      <c r="D592" s="11" t="n">
        <v>1.1433</v>
      </c>
    </row>
    <row r="593">
      <c r="A593" s="3" t="inlineStr">
        <is>
          <t>2021Q2</t>
        </is>
      </c>
      <c r="B593" s="11" t="n">
        <v>1.4313</v>
      </c>
      <c r="C593" s="11" t="n">
        <v>1.7658</v>
      </c>
      <c r="D593" s="11" t="n">
        <v>-0.3287</v>
      </c>
    </row>
    <row r="594">
      <c r="A594" s="3" t="inlineStr">
        <is>
          <t>2021Q3</t>
        </is>
      </c>
      <c r="B594" s="11" t="n">
        <v>1.4272</v>
      </c>
      <c r="C594" s="11" t="n">
        <v>2.2086</v>
      </c>
      <c r="D594" s="11" t="n">
        <v>-0.7645</v>
      </c>
    </row>
    <row r="595">
      <c r="A595" s="3" t="inlineStr">
        <is>
          <t>2021Q4</t>
        </is>
      </c>
      <c r="B595" s="11" t="n">
        <v>1.7078</v>
      </c>
      <c r="C595" s="11" t="n">
        <v>3.3297</v>
      </c>
      <c r="D595" s="11" t="n">
        <v>-1.5696</v>
      </c>
    </row>
    <row r="596">
      <c r="A596" s="3" t="inlineStr">
        <is>
          <t>2022Q1</t>
        </is>
      </c>
      <c r="B596" s="11" t="n">
        <v>2.2642</v>
      </c>
      <c r="C596" s="11" t="n">
        <v>4.1906</v>
      </c>
      <c r="D596" s="11" t="n">
        <v>-1.8489</v>
      </c>
    </row>
    <row r="597">
      <c r="A597" s="3" t="inlineStr">
        <is>
          <t>2022Q2</t>
        </is>
      </c>
      <c r="B597" s="11" t="n">
        <v>3.1044</v>
      </c>
      <c r="C597" s="11" t="n">
        <v>5.9128</v>
      </c>
      <c r="D597" s="11" t="n">
        <v>-2.6516</v>
      </c>
    </row>
    <row r="598">
      <c r="A598" s="3" t="inlineStr">
        <is>
          <t>2022Q3</t>
        </is>
      </c>
      <c r="B598" s="11" t="n">
        <v>3.7523</v>
      </c>
      <c r="C598" s="11" t="n">
        <v>6.5211</v>
      </c>
      <c r="D598" s="11" t="n">
        <v>-2.5992</v>
      </c>
    </row>
    <row r="599">
      <c r="A599" s="3" t="inlineStr">
        <is>
          <t>2022Q4</t>
        </is>
      </c>
      <c r="B599" s="11" t="n">
        <v>3.9179</v>
      </c>
      <c r="C599" s="11" t="n">
        <v>6.966</v>
      </c>
      <c r="D599" s="11" t="n">
        <v>-2.8495</v>
      </c>
    </row>
    <row r="600">
      <c r="A600" s="3" t="inlineStr">
        <is>
          <t>2023Q1</t>
        </is>
      </c>
      <c r="B600" s="11" t="n">
        <v>4.7048</v>
      </c>
      <c r="C600" s="11" t="n">
        <v>6.9992</v>
      </c>
      <c r="D600" s="11" t="n">
        <v>-2.1443</v>
      </c>
    </row>
    <row r="601">
      <c r="A601" s="3" t="inlineStr">
        <is>
          <t>2023Q2</t>
        </is>
      </c>
      <c r="B601" s="11" t="n">
        <v>4.562</v>
      </c>
      <c r="C601" s="11" t="n">
        <v>6.0717</v>
      </c>
      <c r="D601" s="11" t="n">
        <v>-1.4232</v>
      </c>
    </row>
    <row r="602">
      <c r="A602" s="3" t="inlineStr">
        <is>
          <t>2023Q3</t>
        </is>
      </c>
      <c r="B602" s="11" t="n">
        <v>4.2495</v>
      </c>
      <c r="C602" s="11" t="n">
        <v>5.4877</v>
      </c>
      <c r="D602" s="11" t="n">
        <v>-1.1737</v>
      </c>
    </row>
    <row r="603">
      <c r="A603" s="3" t="inlineStr">
        <is>
          <t>2023Q4</t>
        </is>
      </c>
      <c r="B603" s="11" t="n">
        <v>3.86</v>
      </c>
      <c r="C603" s="11" t="n">
        <v>4.1684</v>
      </c>
      <c r="D603" s="11" t="n">
        <v>-0.2961</v>
      </c>
    </row>
    <row r="604">
      <c r="A604" s="3" t="inlineStr">
        <is>
          <t>2024Q1</t>
        </is>
      </c>
      <c r="B604" s="11" t="n">
        <v>3.348</v>
      </c>
      <c r="C604" s="11" t="n">
        <v>3.0064</v>
      </c>
      <c r="D604" s="11" t="n">
        <v>0.3316</v>
      </c>
    </row>
    <row r="605">
      <c r="A605" s="3" t="inlineStr">
        <is>
          <t>2024Q2</t>
        </is>
      </c>
      <c r="B605" s="11" t="n">
        <v>2.9668</v>
      </c>
      <c r="C605" s="11" t="n">
        <v>2.5043</v>
      </c>
      <c r="D605" s="11" t="n">
        <v>0.4512</v>
      </c>
    </row>
    <row r="606">
      <c r="A606" s="3" t="inlineStr">
        <is>
          <t>2024Q3</t>
        </is>
      </c>
      <c r="B606" s="11" t="n">
        <v>2.6886</v>
      </c>
      <c r="C606" s="11" t="n">
        <v>2.1041</v>
      </c>
      <c r="D606" s="11" t="n">
        <v>0.5725</v>
      </c>
    </row>
    <row r="607">
      <c r="A607" s="3" t="inlineStr">
        <is>
          <t>2024Q4</t>
        </is>
      </c>
      <c r="B607" s="11" t="n">
        <v>2.7658</v>
      </c>
      <c r="C607" s="11" t="n">
        <v>1.6696</v>
      </c>
      <c r="D607" s="11" t="n">
        <v>1.0781</v>
      </c>
    </row>
    <row r="608">
      <c r="A608" s="3" t="inlineStr">
        <is>
          <t>2025Q1</t>
        </is>
      </c>
      <c r="B608" s="11" t="n">
        <v>2.1313</v>
      </c>
      <c r="C608" s="11" t="n">
        <v>1.2096</v>
      </c>
      <c r="D608" s="11" t="n">
        <v>0.9107</v>
      </c>
    </row>
    <row r="609">
      <c r="A609" s="3" t="inlineStr">
        <is>
          <t>2025Q2</t>
        </is>
      </c>
      <c r="B609" s="11" t="n">
        <v>2.0339</v>
      </c>
      <c r="C609" s="11" t="n">
        <v>0.7886</v>
      </c>
      <c r="D609" s="11" t="n">
        <v>1.2355</v>
      </c>
    </row>
    <row r="610">
      <c r="A610" s="3" t="inlineStr">
        <is>
          <t>2025Q3</t>
        </is>
      </c>
      <c r="B610" s="11" t="n">
        <v>1.9426</v>
      </c>
      <c r="C610" s="11" t="n">
        <v>0.9467</v>
      </c>
      <c r="D610" s="11" t="n">
        <v>0.9865</v>
      </c>
    </row>
    <row r="611">
      <c r="A611" s="3" t="inlineStr">
        <is>
          <t>2025Q4</t>
        </is>
      </c>
      <c r="B611" s="11" t="n">
        <v>1.7662</v>
      </c>
      <c r="C611" s="11" t="n">
        <v>0.7623</v>
      </c>
      <c r="D611" s="11" t="n">
        <v>0.9963</v>
      </c>
    </row>
    <row r="612">
      <c r="A612" s="3" t="inlineStr">
        <is>
          <t>2026Q1</t>
        </is>
      </c>
      <c r="B612" s="11" t="n">
        <v>1.7529</v>
      </c>
      <c r="C612" s="11" t="n">
        <v>1.1482</v>
      </c>
      <c r="D612" s="11" t="n">
        <v>0.5979</v>
      </c>
    </row>
    <row r="613">
      <c r="A613" s="3" t="inlineStr">
        <is>
          <t>2026Q2</t>
        </is>
      </c>
      <c r="B613" s="11" t="n">
        <v>1.9934</v>
      </c>
      <c r="C613" s="11" t="n">
        <v>2.434</v>
      </c>
      <c r="D613" s="11" t="n">
        <v>-0.4302</v>
      </c>
    </row>
    <row r="616">
      <c r="A616" s="13" t="inlineStr">
        <is>
          <t>Spagna - compensation_per_employee (Eurostat namq_10_a10 D1 / namq_10_a10_e SAL_DC), variazioni annue %</t>
        </is>
      </c>
    </row>
    <row r="617">
      <c r="A617" s="5" t="inlineStr">
        <is>
          <t>Periodo</t>
        </is>
      </c>
      <c r="B617" s="5" t="inlineStr">
        <is>
          <t>salari_nominali</t>
        </is>
      </c>
      <c r="C617" s="5" t="inlineStr">
        <is>
          <t>prezzi</t>
        </is>
      </c>
      <c r="D617" s="5" t="inlineStr">
        <is>
          <t>salari_reali</t>
        </is>
      </c>
    </row>
    <row r="618">
      <c r="A618" s="3" t="inlineStr">
        <is>
          <t>2001Q1</t>
        </is>
      </c>
      <c r="B618" s="11" t="n">
        <v>2.7136</v>
      </c>
      <c r="C618" s="11" t="n">
        <v>2.8718</v>
      </c>
      <c r="D618" s="11" t="n">
        <v>-0.1537</v>
      </c>
    </row>
    <row r="619">
      <c r="A619" s="3" t="inlineStr">
        <is>
          <t>2001Q2</t>
        </is>
      </c>
      <c r="B619" s="11" t="n">
        <v>2.5329</v>
      </c>
      <c r="C619" s="11" t="n">
        <v>3.6971</v>
      </c>
      <c r="D619" s="11" t="n">
        <v>-1.1226</v>
      </c>
    </row>
    <row r="620">
      <c r="A620" s="3" t="inlineStr">
        <is>
          <t>2001Q3</t>
        </is>
      </c>
      <c r="B620" s="11" t="n">
        <v>2.6219</v>
      </c>
      <c r="C620" s="11" t="n">
        <v>2.2439</v>
      </c>
      <c r="D620" s="11" t="n">
        <v>0.3697</v>
      </c>
    </row>
    <row r="621">
      <c r="A621" s="3" t="inlineStr">
        <is>
          <t>2001Q4</t>
        </is>
      </c>
      <c r="B621" s="11" t="n">
        <v>3.2695</v>
      </c>
      <c r="C621" s="11" t="n">
        <v>2.5178</v>
      </c>
      <c r="D621" s="11" t="n">
        <v>0.7332</v>
      </c>
    </row>
    <row r="622">
      <c r="A622" s="3" t="inlineStr">
        <is>
          <t>2002Q1</t>
        </is>
      </c>
      <c r="B622" s="11" t="n">
        <v>3.3178</v>
      </c>
      <c r="C622" s="11" t="n">
        <v>3.1544</v>
      </c>
      <c r="D622" s="11" t="n">
        <v>0.1584</v>
      </c>
    </row>
    <row r="623">
      <c r="A623" s="3" t="inlineStr">
        <is>
          <t>2002Q2</t>
        </is>
      </c>
      <c r="B623" s="11" t="n">
        <v>3.8682</v>
      </c>
      <c r="C623" s="11" t="n">
        <v>3.6285</v>
      </c>
      <c r="D623" s="11" t="n">
        <v>0.2313</v>
      </c>
    </row>
    <row r="624">
      <c r="A624" s="3" t="inlineStr">
        <is>
          <t>2002Q3</t>
        </is>
      </c>
      <c r="B624" s="11" t="n">
        <v>3.3341</v>
      </c>
      <c r="C624" s="11" t="n">
        <v>3.5714</v>
      </c>
      <c r="D624" s="11" t="n">
        <v>-0.2291</v>
      </c>
    </row>
    <row r="625">
      <c r="A625" s="3" t="inlineStr">
        <is>
          <t>2002Q4</t>
        </is>
      </c>
      <c r="B625" s="11" t="n">
        <v>3.2291</v>
      </c>
      <c r="C625" s="11" t="n">
        <v>4.0002</v>
      </c>
      <c r="D625" s="11" t="n">
        <v>-0.7415</v>
      </c>
    </row>
    <row r="626">
      <c r="A626" s="3" t="inlineStr">
        <is>
          <t>2003Q1</t>
        </is>
      </c>
      <c r="B626" s="11" t="n">
        <v>2.3922</v>
      </c>
      <c r="C626" s="11" t="n">
        <v>3.7785</v>
      </c>
      <c r="D626" s="11" t="n">
        <v>-1.3358</v>
      </c>
    </row>
    <row r="627">
      <c r="A627" s="3" t="inlineStr">
        <is>
          <t>2003Q2</t>
        </is>
      </c>
      <c r="B627" s="11" t="n">
        <v>1.6849</v>
      </c>
      <c r="C627" s="11" t="n">
        <v>2.9022</v>
      </c>
      <c r="D627" s="11" t="n">
        <v>-1.1829</v>
      </c>
    </row>
    <row r="628">
      <c r="A628" s="3" t="inlineStr">
        <is>
          <t>2003Q3</t>
        </is>
      </c>
      <c r="B628" s="11" t="n">
        <v>1.7789</v>
      </c>
      <c r="C628" s="11" t="n">
        <v>2.9922</v>
      </c>
      <c r="D628" s="11" t="n">
        <v>-1.1781</v>
      </c>
    </row>
    <row r="629">
      <c r="A629" s="3" t="inlineStr">
        <is>
          <t>2003Q4</t>
        </is>
      </c>
      <c r="B629" s="11" t="n">
        <v>1.9947</v>
      </c>
      <c r="C629" s="11" t="n">
        <v>2.756</v>
      </c>
      <c r="D629" s="11" t="n">
        <v>-0.7409</v>
      </c>
    </row>
    <row r="630">
      <c r="A630" s="3" t="inlineStr">
        <is>
          <t>2004Q1</t>
        </is>
      </c>
      <c r="B630" s="11" t="n">
        <v>2.5023</v>
      </c>
      <c r="C630" s="11" t="n">
        <v>2.2195</v>
      </c>
      <c r="D630" s="11" t="n">
        <v>0.2766</v>
      </c>
    </row>
    <row r="631">
      <c r="A631" s="3" t="inlineStr">
        <is>
          <t>2004Q2</t>
        </is>
      </c>
      <c r="B631" s="11" t="n">
        <v>2.9544</v>
      </c>
      <c r="C631" s="11" t="n">
        <v>3.2032</v>
      </c>
      <c r="D631" s="11" t="n">
        <v>-0.2411</v>
      </c>
    </row>
    <row r="632">
      <c r="A632" s="3" t="inlineStr">
        <is>
          <t>2004Q3</t>
        </is>
      </c>
      <c r="B632" s="11" t="n">
        <v>2.7192</v>
      </c>
      <c r="C632" s="11" t="n">
        <v>3.2941</v>
      </c>
      <c r="D632" s="11" t="n">
        <v>-0.5566</v>
      </c>
    </row>
    <row r="633">
      <c r="A633" s="3" t="inlineStr">
        <is>
          <t>2004Q4</t>
        </is>
      </c>
      <c r="B633" s="11" t="n">
        <v>2.6701</v>
      </c>
      <c r="C633" s="11" t="n">
        <v>3.4713</v>
      </c>
      <c r="D633" s="11" t="n">
        <v>-0.7743</v>
      </c>
    </row>
    <row r="634">
      <c r="A634" s="3" t="inlineStr">
        <is>
          <t>2005Q1</t>
        </is>
      </c>
      <c r="B634" s="11" t="n">
        <v>2.1887</v>
      </c>
      <c r="C634" s="11" t="n">
        <v>3.2838</v>
      </c>
      <c r="D634" s="11" t="n">
        <v>-1.0603</v>
      </c>
    </row>
    <row r="635">
      <c r="A635" s="3" t="inlineStr">
        <is>
          <t>2005Q2</t>
        </is>
      </c>
      <c r="B635" s="11" t="n">
        <v>2.7153</v>
      </c>
      <c r="C635" s="11" t="n">
        <v>3.2396</v>
      </c>
      <c r="D635" s="11" t="n">
        <v>-0.5079</v>
      </c>
    </row>
    <row r="636">
      <c r="A636" s="3" t="inlineStr">
        <is>
          <t>2005Q3</t>
        </is>
      </c>
      <c r="B636" s="11" t="n">
        <v>2.3429</v>
      </c>
      <c r="C636" s="11" t="n">
        <v>3.4557</v>
      </c>
      <c r="D636" s="11" t="n">
        <v>-1.0756</v>
      </c>
    </row>
    <row r="637">
      <c r="A637" s="3" t="inlineStr">
        <is>
          <t>2005Q4</t>
        </is>
      </c>
      <c r="B637" s="11" t="n">
        <v>2.7303</v>
      </c>
      <c r="C637" s="11" t="n">
        <v>3.5352</v>
      </c>
      <c r="D637" s="11" t="n">
        <v>-0.7773</v>
      </c>
    </row>
    <row r="638">
      <c r="A638" s="3" t="inlineStr">
        <is>
          <t>2006Q1</t>
        </is>
      </c>
      <c r="B638" s="11" t="n">
        <v>3.2968</v>
      </c>
      <c r="C638" s="11" t="n">
        <v>4.0648</v>
      </c>
      <c r="D638" s="11" t="n">
        <v>-0.738</v>
      </c>
    </row>
    <row r="639">
      <c r="A639" s="3" t="inlineStr">
        <is>
          <t>2006Q2</t>
        </is>
      </c>
      <c r="B639" s="11" t="n">
        <v>3.2763</v>
      </c>
      <c r="C639" s="11" t="n">
        <v>3.9984</v>
      </c>
      <c r="D639" s="11" t="n">
        <v>-0.6943</v>
      </c>
    </row>
    <row r="640">
      <c r="A640" s="3" t="inlineStr">
        <is>
          <t>2006Q3</t>
        </is>
      </c>
      <c r="B640" s="11" t="n">
        <v>3.7484</v>
      </c>
      <c r="C640" s="11" t="n">
        <v>3.5777</v>
      </c>
      <c r="D640" s="11" t="n">
        <v>0.1648</v>
      </c>
    </row>
    <row r="641">
      <c r="A641" s="3" t="inlineStr">
        <is>
          <t>2006Q4</t>
        </is>
      </c>
      <c r="B641" s="11" t="n">
        <v>3.6859</v>
      </c>
      <c r="C641" s="11" t="n">
        <v>2.6529</v>
      </c>
      <c r="D641" s="11" t="n">
        <v>1.0063</v>
      </c>
    </row>
    <row r="642">
      <c r="A642" s="3" t="inlineStr">
        <is>
          <t>2007Q1</t>
        </is>
      </c>
      <c r="B642" s="11" t="n">
        <v>3.505</v>
      </c>
      <c r="C642" s="11" t="n">
        <v>2.4631</v>
      </c>
      <c r="D642" s="11" t="n">
        <v>1.0169</v>
      </c>
    </row>
    <row r="643">
      <c r="A643" s="3" t="inlineStr">
        <is>
          <t>2007Q2</t>
        </is>
      </c>
      <c r="B643" s="11" t="n">
        <v>3.6422</v>
      </c>
      <c r="C643" s="11" t="n">
        <v>2.4479</v>
      </c>
      <c r="D643" s="11" t="n">
        <v>1.1657</v>
      </c>
    </row>
    <row r="644">
      <c r="A644" s="3" t="inlineStr">
        <is>
          <t>2007Q3</t>
        </is>
      </c>
      <c r="B644" s="11" t="n">
        <v>4.2797</v>
      </c>
      <c r="C644" s="11" t="n">
        <v>2.4247</v>
      </c>
      <c r="D644" s="11" t="n">
        <v>1.8111</v>
      </c>
    </row>
    <row r="645">
      <c r="A645" s="3" t="inlineStr">
        <is>
          <t>2007Q4</t>
        </is>
      </c>
      <c r="B645" s="11" t="n">
        <v>4.6629</v>
      </c>
      <c r="C645" s="11" t="n">
        <v>4.0196</v>
      </c>
      <c r="D645" s="11" t="n">
        <v>0.6183999999999999</v>
      </c>
    </row>
    <row r="646">
      <c r="A646" s="3" t="inlineStr">
        <is>
          <t>2008Q1</t>
        </is>
      </c>
      <c r="B646" s="11" t="n">
        <v>6.4653</v>
      </c>
      <c r="C646" s="11" t="n">
        <v>4.4775</v>
      </c>
      <c r="D646" s="11" t="n">
        <v>1.9027</v>
      </c>
    </row>
    <row r="647">
      <c r="A647" s="3" t="inlineStr">
        <is>
          <t>2008Q2</t>
        </is>
      </c>
      <c r="B647" s="11" t="n">
        <v>6.9261</v>
      </c>
      <c r="C647" s="11" t="n">
        <v>4.6554</v>
      </c>
      <c r="D647" s="11" t="n">
        <v>2.1697</v>
      </c>
    </row>
    <row r="648">
      <c r="A648" s="3" t="inlineStr">
        <is>
          <t>2008Q3</t>
        </is>
      </c>
      <c r="B648" s="11" t="n">
        <v>7.5606</v>
      </c>
      <c r="C648" s="11" t="n">
        <v>4.949</v>
      </c>
      <c r="D648" s="11" t="n">
        <v>2.4884</v>
      </c>
    </row>
    <row r="649">
      <c r="A649" s="3" t="inlineStr">
        <is>
          <t>2008Q4</t>
        </is>
      </c>
      <c r="B649" s="11" t="n">
        <v>6.549</v>
      </c>
      <c r="C649" s="11" t="n">
        <v>2.4798</v>
      </c>
      <c r="D649" s="11" t="n">
        <v>3.9707</v>
      </c>
    </row>
    <row r="650">
      <c r="A650" s="3" t="inlineStr">
        <is>
          <t>2009Q1</t>
        </is>
      </c>
      <c r="B650" s="11" t="n">
        <v>5.3209</v>
      </c>
      <c r="C650" s="11" t="n">
        <v>0.4695</v>
      </c>
      <c r="D650" s="11" t="n">
        <v>4.8288</v>
      </c>
    </row>
    <row r="651">
      <c r="A651" s="3" t="inlineStr">
        <is>
          <t>2009Q2</t>
        </is>
      </c>
      <c r="B651" s="11" t="n">
        <v>4.2514</v>
      </c>
      <c r="C651" s="11" t="n">
        <v>-0.6627</v>
      </c>
      <c r="D651" s="11" t="n">
        <v>4.9469</v>
      </c>
    </row>
    <row r="652">
      <c r="A652" s="3" t="inlineStr">
        <is>
          <t>2009Q3</t>
        </is>
      </c>
      <c r="B652" s="11" t="n">
        <v>3.3132</v>
      </c>
      <c r="C652" s="11" t="n">
        <v>-0.994</v>
      </c>
      <c r="D652" s="11" t="n">
        <v>4.3504</v>
      </c>
    </row>
    <row r="653">
      <c r="A653" s="3" t="inlineStr">
        <is>
          <t>2009Q4</t>
        </is>
      </c>
      <c r="B653" s="11" t="n">
        <v>3.1269</v>
      </c>
      <c r="C653" s="11" t="n">
        <v>0.2456</v>
      </c>
      <c r="D653" s="11" t="n">
        <v>2.8743</v>
      </c>
    </row>
    <row r="654">
      <c r="A654" s="3" t="inlineStr">
        <is>
          <t>2010Q1</t>
        </is>
      </c>
      <c r="B654" s="11" t="n">
        <v>2.1495</v>
      </c>
      <c r="C654" s="11" t="n">
        <v>1.2815</v>
      </c>
      <c r="D654" s="11" t="n">
        <v>0.857</v>
      </c>
    </row>
    <row r="655">
      <c r="A655" s="3" t="inlineStr">
        <is>
          <t>2010Q2</t>
        </is>
      </c>
      <c r="B655" s="11" t="n">
        <v>2.0106</v>
      </c>
      <c r="C655" s="11" t="n">
        <v>2.2984</v>
      </c>
      <c r="D655" s="11" t="n">
        <v>-0.2813</v>
      </c>
    </row>
    <row r="656">
      <c r="A656" s="3" t="inlineStr">
        <is>
          <t>2010Q3</t>
        </is>
      </c>
      <c r="B656" s="11" t="n">
        <v>0.4284</v>
      </c>
      <c r="C656" s="11" t="n">
        <v>2.0354</v>
      </c>
      <c r="D656" s="11" t="n">
        <v>-1.575</v>
      </c>
    </row>
    <row r="657">
      <c r="A657" s="3" t="inlineStr">
        <is>
          <t>2010Q4</t>
        </is>
      </c>
      <c r="B657" s="11" t="n">
        <v>0.3405</v>
      </c>
      <c r="C657" s="11" t="n">
        <v>2.5455</v>
      </c>
      <c r="D657" s="11" t="n">
        <v>-2.1502</v>
      </c>
    </row>
    <row r="658">
      <c r="A658" s="3" t="inlineStr">
        <is>
          <t>2011Q1</t>
        </is>
      </c>
      <c r="B658" s="11" t="n">
        <v>0.1053</v>
      </c>
      <c r="C658" s="11" t="n">
        <v>3.2432</v>
      </c>
      <c r="D658" s="11" t="n">
        <v>-3.0393</v>
      </c>
    </row>
    <row r="659">
      <c r="A659" s="3" t="inlineStr">
        <is>
          <t>2011Q2</t>
        </is>
      </c>
      <c r="B659" s="11" t="n">
        <v>-0.2956</v>
      </c>
      <c r="C659" s="11" t="n">
        <v>3.3143</v>
      </c>
      <c r="D659" s="11" t="n">
        <v>-3.4941</v>
      </c>
    </row>
    <row r="660">
      <c r="A660" s="3" t="inlineStr">
        <is>
          <t>2011Q3</t>
        </is>
      </c>
      <c r="B660" s="11" t="n">
        <v>0.1584</v>
      </c>
      <c r="C660" s="11" t="n">
        <v>2.9158</v>
      </c>
      <c r="D660" s="11" t="n">
        <v>-2.6793</v>
      </c>
    </row>
    <row r="661">
      <c r="A661" s="3" t="inlineStr">
        <is>
          <t>2011Q4</t>
        </is>
      </c>
      <c r="B661" s="11" t="n">
        <v>0.0864</v>
      </c>
      <c r="C661" s="11" t="n">
        <v>2.7434</v>
      </c>
      <c r="D661" s="11" t="n">
        <v>-2.586</v>
      </c>
    </row>
    <row r="662">
      <c r="A662" s="3" t="inlineStr">
        <is>
          <t>2012Q1</t>
        </is>
      </c>
      <c r="B662" s="11" t="n">
        <v>0.0692</v>
      </c>
      <c r="C662" s="11" t="n">
        <v>1.8848</v>
      </c>
      <c r="D662" s="11" t="n">
        <v>-1.782</v>
      </c>
    </row>
    <row r="663">
      <c r="A663" s="3" t="inlineStr">
        <is>
          <t>2012Q2</t>
        </is>
      </c>
      <c r="B663" s="11" t="n">
        <v>-0.3852</v>
      </c>
      <c r="C663" s="11" t="n">
        <v>1.8936</v>
      </c>
      <c r="D663" s="11" t="n">
        <v>-2.2365</v>
      </c>
    </row>
    <row r="664">
      <c r="A664" s="3" t="inlineStr">
        <is>
          <t>2012Q3</t>
        </is>
      </c>
      <c r="B664" s="11" t="n">
        <v>-0.6427</v>
      </c>
      <c r="C664" s="11" t="n">
        <v>2.7764</v>
      </c>
      <c r="D664" s="11" t="n">
        <v>-3.3268</v>
      </c>
    </row>
    <row r="665">
      <c r="A665" s="3" t="inlineStr">
        <is>
          <t>2012Q4</t>
        </is>
      </c>
      <c r="B665" s="11" t="n">
        <v>-3.6721</v>
      </c>
      <c r="C665" s="11" t="n">
        <v>3.1697</v>
      </c>
      <c r="D665" s="11" t="n">
        <v>-6.6316</v>
      </c>
    </row>
    <row r="666">
      <c r="A666" s="3" t="inlineStr">
        <is>
          <t>2013Q1</t>
        </is>
      </c>
      <c r="B666" s="11" t="n">
        <v>-0.6883</v>
      </c>
      <c r="C666" s="11" t="n">
        <v>2.7575</v>
      </c>
      <c r="D666" s="11" t="n">
        <v>-3.3534</v>
      </c>
    </row>
    <row r="667">
      <c r="A667" s="3" t="inlineStr">
        <is>
          <t>2013Q2</t>
        </is>
      </c>
      <c r="B667" s="11" t="n">
        <v>-1.0661</v>
      </c>
      <c r="C667" s="11" t="n">
        <v>1.85</v>
      </c>
      <c r="D667" s="11" t="n">
        <v>-2.8631</v>
      </c>
    </row>
    <row r="668">
      <c r="A668" s="3" t="inlineStr">
        <is>
          <t>2013Q3</t>
        </is>
      </c>
      <c r="B668" s="11" t="n">
        <v>-0.7739</v>
      </c>
      <c r="C668" s="11" t="n">
        <v>1.338</v>
      </c>
      <c r="D668" s="11" t="n">
        <v>-2.084</v>
      </c>
    </row>
    <row r="669">
      <c r="A669" s="3" t="inlineStr">
        <is>
          <t>2013Q4</t>
        </is>
      </c>
      <c r="B669" s="11" t="n">
        <v>2.101</v>
      </c>
      <c r="C669" s="11" t="n">
        <v>0.2212</v>
      </c>
      <c r="D669" s="11" t="n">
        <v>1.8756</v>
      </c>
    </row>
    <row r="670">
      <c r="A670" s="3" t="inlineStr">
        <is>
          <t>2014Q1</t>
        </is>
      </c>
      <c r="B670" s="11" t="n">
        <v>-0.6962</v>
      </c>
      <c r="C670" s="11" t="n">
        <v>0.038</v>
      </c>
      <c r="D670" s="11" t="n">
        <v>-0.7339</v>
      </c>
    </row>
    <row r="671">
      <c r="A671" s="3" t="inlineStr">
        <is>
          <t>2014Q2</t>
        </is>
      </c>
      <c r="B671" s="11" t="n">
        <v>0.3066</v>
      </c>
      <c r="C671" s="11" t="n">
        <v>0.2</v>
      </c>
      <c r="D671" s="11" t="n">
        <v>0.1064</v>
      </c>
    </row>
    <row r="672">
      <c r="A672" s="3" t="inlineStr">
        <is>
          <t>2014Q3</t>
        </is>
      </c>
      <c r="B672" s="11" t="n">
        <v>0.6153</v>
      </c>
      <c r="C672" s="11" t="n">
        <v>-0.3814</v>
      </c>
      <c r="D672" s="11" t="n">
        <v>1.0005</v>
      </c>
    </row>
    <row r="673">
      <c r="A673" s="3" t="inlineStr">
        <is>
          <t>2014Q4</t>
        </is>
      </c>
      <c r="B673" s="11" t="n">
        <v>0.6153999999999999</v>
      </c>
      <c r="C673" s="11" t="n">
        <v>-0.6123</v>
      </c>
      <c r="D673" s="11" t="n">
        <v>1.2353</v>
      </c>
    </row>
    <row r="674">
      <c r="A674" s="3" t="inlineStr">
        <is>
          <t>2015Q1</t>
        </is>
      </c>
      <c r="B674" s="11" t="n">
        <v>1.3504</v>
      </c>
      <c r="C674" s="11" t="n">
        <v>-1.1448</v>
      </c>
      <c r="D674" s="11" t="n">
        <v>2.5241</v>
      </c>
    </row>
    <row r="675">
      <c r="A675" s="3" t="inlineStr">
        <is>
          <t>2015Q2</t>
        </is>
      </c>
      <c r="B675" s="11" t="n">
        <v>1.18</v>
      </c>
      <c r="C675" s="11" t="n">
        <v>-0.3451</v>
      </c>
      <c r="D675" s="11" t="n">
        <v>1.5303</v>
      </c>
    </row>
    <row r="676">
      <c r="A676" s="3" t="inlineStr">
        <is>
          <t>2015Q3</t>
        </is>
      </c>
      <c r="B676" s="11" t="n">
        <v>0.7786</v>
      </c>
      <c r="C676" s="11" t="n">
        <v>-0.5679999999999999</v>
      </c>
      <c r="D676" s="11" t="n">
        <v>1.3543</v>
      </c>
    </row>
    <row r="677">
      <c r="A677" s="3" t="inlineStr">
        <is>
          <t>2015Q4</t>
        </is>
      </c>
      <c r="B677" s="11" t="n">
        <v>1.4317</v>
      </c>
      <c r="C677" s="11" t="n">
        <v>-0.4736</v>
      </c>
      <c r="D677" s="11" t="n">
        <v>1.9144</v>
      </c>
    </row>
    <row r="678">
      <c r="A678" s="3" t="inlineStr">
        <is>
          <t>2016Q1</t>
        </is>
      </c>
      <c r="B678" s="11" t="n">
        <v>-0.1666</v>
      </c>
      <c r="C678" s="11" t="n">
        <v>-0.7948</v>
      </c>
      <c r="D678" s="11" t="n">
        <v>0.6333</v>
      </c>
    </row>
    <row r="679">
      <c r="A679" s="3" t="inlineStr">
        <is>
          <t>2016Q2</t>
        </is>
      </c>
      <c r="B679" s="11" t="n">
        <v>-0.1164</v>
      </c>
      <c r="C679" s="11" t="n">
        <v>-1.0347</v>
      </c>
      <c r="D679" s="11" t="n">
        <v>0.9278</v>
      </c>
    </row>
    <row r="680">
      <c r="A680" s="3" t="inlineStr">
        <is>
          <t>2016Q3</t>
        </is>
      </c>
      <c r="B680" s="11" t="n">
        <v>0.0576</v>
      </c>
      <c r="C680" s="11" t="n">
        <v>-0.3004</v>
      </c>
      <c r="D680" s="11" t="n">
        <v>0.3591</v>
      </c>
    </row>
    <row r="681">
      <c r="A681" s="3" t="inlineStr">
        <is>
          <t>2016Q4</t>
        </is>
      </c>
      <c r="B681" s="11" t="n">
        <v>0.0163</v>
      </c>
      <c r="C681" s="11" t="n">
        <v>0.7916</v>
      </c>
      <c r="D681" s="11" t="n">
        <v>-0.7692</v>
      </c>
    </row>
    <row r="682">
      <c r="A682" s="3" t="inlineStr">
        <is>
          <t>2017Q1</t>
        </is>
      </c>
      <c r="B682" s="11" t="n">
        <v>0.7915</v>
      </c>
      <c r="C682" s="11" t="n">
        <v>2.7051</v>
      </c>
      <c r="D682" s="11" t="n">
        <v>-1.8633</v>
      </c>
    </row>
    <row r="683">
      <c r="A683" s="3" t="inlineStr">
        <is>
          <t>2017Q2</t>
        </is>
      </c>
      <c r="B683" s="11" t="n">
        <v>0.6652</v>
      </c>
      <c r="C683" s="11" t="n">
        <v>2.053</v>
      </c>
      <c r="D683" s="11" t="n">
        <v>-1.3599</v>
      </c>
    </row>
    <row r="684">
      <c r="A684" s="3" t="inlineStr">
        <is>
          <t>2017Q3</t>
        </is>
      </c>
      <c r="B684" s="11" t="n">
        <v>0.7901</v>
      </c>
      <c r="C684" s="11" t="n">
        <v>1.842</v>
      </c>
      <c r="D684" s="11" t="n">
        <v>-1.0329</v>
      </c>
    </row>
    <row r="685">
      <c r="A685" s="3" t="inlineStr">
        <is>
          <t>2017Q4</t>
        </is>
      </c>
      <c r="B685" s="11" t="n">
        <v>0.6994</v>
      </c>
      <c r="C685" s="11" t="n">
        <v>1.5583</v>
      </c>
      <c r="D685" s="11" t="n">
        <v>-0.8457</v>
      </c>
    </row>
    <row r="686">
      <c r="A686" s="3" t="inlineStr">
        <is>
          <t>2018Q1</t>
        </is>
      </c>
      <c r="B686" s="11" t="n">
        <v>0.9044</v>
      </c>
      <c r="C686" s="11" t="n">
        <v>1.0653</v>
      </c>
      <c r="D686" s="11" t="n">
        <v>-0.1592</v>
      </c>
    </row>
    <row r="687">
      <c r="A687" s="3" t="inlineStr">
        <is>
          <t>2018Q2</t>
        </is>
      </c>
      <c r="B687" s="11" t="n">
        <v>1.2843</v>
      </c>
      <c r="C687" s="11" t="n">
        <v>1.8424</v>
      </c>
      <c r="D687" s="11" t="n">
        <v>-0.5479000000000001</v>
      </c>
    </row>
    <row r="688">
      <c r="A688" s="3" t="inlineStr">
        <is>
          <t>2018Q3</t>
        </is>
      </c>
      <c r="B688" s="11" t="n">
        <v>2.2335</v>
      </c>
      <c r="C688" s="11" t="n">
        <v>2.2713</v>
      </c>
      <c r="D688" s="11" t="n">
        <v>-0.037</v>
      </c>
    </row>
    <row r="689">
      <c r="A689" s="3" t="inlineStr">
        <is>
          <t>2018Q4</t>
        </is>
      </c>
      <c r="B689" s="11" t="n">
        <v>2.3876</v>
      </c>
      <c r="C689" s="11" t="n">
        <v>1.7606</v>
      </c>
      <c r="D689" s="11" t="n">
        <v>0.6161</v>
      </c>
    </row>
    <row r="690">
      <c r="A690" s="3" t="inlineStr">
        <is>
          <t>2019Q1</t>
        </is>
      </c>
      <c r="B690" s="11" t="n">
        <v>2.9564</v>
      </c>
      <c r="C690" s="11" t="n">
        <v>1.1288</v>
      </c>
      <c r="D690" s="11" t="n">
        <v>1.8072</v>
      </c>
    </row>
    <row r="691">
      <c r="A691" s="3" t="inlineStr">
        <is>
          <t>2019Q2</t>
        </is>
      </c>
      <c r="B691" s="11" t="n">
        <v>3.8038</v>
      </c>
      <c r="C691" s="11" t="n">
        <v>1.0627</v>
      </c>
      <c r="D691" s="11" t="n">
        <v>2.7123</v>
      </c>
    </row>
    <row r="692">
      <c r="A692" s="3" t="inlineStr">
        <is>
          <t>2019Q3</t>
        </is>
      </c>
      <c r="B692" s="11" t="n">
        <v>3.5824</v>
      </c>
      <c r="C692" s="11" t="n">
        <v>0.436</v>
      </c>
      <c r="D692" s="11" t="n">
        <v>3.1327</v>
      </c>
    </row>
    <row r="693">
      <c r="A693" s="3" t="inlineStr">
        <is>
          <t>2019Q4</t>
        </is>
      </c>
      <c r="B693" s="11" t="n">
        <v>3.3435</v>
      </c>
      <c r="C693" s="11" t="n">
        <v>0.4932</v>
      </c>
      <c r="D693" s="11" t="n">
        <v>2.8364</v>
      </c>
    </row>
    <row r="694">
      <c r="A694" s="3" t="inlineStr">
        <is>
          <t>2020Q1</t>
        </is>
      </c>
      <c r="B694" s="11" t="n">
        <v>1.9915</v>
      </c>
      <c r="C694" s="11" t="n">
        <v>0.6894</v>
      </c>
      <c r="D694" s="11" t="n">
        <v>1.2932</v>
      </c>
    </row>
    <row r="695">
      <c r="A695" s="3" t="inlineStr">
        <is>
          <t>2020Q2</t>
        </is>
      </c>
      <c r="B695" s="11" t="n">
        <v>-4.3384</v>
      </c>
      <c r="C695" s="11" t="n">
        <v>-0.6141</v>
      </c>
      <c r="D695" s="11" t="n">
        <v>-3.7474</v>
      </c>
    </row>
    <row r="696">
      <c r="A696" s="3" t="inlineStr">
        <is>
          <t>2020Q3</t>
        </is>
      </c>
      <c r="B696" s="11" t="n">
        <v>2.6077</v>
      </c>
      <c r="C696" s="11" t="n">
        <v>-0.6411</v>
      </c>
      <c r="D696" s="11" t="n">
        <v>3.2698</v>
      </c>
    </row>
    <row r="697">
      <c r="A697" s="3" t="inlineStr">
        <is>
          <t>2020Q4</t>
        </is>
      </c>
      <c r="B697" s="11" t="n">
        <v>2.5716</v>
      </c>
      <c r="C697" s="11" t="n">
        <v>-0.7723</v>
      </c>
      <c r="D697" s="11" t="n">
        <v>3.37</v>
      </c>
    </row>
    <row r="698">
      <c r="A698" s="3" t="inlineStr">
        <is>
          <t>2021Q1</t>
        </is>
      </c>
      <c r="B698" s="11" t="n">
        <v>3.5476</v>
      </c>
      <c r="C698" s="11" t="n">
        <v>0.5175999999999999</v>
      </c>
      <c r="D698" s="11" t="n">
        <v>3.0144</v>
      </c>
    </row>
    <row r="699">
      <c r="A699" s="3" t="inlineStr">
        <is>
          <t>2021Q2</t>
        </is>
      </c>
      <c r="B699" s="11" t="n">
        <v>8.653499999999999</v>
      </c>
      <c r="C699" s="11" t="n">
        <v>2.2897</v>
      </c>
      <c r="D699" s="11" t="n">
        <v>6.2213</v>
      </c>
    </row>
    <row r="700">
      <c r="A700" s="3" t="inlineStr">
        <is>
          <t>2021Q3</t>
        </is>
      </c>
      <c r="B700" s="11" t="n">
        <v>3.3513</v>
      </c>
      <c r="C700" s="11" t="n">
        <v>3.4015</v>
      </c>
      <c r="D700" s="11" t="n">
        <v>-0.0485</v>
      </c>
    </row>
    <row r="701">
      <c r="A701" s="3" t="inlineStr">
        <is>
          <t>2021Q4</t>
        </is>
      </c>
      <c r="B701" s="11" t="n">
        <v>3.9774</v>
      </c>
      <c r="C701" s="11" t="n">
        <v>5.8213</v>
      </c>
      <c r="D701" s="11" t="n">
        <v>-1.7424</v>
      </c>
    </row>
    <row r="702">
      <c r="A702" s="3" t="inlineStr">
        <is>
          <t>2022Q1</t>
        </is>
      </c>
      <c r="B702" s="11" t="n">
        <v>3.9469</v>
      </c>
      <c r="C702" s="11" t="n">
        <v>7.8576</v>
      </c>
      <c r="D702" s="11" t="n">
        <v>-3.6258</v>
      </c>
    </row>
    <row r="703">
      <c r="A703" s="3" t="inlineStr">
        <is>
          <t>2022Q2</t>
        </is>
      </c>
      <c r="B703" s="11" t="n">
        <v>5.6166</v>
      </c>
      <c r="C703" s="11" t="n">
        <v>8.934100000000001</v>
      </c>
      <c r="D703" s="11" t="n">
        <v>-3.0454</v>
      </c>
    </row>
    <row r="704">
      <c r="A704" s="3" t="inlineStr">
        <is>
          <t>2022Q3</t>
        </is>
      </c>
      <c r="B704" s="11" t="n">
        <v>4.4211</v>
      </c>
      <c r="C704" s="11" t="n">
        <v>10.0545</v>
      </c>
      <c r="D704" s="11" t="n">
        <v>-5.1187</v>
      </c>
    </row>
    <row r="705">
      <c r="A705" s="3" t="inlineStr">
        <is>
          <t>2022Q4</t>
        </is>
      </c>
      <c r="B705" s="11" t="n">
        <v>4.8132</v>
      </c>
      <c r="C705" s="11" t="n">
        <v>6.4856</v>
      </c>
      <c r="D705" s="11" t="n">
        <v>-1.5705</v>
      </c>
    </row>
    <row r="706">
      <c r="A706" s="3" t="inlineStr">
        <is>
          <t>2023Q1</t>
        </is>
      </c>
      <c r="B706" s="11" t="n">
        <v>5.873</v>
      </c>
      <c r="C706" s="11" t="n">
        <v>4.9545</v>
      </c>
      <c r="D706" s="11" t="n">
        <v>0.8751</v>
      </c>
    </row>
    <row r="707">
      <c r="A707" s="3" t="inlineStr">
        <is>
          <t>2023Q2</t>
        </is>
      </c>
      <c r="B707" s="11" t="n">
        <v>5.5945</v>
      </c>
      <c r="C707" s="11" t="n">
        <v>2.7797</v>
      </c>
      <c r="D707" s="11" t="n">
        <v>2.7387</v>
      </c>
    </row>
    <row r="708">
      <c r="A708" s="3" t="inlineStr">
        <is>
          <t>2023Q3</t>
        </is>
      </c>
      <c r="B708" s="11" t="n">
        <v>4.721</v>
      </c>
      <c r="C708" s="11" t="n">
        <v>2.5944</v>
      </c>
      <c r="D708" s="11" t="n">
        <v>2.0728</v>
      </c>
    </row>
    <row r="709">
      <c r="A709" s="3" t="inlineStr">
        <is>
          <t>2023Q4</t>
        </is>
      </c>
      <c r="B709" s="11" t="n">
        <v>4.3476</v>
      </c>
      <c r="C709" s="11" t="n">
        <v>3.3421</v>
      </c>
      <c r="D709" s="11" t="n">
        <v>0.973</v>
      </c>
    </row>
    <row r="710">
      <c r="A710" s="3" t="inlineStr">
        <is>
          <t>2024Q1</t>
        </is>
      </c>
      <c r="B710" s="11" t="n">
        <v>3.8824</v>
      </c>
      <c r="C710" s="11" t="n">
        <v>3.2342</v>
      </c>
      <c r="D710" s="11" t="n">
        <v>0.6279</v>
      </c>
    </row>
    <row r="711">
      <c r="A711" s="3" t="inlineStr">
        <is>
          <t>2024Q2</t>
        </is>
      </c>
      <c r="B711" s="11" t="n">
        <v>3.9355</v>
      </c>
      <c r="C711" s="11" t="n">
        <v>3.5896</v>
      </c>
      <c r="D711" s="11" t="n">
        <v>0.3339</v>
      </c>
    </row>
    <row r="712">
      <c r="A712" s="3" t="inlineStr">
        <is>
          <t>2024Q3</t>
        </is>
      </c>
      <c r="B712" s="11" t="n">
        <v>3.4748</v>
      </c>
      <c r="C712" s="11" t="n">
        <v>2.3154</v>
      </c>
      <c r="D712" s="11" t="n">
        <v>1.1331</v>
      </c>
    </row>
    <row r="713">
      <c r="A713" s="3" t="inlineStr">
        <is>
          <t>2024Q4</t>
        </is>
      </c>
      <c r="B713" s="11" t="n">
        <v>3.51</v>
      </c>
      <c r="C713" s="11" t="n">
        <v>2.3498</v>
      </c>
      <c r="D713" s="11" t="n">
        <v>1.1335</v>
      </c>
    </row>
    <row r="714">
      <c r="A714" s="3" t="inlineStr">
        <is>
          <t>2025Q1</t>
        </is>
      </c>
      <c r="B714" s="11" t="n">
        <v>3.8455</v>
      </c>
      <c r="C714" s="11" t="n">
        <v>2.6645</v>
      </c>
      <c r="D714" s="11" t="n">
        <v>1.1503</v>
      </c>
    </row>
    <row r="715">
      <c r="A715" s="3" t="inlineStr">
        <is>
          <t>2025Q2</t>
        </is>
      </c>
      <c r="B715" s="11" t="n">
        <v>3.8673</v>
      </c>
      <c r="C715" s="11" t="n">
        <v>2.1649</v>
      </c>
      <c r="D715" s="11" t="n">
        <v>1.6663</v>
      </c>
    </row>
    <row r="716">
      <c r="A716" s="3" t="inlineStr">
        <is>
          <t>2025Q3</t>
        </is>
      </c>
      <c r="B716" s="11" t="n">
        <v>4.5974</v>
      </c>
      <c r="C716" s="11" t="n">
        <v>2.81</v>
      </c>
      <c r="D716" s="11" t="n">
        <v>1.7386</v>
      </c>
    </row>
    <row r="717">
      <c r="A717" s="3" t="inlineStr">
        <is>
          <t>2025Q4</t>
        </is>
      </c>
      <c r="B717" s="11" t="n">
        <v>5.2446</v>
      </c>
      <c r="C717" s="11" t="n">
        <v>3.1257</v>
      </c>
      <c r="D717" s="11" t="n">
        <v>2.0546</v>
      </c>
    </row>
    <row r="718">
      <c r="A718" s="3" t="inlineStr">
        <is>
          <t>2026Q1</t>
        </is>
      </c>
      <c r="B718" s="11" t="n">
        <v>4.389</v>
      </c>
      <c r="C718" s="11" t="n">
        <v>2.7779</v>
      </c>
      <c r="D718" s="11" t="n">
        <v>1.5676</v>
      </c>
    </row>
    <row r="719">
      <c r="A719" s="3" t="inlineStr">
        <is>
          <t>2026Q2</t>
        </is>
      </c>
      <c r="B719" s="11" t="n">
        <v>4.1397</v>
      </c>
      <c r="C719" s="11" t="n">
        <v>3.5817</v>
      </c>
      <c r="D719" s="11" t="n">
        <v>0.5387999999999999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Voci</t>
        </is>
      </c>
    </row>
    <row r="2">
      <c r="A2" s="4" t="inlineStr">
        <is>
          <t>Una riga per voce ECOICOP v2: variazione annua, peso, fascia, flag BCE.</t>
        </is>
      </c>
    </row>
    <row r="4">
      <c r="A4" s="13" t="inlineStr">
        <is>
          <t>Area euro - voci elementari a 2026-09, ordinate per inflazione annua</t>
        </is>
      </c>
    </row>
    <row r="5">
      <c r="A5" s="5" t="inlineStr">
        <is>
          <t>Voce</t>
        </is>
      </c>
      <c r="B5" s="5" t="inlineStr">
        <is>
          <t>a/a %</t>
        </is>
      </c>
      <c r="C5" s="5" t="inlineStr">
        <is>
          <t>peso per mille</t>
        </is>
      </c>
      <c r="D5" s="5" t="inlineStr">
        <is>
          <t>macro</t>
        </is>
      </c>
      <c r="E5" s="5" t="inlineStr">
        <is>
          <t>divisione</t>
        </is>
      </c>
      <c r="F5" s="5" t="inlineStr">
        <is>
          <t>fascia</t>
        </is>
      </c>
      <c r="G5" s="5" t="inlineStr">
        <is>
          <t>descrizione (BCE)</t>
        </is>
      </c>
      <c r="H5" s="5" t="inlineStr">
        <is>
          <t>domestica</t>
        </is>
      </c>
      <c r="I5" s="5" t="inlineStr">
        <is>
          <t>supercore</t>
        </is>
      </c>
    </row>
    <row r="6">
      <c r="A6" s="3" t="inlineStr">
        <is>
          <t>045300</t>
        </is>
      </c>
      <c r="B6" s="11" t="n">
        <v>57.2596</v>
      </c>
      <c r="C6" s="11" t="n">
        <v>2.58</v>
      </c>
      <c r="D6" s="3" t="inlineStr">
        <is>
          <t>Energia</t>
        </is>
      </c>
      <c r="E6" s="3" t="inlineStr">
        <is>
          <t>Abitazione e utenze</t>
        </is>
      </c>
      <c r="F6" s="3" t="inlineStr">
        <is>
          <t>oltre 5%</t>
        </is>
      </c>
      <c r="G6" s="3" t="inlineStr"/>
      <c r="H6" s="3" t="inlineStr"/>
      <c r="I6" s="3" t="inlineStr"/>
    </row>
    <row r="7">
      <c r="A7" s="3" t="inlineStr">
        <is>
          <t>081500</t>
        </is>
      </c>
      <c r="B7" s="11" t="n">
        <v>51.9791</v>
      </c>
      <c r="C7" s="11" t="n">
        <v>0.29</v>
      </c>
      <c r="D7" s="3" t="inlineStr">
        <is>
          <t>Beni industriali</t>
        </is>
      </c>
      <c r="E7" s="3" t="inlineStr">
        <is>
          <t>Informazione e comunicazione</t>
        </is>
      </c>
      <c r="F7" s="3" t="inlineStr">
        <is>
          <t>oltre 5%</t>
        </is>
      </c>
      <c r="G7" s="3" t="inlineStr">
        <is>
          <t>Unrecorded recording media</t>
        </is>
      </c>
      <c r="H7" s="3" t="inlineStr">
        <is>
          <t>no</t>
        </is>
      </c>
      <c r="I7" s="3" t="inlineStr">
        <is>
          <t>no</t>
        </is>
      </c>
    </row>
    <row r="8">
      <c r="A8" s="3" t="inlineStr">
        <is>
          <t>072200</t>
        </is>
      </c>
      <c r="B8" s="11" t="n">
        <v>31.9115</v>
      </c>
      <c r="C8" s="11" t="n">
        <v>38.26</v>
      </c>
      <c r="D8" s="3" t="inlineStr">
        <is>
          <t>Energia</t>
        </is>
      </c>
      <c r="E8" s="3" t="inlineStr">
        <is>
          <t>Trasporti</t>
        </is>
      </c>
      <c r="F8" s="3" t="inlineStr">
        <is>
          <t>oltre 5%</t>
        </is>
      </c>
      <c r="G8" s="3" t="inlineStr"/>
      <c r="H8" s="3" t="inlineStr"/>
      <c r="I8" s="3" t="inlineStr"/>
    </row>
    <row r="9">
      <c r="A9" s="3" t="inlineStr">
        <is>
          <t>132100</t>
        </is>
      </c>
      <c r="B9" s="11" t="n">
        <v>12.5049</v>
      </c>
      <c r="C9" s="11" t="n">
        <v>4.97</v>
      </c>
      <c r="D9" s="3" t="inlineStr">
        <is>
          <t>Beni industriali</t>
        </is>
      </c>
      <c r="E9" s="3" t="inlineStr">
        <is>
          <t>Cura della persona e altri</t>
        </is>
      </c>
      <c r="F9" s="3" t="inlineStr">
        <is>
          <t>oltre 5%</t>
        </is>
      </c>
      <c r="G9" s="3" t="inlineStr">
        <is>
          <t>Jewellery and watches</t>
        </is>
      </c>
      <c r="H9" s="3" t="inlineStr">
        <is>
          <t>no</t>
        </is>
      </c>
      <c r="I9" s="3" t="inlineStr">
        <is>
          <t>si</t>
        </is>
      </c>
    </row>
    <row r="10">
      <c r="A10" s="3" t="inlineStr">
        <is>
          <t>045200</t>
        </is>
      </c>
      <c r="B10" s="11" t="n">
        <v>11.0749</v>
      </c>
      <c r="C10" s="11" t="n">
        <v>16.3</v>
      </c>
      <c r="D10" s="3" t="inlineStr">
        <is>
          <t>Energia</t>
        </is>
      </c>
      <c r="E10" s="3" t="inlineStr">
        <is>
          <t>Abitazione e utenze</t>
        </is>
      </c>
      <c r="F10" s="3" t="inlineStr">
        <is>
          <t>oltre 5%</t>
        </is>
      </c>
      <c r="G10" s="3" t="inlineStr"/>
      <c r="H10" s="3" t="inlineStr"/>
      <c r="I10" s="3" t="inlineStr"/>
    </row>
    <row r="11">
      <c r="A11" s="3" t="inlineStr">
        <is>
          <t>045400</t>
        </is>
      </c>
      <c r="B11" s="11" t="n">
        <v>9.9147</v>
      </c>
      <c r="C11" s="11" t="n">
        <v>1.81</v>
      </c>
      <c r="D11" s="3" t="inlineStr">
        <is>
          <t>Energia</t>
        </is>
      </c>
      <c r="E11" s="3" t="inlineStr">
        <is>
          <t>Abitazione e utenze</t>
        </is>
      </c>
      <c r="F11" s="3" t="inlineStr">
        <is>
          <t>oltre 5%</t>
        </is>
      </c>
      <c r="G11" s="3" t="inlineStr"/>
      <c r="H11" s="3" t="inlineStr"/>
      <c r="I11" s="3" t="inlineStr"/>
    </row>
    <row r="12">
      <c r="A12" s="3" t="inlineStr">
        <is>
          <t>061400</t>
        </is>
      </c>
      <c r="B12" s="11" t="n">
        <v>9.782299999999999</v>
      </c>
      <c r="C12" s="11" t="n">
        <v>0.08</v>
      </c>
      <c r="D12" s="3" t="inlineStr">
        <is>
          <t>Servizi</t>
        </is>
      </c>
      <c r="E12" s="3" t="inlineStr">
        <is>
          <t>Salute</t>
        </is>
      </c>
      <c r="F12" s="3" t="inlineStr">
        <is>
          <t>oltre 5%</t>
        </is>
      </c>
      <c r="G12" s="3" t="inlineStr">
        <is>
          <t>Repair, rental and maintenance of medical and assistive products</t>
        </is>
      </c>
      <c r="H12" s="3" t="inlineStr">
        <is>
          <t>si</t>
        </is>
      </c>
      <c r="I12" s="3" t="inlineStr">
        <is>
          <t>no</t>
        </is>
      </c>
    </row>
    <row r="13">
      <c r="A13" s="3" t="inlineStr">
        <is>
          <t>081300</t>
        </is>
      </c>
      <c r="B13" s="11" t="n">
        <v>8.7987</v>
      </c>
      <c r="C13" s="11" t="n">
        <v>4.7</v>
      </c>
      <c r="D13" s="3" t="inlineStr">
        <is>
          <t>Beni industriali</t>
        </is>
      </c>
      <c r="E13" s="3" t="inlineStr">
        <is>
          <t>Informazione e comunicazione</t>
        </is>
      </c>
      <c r="F13" s="3" t="inlineStr">
        <is>
          <t>oltre 5%</t>
        </is>
      </c>
      <c r="G13" s="3" t="inlineStr">
        <is>
          <t>Information processing equipment</t>
        </is>
      </c>
      <c r="H13" s="3" t="inlineStr">
        <is>
          <t>no</t>
        </is>
      </c>
      <c r="I13" s="3" t="inlineStr">
        <is>
          <t>no</t>
        </is>
      </c>
    </row>
    <row r="14">
      <c r="A14" s="3" t="inlineStr">
        <is>
          <t>132200</t>
        </is>
      </c>
      <c r="B14" s="11" t="n">
        <v>8.780799999999999</v>
      </c>
      <c r="C14" s="11" t="n">
        <v>0.01</v>
      </c>
      <c r="D14" s="3" t="inlineStr">
        <is>
          <t>Beni industriali</t>
        </is>
      </c>
      <c r="E14" s="3" t="inlineStr">
        <is>
          <t>Cura della persona e altri</t>
        </is>
      </c>
      <c r="F14" s="3" t="inlineStr">
        <is>
          <t>oltre 5%</t>
        </is>
      </c>
      <c r="G14" s="3" t="inlineStr">
        <is>
          <t>Devotional articles and articles for religious and ritual celebrations</t>
        </is>
      </c>
      <c r="H14" s="3" t="inlineStr">
        <is>
          <t>no</t>
        </is>
      </c>
      <c r="I14" s="3" t="inlineStr">
        <is>
          <t>no</t>
        </is>
      </c>
    </row>
    <row r="15">
      <c r="A15" s="3" t="inlineStr">
        <is>
          <t>094300</t>
        </is>
      </c>
      <c r="B15" s="11" t="n">
        <v>7.178</v>
      </c>
      <c r="C15" s="11" t="n">
        <v>0.1</v>
      </c>
      <c r="D15" s="3" t="inlineStr">
        <is>
          <t>Servizi</t>
        </is>
      </c>
      <c r="E15" s="3" t="inlineStr">
        <is>
          <t>Ricreazione, sport e cultura</t>
        </is>
      </c>
      <c r="F15" s="3" t="inlineStr">
        <is>
          <t>oltre 5%</t>
        </is>
      </c>
      <c r="G15" s="3" t="inlineStr">
        <is>
          <t>Hire and repair of games, toys and hobby-related articles</t>
        </is>
      </c>
      <c r="H15" s="3" t="inlineStr">
        <is>
          <t>no</t>
        </is>
      </c>
      <c r="I15" s="3" t="inlineStr">
        <is>
          <t>no</t>
        </is>
      </c>
    </row>
    <row r="16">
      <c r="A16" s="3" t="inlineStr">
        <is>
          <t>094400</t>
        </is>
      </c>
      <c r="B16" s="11" t="n">
        <v>6.9892</v>
      </c>
      <c r="C16" s="11" t="n">
        <v>0.5</v>
      </c>
      <c r="D16" s="3" t="inlineStr">
        <is>
          <t>Servizi</t>
        </is>
      </c>
      <c r="E16" s="3" t="inlineStr">
        <is>
          <t>Ricreazione, sport e cultura</t>
        </is>
      </c>
      <c r="F16" s="3" t="inlineStr">
        <is>
          <t>oltre 5%</t>
        </is>
      </c>
      <c r="G16" s="3" t="inlineStr">
        <is>
          <t>Hire and repair of sporting, camping and open-air recreational equipment</t>
        </is>
      </c>
      <c r="H16" s="3" t="inlineStr">
        <is>
          <t>no</t>
        </is>
      </c>
      <c r="I16" s="3" t="inlineStr">
        <is>
          <t>no</t>
        </is>
      </c>
    </row>
    <row r="17">
      <c r="A17" s="3" t="inlineStr">
        <is>
          <t>061100</t>
        </is>
      </c>
      <c r="B17" s="11" t="n">
        <v>6.976</v>
      </c>
      <c r="C17" s="11" t="n">
        <v>10.87</v>
      </c>
      <c r="D17" s="3" t="inlineStr">
        <is>
          <t>Beni industriali</t>
        </is>
      </c>
      <c r="E17" s="3" t="inlineStr">
        <is>
          <t>Salute</t>
        </is>
      </c>
      <c r="F17" s="3" t="inlineStr">
        <is>
          <t>oltre 5%</t>
        </is>
      </c>
      <c r="G17" s="3" t="inlineStr">
        <is>
          <t>Medicines</t>
        </is>
      </c>
      <c r="H17" s="3" t="inlineStr">
        <is>
          <t>no</t>
        </is>
      </c>
      <c r="I17" s="3" t="inlineStr">
        <is>
          <t>no</t>
        </is>
      </c>
    </row>
    <row r="18">
      <c r="A18" s="3" t="inlineStr">
        <is>
          <t>011700</t>
        </is>
      </c>
      <c r="B18" s="11" t="n">
        <v>6.364</v>
      </c>
      <c r="C18" s="11" t="n">
        <v>17.05</v>
      </c>
      <c r="D18" s="3" t="inlineStr">
        <is>
          <t>Alimentari</t>
        </is>
      </c>
      <c r="E18" s="3" t="inlineStr">
        <is>
          <t>Alimentari e bevande analcoliche</t>
        </is>
      </c>
      <c r="F18" s="3" t="inlineStr">
        <is>
          <t>oltre 5%</t>
        </is>
      </c>
      <c r="G18" s="3" t="inlineStr"/>
      <c r="H18" s="3" t="inlineStr"/>
      <c r="I18" s="3" t="inlineStr"/>
    </row>
    <row r="19">
      <c r="A19" s="3" t="inlineStr">
        <is>
          <t>112000</t>
        </is>
      </c>
      <c r="B19" s="11" t="n">
        <v>5.9615</v>
      </c>
      <c r="C19" s="11" t="n">
        <v>24.31</v>
      </c>
      <c r="D19" s="3" t="inlineStr">
        <is>
          <t>Servizi</t>
        </is>
      </c>
      <c r="E19" s="3" t="inlineStr">
        <is>
          <t>Ristorazione e alloggio</t>
        </is>
      </c>
      <c r="F19" s="3" t="inlineStr">
        <is>
          <t>oltre 5%</t>
        </is>
      </c>
      <c r="G19" s="3" t="inlineStr">
        <is>
          <t>Accommodation services</t>
        </is>
      </c>
      <c r="H19" s="3" t="inlineStr">
        <is>
          <t>si</t>
        </is>
      </c>
      <c r="I19" s="3" t="inlineStr">
        <is>
          <t>no</t>
        </is>
      </c>
    </row>
    <row r="20">
      <c r="A20" s="3" t="inlineStr">
        <is>
          <t>063200</t>
        </is>
      </c>
      <c r="B20" s="11" t="n">
        <v>5.8794</v>
      </c>
      <c r="C20" s="11" t="n">
        <v>6.55</v>
      </c>
      <c r="D20" s="3" t="inlineStr">
        <is>
          <t>Servizi</t>
        </is>
      </c>
      <c r="E20" s="3" t="inlineStr">
        <is>
          <t>Salute</t>
        </is>
      </c>
      <c r="F20" s="3" t="inlineStr">
        <is>
          <t>oltre 5%</t>
        </is>
      </c>
      <c r="G20" s="3" t="inlineStr">
        <is>
          <t>Inpatient long-term care services</t>
        </is>
      </c>
      <c r="H20" s="3" t="inlineStr">
        <is>
          <t>si</t>
        </is>
      </c>
      <c r="I20" s="3" t="inlineStr">
        <is>
          <t>no</t>
        </is>
      </c>
    </row>
    <row r="21">
      <c r="A21" s="3" t="inlineStr">
        <is>
          <t>045500</t>
        </is>
      </c>
      <c r="B21" s="11" t="n">
        <v>5.8207</v>
      </c>
      <c r="C21" s="11" t="n">
        <v>2.91</v>
      </c>
      <c r="D21" s="3" t="inlineStr">
        <is>
          <t>Energia</t>
        </is>
      </c>
      <c r="E21" s="3" t="inlineStr">
        <is>
          <t>Abitazione e utenze</t>
        </is>
      </c>
      <c r="F21" s="3" t="inlineStr">
        <is>
          <t>oltre 5%</t>
        </is>
      </c>
      <c r="G21" s="3" t="inlineStr"/>
      <c r="H21" s="3" t="inlineStr"/>
      <c r="I21" s="3" t="inlineStr"/>
    </row>
    <row r="22">
      <c r="A22" s="3" t="inlineStr">
        <is>
          <t>073300</t>
        </is>
      </c>
      <c r="B22" s="11" t="n">
        <v>5.7988</v>
      </c>
      <c r="C22" s="11" t="n">
        <v>9.33</v>
      </c>
      <c r="D22" s="3" t="inlineStr">
        <is>
          <t>Servizi</t>
        </is>
      </c>
      <c r="E22" s="3" t="inlineStr">
        <is>
          <t>Trasporti</t>
        </is>
      </c>
      <c r="F22" s="3" t="inlineStr">
        <is>
          <t>oltre 5%</t>
        </is>
      </c>
      <c r="G22" s="3" t="inlineStr">
        <is>
          <t>Passenger transport by air</t>
        </is>
      </c>
      <c r="H22" s="3" t="inlineStr">
        <is>
          <t>no</t>
        </is>
      </c>
      <c r="I22" s="3" t="inlineStr">
        <is>
          <t>no</t>
        </is>
      </c>
    </row>
    <row r="23">
      <c r="A23" s="3" t="inlineStr">
        <is>
          <t>096200</t>
        </is>
      </c>
      <c r="B23" s="11" t="n">
        <v>5.5095</v>
      </c>
      <c r="C23" s="11" t="n">
        <v>1.53</v>
      </c>
      <c r="D23" s="3" t="inlineStr">
        <is>
          <t>Servizi</t>
        </is>
      </c>
      <c r="E23" s="3" t="inlineStr">
        <is>
          <t>Ricreazione, sport e cultura</t>
        </is>
      </c>
      <c r="F23" s="3" t="inlineStr">
        <is>
          <t>oltre 5%</t>
        </is>
      </c>
      <c r="G23" s="3" t="inlineStr">
        <is>
          <t>Services provided by museums, libraries and cultural sites</t>
        </is>
      </c>
      <c r="H23" s="3" t="inlineStr">
        <is>
          <t>no</t>
        </is>
      </c>
      <c r="I23" s="3" t="inlineStr">
        <is>
          <t>no</t>
        </is>
      </c>
    </row>
    <row r="24">
      <c r="A24" s="3" t="inlineStr">
        <is>
          <t>073500</t>
        </is>
      </c>
      <c r="B24" s="11" t="n">
        <v>5.0933</v>
      </c>
      <c r="C24" s="11" t="n">
        <v>4.81</v>
      </c>
      <c r="D24" s="3" t="inlineStr">
        <is>
          <t>Servizi</t>
        </is>
      </c>
      <c r="E24" s="3" t="inlineStr">
        <is>
          <t>Trasporti</t>
        </is>
      </c>
      <c r="F24" s="3" t="inlineStr">
        <is>
          <t>oltre 5%</t>
        </is>
      </c>
      <c r="G24" s="3" t="inlineStr">
        <is>
          <t>Combined passenger transport</t>
        </is>
      </c>
      <c r="H24" s="3" t="inlineStr">
        <is>
          <t>no</t>
        </is>
      </c>
      <c r="I24" s="3" t="inlineStr">
        <is>
          <t>no</t>
        </is>
      </c>
    </row>
    <row r="25">
      <c r="A25" s="3" t="inlineStr">
        <is>
          <t>081900</t>
        </is>
      </c>
      <c r="B25" s="11" t="n">
        <v>5.0217</v>
      </c>
      <c r="C25" s="11" t="n">
        <v>1.13</v>
      </c>
      <c r="D25" s="3" t="inlineStr">
        <is>
          <t>Beni industriali</t>
        </is>
      </c>
      <c r="E25" s="3" t="inlineStr">
        <is>
          <t>Informazione e comunicazione</t>
        </is>
      </c>
      <c r="F25" s="3" t="inlineStr">
        <is>
          <t>oltre 5%</t>
        </is>
      </c>
      <c r="G25" s="3" t="inlineStr">
        <is>
          <t>Other information and communication equipment and accessories</t>
        </is>
      </c>
      <c r="H25" s="3" t="inlineStr">
        <is>
          <t>no</t>
        </is>
      </c>
      <c r="I25" s="3" t="inlineStr">
        <is>
          <t>no</t>
        </is>
      </c>
    </row>
    <row r="26">
      <c r="A26" s="3" t="inlineStr">
        <is>
          <t>097200</t>
        </is>
      </c>
      <c r="B26" s="11" t="n">
        <v>4.8884</v>
      </c>
      <c r="C26" s="11" t="n">
        <v>3.44</v>
      </c>
      <c r="D26" s="3" t="inlineStr">
        <is>
          <t>Beni industriali</t>
        </is>
      </c>
      <c r="E26" s="3" t="inlineStr">
        <is>
          <t>Ricreazione, sport e cultura</t>
        </is>
      </c>
      <c r="F26" s="3" t="inlineStr">
        <is>
          <t>3-5%</t>
        </is>
      </c>
      <c r="G26" s="3" t="inlineStr">
        <is>
          <t>Newspapers and periodicals</t>
        </is>
      </c>
      <c r="H26" s="3" t="inlineStr">
        <is>
          <t>no</t>
        </is>
      </c>
      <c r="I26" s="3" t="inlineStr">
        <is>
          <t>no</t>
        </is>
      </c>
    </row>
    <row r="27">
      <c r="A27" s="3" t="inlineStr">
        <is>
          <t>044300</t>
        </is>
      </c>
      <c r="B27" s="11" t="n">
        <v>4.5681</v>
      </c>
      <c r="C27" s="11" t="n">
        <v>4.14</v>
      </c>
      <c r="D27" s="3" t="inlineStr">
        <is>
          <t>Servizi</t>
        </is>
      </c>
      <c r="E27" s="3" t="inlineStr">
        <is>
          <t>Abitazione e utenze</t>
        </is>
      </c>
      <c r="F27" s="3" t="inlineStr">
        <is>
          <t>3-5%</t>
        </is>
      </c>
      <c r="G27" s="3" t="inlineStr">
        <is>
          <t>Sewage collection</t>
        </is>
      </c>
      <c r="H27" s="3" t="inlineStr">
        <is>
          <t>si</t>
        </is>
      </c>
      <c r="I27" s="3" t="inlineStr">
        <is>
          <t>no</t>
        </is>
      </c>
    </row>
    <row r="28">
      <c r="A28" s="3" t="inlineStr">
        <is>
          <t>121200</t>
        </is>
      </c>
      <c r="B28" s="11" t="n">
        <v>4.5422</v>
      </c>
      <c r="C28" s="11" t="n">
        <v>5.77</v>
      </c>
      <c r="D28" s="3" t="inlineStr">
        <is>
          <t>Servizi</t>
        </is>
      </c>
      <c r="E28" s="3" t="inlineStr">
        <is>
          <t>Assicurazioni e servizi finanziari</t>
        </is>
      </c>
      <c r="F28" s="3" t="inlineStr">
        <is>
          <t>3-5%</t>
        </is>
      </c>
      <c r="G28" s="3" t="inlineStr">
        <is>
          <t>Insurance connected with health</t>
        </is>
      </c>
      <c r="H28" s="3" t="inlineStr">
        <is>
          <t>si</t>
        </is>
      </c>
      <c r="I28" s="3" t="inlineStr">
        <is>
          <t>no</t>
        </is>
      </c>
    </row>
    <row r="29">
      <c r="A29" s="3" t="inlineStr">
        <is>
          <t>044200</t>
        </is>
      </c>
      <c r="B29" s="11" t="n">
        <v>4.4968</v>
      </c>
      <c r="C29" s="11" t="n">
        <v>4.28</v>
      </c>
      <c r="D29" s="3" t="inlineStr">
        <is>
          <t>Servizi</t>
        </is>
      </c>
      <c r="E29" s="3" t="inlineStr">
        <is>
          <t>Abitazione e utenze</t>
        </is>
      </c>
      <c r="F29" s="3" t="inlineStr">
        <is>
          <t>3-5%</t>
        </is>
      </c>
      <c r="G29" s="3" t="inlineStr">
        <is>
          <t>Refuse collection</t>
        </is>
      </c>
      <c r="H29" s="3" t="inlineStr">
        <is>
          <t>si</t>
        </is>
      </c>
      <c r="I29" s="3" t="inlineStr">
        <is>
          <t>no</t>
        </is>
      </c>
    </row>
    <row r="30">
      <c r="A30" s="3" t="inlineStr">
        <is>
          <t>023000</t>
        </is>
      </c>
      <c r="B30" s="11" t="n">
        <v>4.4376</v>
      </c>
      <c r="C30" s="11" t="n">
        <v>20.24</v>
      </c>
      <c r="D30" s="3" t="inlineStr">
        <is>
          <t>Alimentari</t>
        </is>
      </c>
      <c r="E30" s="3" t="inlineStr">
        <is>
          <t>Alcolici e tabacchi</t>
        </is>
      </c>
      <c r="F30" s="3" t="inlineStr">
        <is>
          <t>3-5%</t>
        </is>
      </c>
      <c r="G30" s="3" t="inlineStr"/>
      <c r="H30" s="3" t="inlineStr"/>
      <c r="I30" s="3" t="inlineStr"/>
    </row>
    <row r="31">
      <c r="A31" s="3" t="inlineStr">
        <is>
          <t>121900</t>
        </is>
      </c>
      <c r="B31" s="11" t="n">
        <v>4.3911</v>
      </c>
      <c r="C31" s="11" t="n">
        <v>2</v>
      </c>
      <c r="D31" s="3" t="inlineStr">
        <is>
          <t>Servizi</t>
        </is>
      </c>
      <c r="E31" s="3" t="inlineStr">
        <is>
          <t>Assicurazioni e servizi finanziari</t>
        </is>
      </c>
      <c r="F31" s="3" t="inlineStr">
        <is>
          <t>3-5%</t>
        </is>
      </c>
      <c r="G31" s="3" t="inlineStr">
        <is>
          <t>Other insurance</t>
        </is>
      </c>
      <c r="H31" s="3" t="inlineStr">
        <is>
          <t>si</t>
        </is>
      </c>
      <c r="I31" s="3" t="inlineStr">
        <is>
          <t>no</t>
        </is>
      </c>
    </row>
    <row r="32">
      <c r="A32" s="3" t="inlineStr">
        <is>
          <t>045100</t>
        </is>
      </c>
      <c r="B32" s="11" t="n">
        <v>4.3584</v>
      </c>
      <c r="C32" s="11" t="n">
        <v>28.89</v>
      </c>
      <c r="D32" s="3" t="inlineStr">
        <is>
          <t>Energia</t>
        </is>
      </c>
      <c r="E32" s="3" t="inlineStr">
        <is>
          <t>Abitazione e utenze</t>
        </is>
      </c>
      <c r="F32" s="3" t="inlineStr">
        <is>
          <t>3-5%</t>
        </is>
      </c>
      <c r="G32" s="3" t="inlineStr"/>
      <c r="H32" s="3" t="inlineStr"/>
      <c r="I32" s="3" t="inlineStr"/>
    </row>
    <row r="33">
      <c r="A33" s="3" t="inlineStr">
        <is>
          <t>098000</t>
        </is>
      </c>
      <c r="B33" s="11" t="n">
        <v>4.2637</v>
      </c>
      <c r="C33" s="11" t="n">
        <v>13.03</v>
      </c>
      <c r="D33" s="3" t="inlineStr">
        <is>
          <t>Servizi</t>
        </is>
      </c>
      <c r="E33" s="3" t="inlineStr">
        <is>
          <t>Ricreazione, sport e cultura</t>
        </is>
      </c>
      <c r="F33" s="3" t="inlineStr">
        <is>
          <t>3-5%</t>
        </is>
      </c>
      <c r="G33" s="3" t="inlineStr">
        <is>
          <t>Package holidays</t>
        </is>
      </c>
      <c r="H33" s="3" t="inlineStr">
        <is>
          <t>no</t>
        </is>
      </c>
      <c r="I33" s="3" t="inlineStr">
        <is>
          <t>no</t>
        </is>
      </c>
    </row>
    <row r="34">
      <c r="A34" s="3" t="inlineStr">
        <is>
          <t>056200</t>
        </is>
      </c>
      <c r="B34" s="11" t="n">
        <v>4.1861</v>
      </c>
      <c r="C34" s="11" t="n">
        <v>7.64</v>
      </c>
      <c r="D34" s="3" t="inlineStr">
        <is>
          <t>Servizi</t>
        </is>
      </c>
      <c r="E34" s="3" t="inlineStr">
        <is>
          <t>Mobili e articoli per la casa</t>
        </is>
      </c>
      <c r="F34" s="3" t="inlineStr">
        <is>
          <t>3-5%</t>
        </is>
      </c>
      <c r="G34" s="3" t="inlineStr">
        <is>
          <t>Domestic services and household services</t>
        </is>
      </c>
      <c r="H34" s="3" t="inlineStr">
        <is>
          <t>si</t>
        </is>
      </c>
      <c r="I34" s="3" t="inlineStr">
        <is>
          <t>si</t>
        </is>
      </c>
    </row>
    <row r="35">
      <c r="A35" s="3" t="inlineStr">
        <is>
          <t>074100</t>
        </is>
      </c>
      <c r="B35" s="11" t="n">
        <v>4.1729</v>
      </c>
      <c r="C35" s="11" t="n">
        <v>1.2</v>
      </c>
      <c r="D35" s="3" t="inlineStr">
        <is>
          <t>Servizi</t>
        </is>
      </c>
      <c r="E35" s="3" t="inlineStr">
        <is>
          <t>Trasporti</t>
        </is>
      </c>
      <c r="F35" s="3" t="inlineStr">
        <is>
          <t>3-5%</t>
        </is>
      </c>
      <c r="G35" s="3" t="inlineStr">
        <is>
          <t>Postal and courier services</t>
        </is>
      </c>
      <c r="H35" s="3" t="inlineStr">
        <is>
          <t>no</t>
        </is>
      </c>
      <c r="I35" s="3" t="inlineStr">
        <is>
          <t>no</t>
        </is>
      </c>
    </row>
    <row r="36">
      <c r="A36" s="3" t="inlineStr">
        <is>
          <t>072300</t>
        </is>
      </c>
      <c r="B36" s="11" t="n">
        <v>4.1364</v>
      </c>
      <c r="C36" s="11" t="n">
        <v>19.35</v>
      </c>
      <c r="D36" s="3" t="inlineStr">
        <is>
          <t>Servizi</t>
        </is>
      </c>
      <c r="E36" s="3" t="inlineStr">
        <is>
          <t>Trasporti</t>
        </is>
      </c>
      <c r="F36" s="3" t="inlineStr">
        <is>
          <t>3-5%</t>
        </is>
      </c>
      <c r="G36" s="3" t="inlineStr">
        <is>
          <t>Maintenance and repair of personal transport equipment</t>
        </is>
      </c>
      <c r="H36" s="3" t="inlineStr">
        <is>
          <t>si</t>
        </is>
      </c>
      <c r="I36" s="3" t="inlineStr">
        <is>
          <t>si</t>
        </is>
      </c>
    </row>
    <row r="37">
      <c r="A37" s="3" t="inlineStr">
        <is>
          <t>044100</t>
        </is>
      </c>
      <c r="B37" s="11" t="n">
        <v>4.0167</v>
      </c>
      <c r="C37" s="11" t="n">
        <v>4.34</v>
      </c>
      <c r="D37" s="3" t="inlineStr">
        <is>
          <t>Beni industriali</t>
        </is>
      </c>
      <c r="E37" s="3" t="inlineStr">
        <is>
          <t>Abitazione e utenze</t>
        </is>
      </c>
      <c r="F37" s="3" t="inlineStr">
        <is>
          <t>3-5%</t>
        </is>
      </c>
      <c r="G37" s="3" t="inlineStr">
        <is>
          <t>Water supply</t>
        </is>
      </c>
      <c r="H37" s="3" t="inlineStr">
        <is>
          <t>si</t>
        </is>
      </c>
      <c r="I37" s="3" t="inlineStr">
        <is>
          <t>no</t>
        </is>
      </c>
    </row>
    <row r="38">
      <c r="A38" s="3" t="inlineStr">
        <is>
          <t>122900</t>
        </is>
      </c>
      <c r="B38" s="11" t="n">
        <v>4.0016</v>
      </c>
      <c r="C38" s="11" t="n">
        <v>0.89</v>
      </c>
      <c r="D38" s="3" t="inlineStr">
        <is>
          <t>Servizi</t>
        </is>
      </c>
      <c r="E38" s="3" t="inlineStr">
        <is>
          <t>Assicurazioni e servizi finanziari</t>
        </is>
      </c>
      <c r="F38" s="3" t="inlineStr">
        <is>
          <t>3-5%</t>
        </is>
      </c>
      <c r="G38" s="3" t="inlineStr">
        <is>
          <t>Other financial services</t>
        </is>
      </c>
      <c r="H38" s="3" t="inlineStr">
        <is>
          <t>no</t>
        </is>
      </c>
      <c r="I38" s="3" t="inlineStr">
        <is>
          <t>no</t>
        </is>
      </c>
    </row>
    <row r="39">
      <c r="A39" s="3" t="inlineStr">
        <is>
          <t>101000</t>
        </is>
      </c>
      <c r="B39" s="11" t="n">
        <v>3.9693</v>
      </c>
      <c r="C39" s="11" t="n">
        <v>2.82</v>
      </c>
      <c r="D39" s="3" t="inlineStr">
        <is>
          <t>Servizi</t>
        </is>
      </c>
      <c r="E39" s="3" t="inlineStr">
        <is>
          <t>Istruzione</t>
        </is>
      </c>
      <c r="F39" s="3" t="inlineStr">
        <is>
          <t>3-5%</t>
        </is>
      </c>
      <c r="G39" s="3" t="inlineStr">
        <is>
          <t>Early childhood and primary education</t>
        </is>
      </c>
      <c r="H39" s="3" t="inlineStr">
        <is>
          <t>si</t>
        </is>
      </c>
      <c r="I39" s="3" t="inlineStr">
        <is>
          <t>no</t>
        </is>
      </c>
    </row>
    <row r="40">
      <c r="A40" s="3" t="inlineStr">
        <is>
          <t>073400</t>
        </is>
      </c>
      <c r="B40" s="11" t="n">
        <v>3.6804</v>
      </c>
      <c r="C40" s="11" t="n">
        <v>0.96</v>
      </c>
      <c r="D40" s="3" t="inlineStr">
        <is>
          <t>Servizi</t>
        </is>
      </c>
      <c r="E40" s="3" t="inlineStr">
        <is>
          <t>Trasporti</t>
        </is>
      </c>
      <c r="F40" s="3" t="inlineStr">
        <is>
          <t>3-5%</t>
        </is>
      </c>
      <c r="G40" s="3" t="inlineStr">
        <is>
          <t>Passenger transport by sea and inland waterway</t>
        </is>
      </c>
      <c r="H40" s="3" t="inlineStr">
        <is>
          <t>no</t>
        </is>
      </c>
      <c r="I40" s="3" t="inlineStr">
        <is>
          <t>no</t>
        </is>
      </c>
    </row>
    <row r="41">
      <c r="A41" s="3" t="inlineStr">
        <is>
          <t>032200</t>
        </is>
      </c>
      <c r="B41" s="11" t="n">
        <v>3.6698</v>
      </c>
      <c r="C41" s="11" t="n">
        <v>0.11</v>
      </c>
      <c r="D41" s="3" t="inlineStr">
        <is>
          <t>Servizi</t>
        </is>
      </c>
      <c r="E41" s="3" t="inlineStr">
        <is>
          <t>Abbigliamento e calzature</t>
        </is>
      </c>
      <c r="F41" s="3" t="inlineStr">
        <is>
          <t>3-5%</t>
        </is>
      </c>
      <c r="G41" s="3" t="inlineStr">
        <is>
          <t>Cleaning, repair and hire of footwear</t>
        </is>
      </c>
      <c r="H41" s="3" t="inlineStr">
        <is>
          <t>si</t>
        </is>
      </c>
      <c r="I41" s="3" t="inlineStr">
        <is>
          <t>si</t>
        </is>
      </c>
    </row>
    <row r="42">
      <c r="A42" s="3" t="inlineStr">
        <is>
          <t>111100</t>
        </is>
      </c>
      <c r="B42" s="11" t="n">
        <v>3.6541</v>
      </c>
      <c r="C42" s="11" t="n">
        <v>85.38</v>
      </c>
      <c r="D42" s="3" t="inlineStr">
        <is>
          <t>Servizi</t>
        </is>
      </c>
      <c r="E42" s="3" t="inlineStr">
        <is>
          <t>Ristorazione e alloggio</t>
        </is>
      </c>
      <c r="F42" s="3" t="inlineStr">
        <is>
          <t>3-5%</t>
        </is>
      </c>
      <c r="G42" s="3" t="inlineStr">
        <is>
          <t>Restaurants, cafés and the like</t>
        </is>
      </c>
      <c r="H42" s="3" t="inlineStr">
        <is>
          <t>si</t>
        </is>
      </c>
      <c r="I42" s="3" t="inlineStr">
        <is>
          <t>si</t>
        </is>
      </c>
    </row>
    <row r="43">
      <c r="A43" s="3" t="inlineStr">
        <is>
          <t>021900</t>
        </is>
      </c>
      <c r="B43" s="11" t="n">
        <v>3.6496</v>
      </c>
      <c r="C43" s="11" t="n">
        <v>0.37</v>
      </c>
      <c r="D43" s="3" t="inlineStr">
        <is>
          <t>Alimentari</t>
        </is>
      </c>
      <c r="E43" s="3" t="inlineStr">
        <is>
          <t>Alcolici e tabacchi</t>
        </is>
      </c>
      <c r="F43" s="3" t="inlineStr">
        <is>
          <t>3-5%</t>
        </is>
      </c>
      <c r="G43" s="3" t="inlineStr"/>
      <c r="H43" s="3" t="inlineStr"/>
      <c r="I43" s="3" t="inlineStr"/>
    </row>
    <row r="44">
      <c r="A44" s="3" t="inlineStr">
        <is>
          <t>131300</t>
        </is>
      </c>
      <c r="B44" s="11" t="n">
        <v>3.6411</v>
      </c>
      <c r="C44" s="11" t="n">
        <v>12.58</v>
      </c>
      <c r="D44" s="3" t="inlineStr">
        <is>
          <t>Servizi</t>
        </is>
      </c>
      <c r="E44" s="3" t="inlineStr">
        <is>
          <t>Cura della persona e altri</t>
        </is>
      </c>
      <c r="F44" s="3" t="inlineStr">
        <is>
          <t>3-5%</t>
        </is>
      </c>
      <c r="G44" s="3" t="inlineStr">
        <is>
          <t>Hairdressing salons and personal grooming establishments</t>
        </is>
      </c>
      <c r="H44" s="3" t="inlineStr">
        <is>
          <t>si</t>
        </is>
      </c>
      <c r="I44" s="3" t="inlineStr">
        <is>
          <t>si</t>
        </is>
      </c>
    </row>
    <row r="45">
      <c r="A45" s="3" t="inlineStr">
        <is>
          <t>094100</t>
        </is>
      </c>
      <c r="B45" s="11" t="n">
        <v>3.6392</v>
      </c>
      <c r="C45" s="11" t="n">
        <v>0</v>
      </c>
      <c r="D45" s="3" t="inlineStr">
        <is>
          <t>Servizi</t>
        </is>
      </c>
      <c r="E45" s="3" t="inlineStr">
        <is>
          <t>Ricreazione, sport e cultura</t>
        </is>
      </c>
      <c r="F45" s="3" t="inlineStr">
        <is>
          <t>3-5%</t>
        </is>
      </c>
      <c r="G45" s="3" t="inlineStr">
        <is>
          <t>Hire and repair of photographic and cinematographic equipment and optical instruments</t>
        </is>
      </c>
      <c r="H45" s="3" t="inlineStr">
        <is>
          <t>no</t>
        </is>
      </c>
      <c r="I45" s="3" t="inlineStr">
        <is>
          <t>no</t>
        </is>
      </c>
    </row>
    <row r="46">
      <c r="A46" s="3" t="inlineStr">
        <is>
          <t>133000</t>
        </is>
      </c>
      <c r="B46" s="11" t="n">
        <v>3.6277</v>
      </c>
      <c r="C46" s="11" t="n">
        <v>12.42</v>
      </c>
      <c r="D46" s="3" t="inlineStr">
        <is>
          <t>Servizi</t>
        </is>
      </c>
      <c r="E46" s="3" t="inlineStr">
        <is>
          <t>Cura della persona e altri</t>
        </is>
      </c>
      <c r="F46" s="3" t="inlineStr">
        <is>
          <t>3-5%</t>
        </is>
      </c>
      <c r="G46" s="3" t="inlineStr">
        <is>
          <t>Social protection</t>
        </is>
      </c>
      <c r="H46" s="3" t="inlineStr">
        <is>
          <t>si</t>
        </is>
      </c>
      <c r="I46" s="3" t="inlineStr">
        <is>
          <t>no</t>
        </is>
      </c>
    </row>
    <row r="47">
      <c r="A47" s="3" t="inlineStr">
        <is>
          <t>053300</t>
        </is>
      </c>
      <c r="B47" s="11" t="n">
        <v>3.6051</v>
      </c>
      <c r="C47" s="11" t="n">
        <v>0.45</v>
      </c>
      <c r="D47" s="3" t="inlineStr">
        <is>
          <t>Servizi</t>
        </is>
      </c>
      <c r="E47" s="3" t="inlineStr">
        <is>
          <t>Mobili e articoli per la casa</t>
        </is>
      </c>
      <c r="F47" s="3" t="inlineStr">
        <is>
          <t>3-5%</t>
        </is>
      </c>
      <c r="G47" s="3" t="inlineStr">
        <is>
          <t>Repair, installation and hire of household appliances</t>
        </is>
      </c>
      <c r="H47" s="3" t="inlineStr">
        <is>
          <t>si</t>
        </is>
      </c>
      <c r="I47" s="3" t="inlineStr">
        <is>
          <t>no</t>
        </is>
      </c>
    </row>
    <row r="48">
      <c r="A48" s="3" t="inlineStr">
        <is>
          <t>051200</t>
        </is>
      </c>
      <c r="B48" s="11" t="n">
        <v>3.4908</v>
      </c>
      <c r="C48" s="11" t="n">
        <v>0.4</v>
      </c>
      <c r="D48" s="3" t="inlineStr">
        <is>
          <t>Servizi</t>
        </is>
      </c>
      <c r="E48" s="3" t="inlineStr">
        <is>
          <t>Mobili e articoli per la casa</t>
        </is>
      </c>
      <c r="F48" s="3" t="inlineStr">
        <is>
          <t>3-5%</t>
        </is>
      </c>
      <c r="G48" s="3" t="inlineStr">
        <is>
          <t>Repair, installation and hire of furniture, furnishings and loose carpets</t>
        </is>
      </c>
      <c r="H48" s="3" t="inlineStr">
        <is>
          <t>si</t>
        </is>
      </c>
      <c r="I48" s="3" t="inlineStr">
        <is>
          <t>si</t>
        </is>
      </c>
    </row>
    <row r="49">
      <c r="A49" s="3" t="inlineStr">
        <is>
          <t>012500</t>
        </is>
      </c>
      <c r="B49" s="11" t="n">
        <v>3.3237</v>
      </c>
      <c r="C49" s="11" t="n">
        <v>3.08</v>
      </c>
      <c r="D49" s="3" t="inlineStr">
        <is>
          <t>Alimentari</t>
        </is>
      </c>
      <c r="E49" s="3" t="inlineStr">
        <is>
          <t>Alimentari e bevande analcoliche</t>
        </is>
      </c>
      <c r="F49" s="3" t="inlineStr">
        <is>
          <t>3-5%</t>
        </is>
      </c>
      <c r="G49" s="3" t="inlineStr"/>
      <c r="H49" s="3" t="inlineStr"/>
      <c r="I49" s="3" t="inlineStr"/>
    </row>
    <row r="50">
      <c r="A50" s="3" t="inlineStr">
        <is>
          <t>011300</t>
        </is>
      </c>
      <c r="B50" s="11" t="n">
        <v>3.3092</v>
      </c>
      <c r="C50" s="11" t="n">
        <v>8.43</v>
      </c>
      <c r="D50" s="3" t="inlineStr">
        <is>
          <t>Alimentari</t>
        </is>
      </c>
      <c r="E50" s="3" t="inlineStr">
        <is>
          <t>Alimentari e bevande analcoliche</t>
        </is>
      </c>
      <c r="F50" s="3" t="inlineStr">
        <is>
          <t>3-5%</t>
        </is>
      </c>
      <c r="G50" s="3" t="inlineStr"/>
      <c r="H50" s="3" t="inlineStr"/>
      <c r="I50" s="3" t="inlineStr"/>
    </row>
    <row r="51">
      <c r="A51" s="3" t="inlineStr">
        <is>
          <t>044400</t>
        </is>
      </c>
      <c r="B51" s="11" t="n">
        <v>3.2547</v>
      </c>
      <c r="C51" s="11" t="n">
        <v>9.880000000000001</v>
      </c>
      <c r="D51" s="3" t="inlineStr">
        <is>
          <t>Servizi</t>
        </is>
      </c>
      <c r="E51" s="3" t="inlineStr">
        <is>
          <t>Abitazione e utenze</t>
        </is>
      </c>
      <c r="F51" s="3" t="inlineStr">
        <is>
          <t>3-5%</t>
        </is>
      </c>
      <c r="G51" s="3" t="inlineStr">
        <is>
          <t>Other services related to the dwelling</t>
        </is>
      </c>
      <c r="H51" s="3" t="inlineStr">
        <is>
          <t>si</t>
        </is>
      </c>
      <c r="I51" s="3" t="inlineStr">
        <is>
          <t>no</t>
        </is>
      </c>
    </row>
    <row r="52">
      <c r="A52" s="3" t="inlineStr">
        <is>
          <t>043200</t>
        </is>
      </c>
      <c r="B52" s="11" t="n">
        <v>3.2534</v>
      </c>
      <c r="C52" s="11" t="n">
        <v>8.289999999999999</v>
      </c>
      <c r="D52" s="3" t="inlineStr">
        <is>
          <t>Servizi</t>
        </is>
      </c>
      <c r="E52" s="3" t="inlineStr">
        <is>
          <t>Abitazione e utenze</t>
        </is>
      </c>
      <c r="F52" s="3" t="inlineStr">
        <is>
          <t>3-5%</t>
        </is>
      </c>
      <c r="G52" s="3" t="inlineStr">
        <is>
          <t>Services for the maintenance, repair and security of the dwelling</t>
        </is>
      </c>
      <c r="H52" s="3" t="inlineStr">
        <is>
          <t>si</t>
        </is>
      </c>
      <c r="I52" s="3" t="inlineStr">
        <is>
          <t>si</t>
        </is>
      </c>
    </row>
    <row r="53">
      <c r="A53" s="3" t="inlineStr">
        <is>
          <t>105000</t>
        </is>
      </c>
      <c r="B53" s="11" t="n">
        <v>3.2524</v>
      </c>
      <c r="C53" s="11" t="n">
        <v>3.13</v>
      </c>
      <c r="D53" s="3" t="inlineStr">
        <is>
          <t>Servizi</t>
        </is>
      </c>
      <c r="E53" s="3" t="inlineStr">
        <is>
          <t>Istruzione</t>
        </is>
      </c>
      <c r="F53" s="3" t="inlineStr">
        <is>
          <t>3-5%</t>
        </is>
      </c>
      <c r="G53" s="3" t="inlineStr">
        <is>
          <t>Education not defined by level</t>
        </is>
      </c>
      <c r="H53" s="3" t="inlineStr">
        <is>
          <t>si</t>
        </is>
      </c>
      <c r="I53" s="3" t="inlineStr">
        <is>
          <t>no</t>
        </is>
      </c>
    </row>
    <row r="54">
      <c r="A54" s="3" t="inlineStr">
        <is>
          <t>121400</t>
        </is>
      </c>
      <c r="B54" s="11" t="n">
        <v>3.0871</v>
      </c>
      <c r="C54" s="11" t="n">
        <v>8.15</v>
      </c>
      <c r="D54" s="3" t="inlineStr">
        <is>
          <t>Servizi</t>
        </is>
      </c>
      <c r="E54" s="3" t="inlineStr">
        <is>
          <t>Assicurazioni e servizi finanziari</t>
        </is>
      </c>
      <c r="F54" s="3" t="inlineStr">
        <is>
          <t>3-5%</t>
        </is>
      </c>
      <c r="G54" s="3" t="inlineStr">
        <is>
          <t>Insurance connected with transport</t>
        </is>
      </c>
      <c r="H54" s="3" t="inlineStr">
        <is>
          <t>si</t>
        </is>
      </c>
      <c r="I54" s="3" t="inlineStr">
        <is>
          <t>no</t>
        </is>
      </c>
    </row>
    <row r="55">
      <c r="A55" s="3" t="inlineStr">
        <is>
          <t>062300</t>
        </is>
      </c>
      <c r="B55" s="11" t="n">
        <v>3.0745</v>
      </c>
      <c r="C55" s="11" t="n">
        <v>10.28</v>
      </c>
      <c r="D55" s="3" t="inlineStr">
        <is>
          <t>Servizi</t>
        </is>
      </c>
      <c r="E55" s="3" t="inlineStr">
        <is>
          <t>Salute</t>
        </is>
      </c>
      <c r="F55" s="3" t="inlineStr">
        <is>
          <t>3-5%</t>
        </is>
      </c>
      <c r="G55" s="3" t="inlineStr">
        <is>
          <t>Other outpatient care services</t>
        </is>
      </c>
      <c r="H55" s="3" t="inlineStr">
        <is>
          <t>si</t>
        </is>
      </c>
      <c r="I55" s="3" t="inlineStr">
        <is>
          <t>no</t>
        </is>
      </c>
    </row>
    <row r="56">
      <c r="A56" s="3" t="inlineStr">
        <is>
          <t>031400</t>
        </is>
      </c>
      <c r="B56" s="11" t="n">
        <v>3.071</v>
      </c>
      <c r="C56" s="11" t="n">
        <v>0.9399999999999999</v>
      </c>
      <c r="D56" s="3" t="inlineStr">
        <is>
          <t>Servizi</t>
        </is>
      </c>
      <c r="E56" s="3" t="inlineStr">
        <is>
          <t>Abbigliamento e calzature</t>
        </is>
      </c>
      <c r="F56" s="3" t="inlineStr">
        <is>
          <t>3-5%</t>
        </is>
      </c>
      <c r="G56" s="3" t="inlineStr">
        <is>
          <t>Cleaning, repair, tailoring and hire of clothing</t>
        </is>
      </c>
      <c r="H56" s="3" t="inlineStr">
        <is>
          <t>si</t>
        </is>
      </c>
      <c r="I56" s="3" t="inlineStr">
        <is>
          <t>si</t>
        </is>
      </c>
    </row>
    <row r="57">
      <c r="A57" s="3" t="inlineStr">
        <is>
          <t>094500</t>
        </is>
      </c>
      <c r="B57" s="11" t="n">
        <v>2.8879</v>
      </c>
      <c r="C57" s="11" t="n">
        <v>3.17</v>
      </c>
      <c r="D57" s="3" t="inlineStr">
        <is>
          <t>Servizi</t>
        </is>
      </c>
      <c r="E57" s="3" t="inlineStr">
        <is>
          <t>Ricreazione, sport e cultura</t>
        </is>
      </c>
      <c r="F57" s="3" t="inlineStr">
        <is>
          <t>2-3%</t>
        </is>
      </c>
      <c r="G57" s="3" t="inlineStr">
        <is>
          <t>Veterinary and other services for pets</t>
        </is>
      </c>
      <c r="H57" s="3" t="inlineStr">
        <is>
          <t>si</t>
        </is>
      </c>
      <c r="I57" s="3" t="inlineStr">
        <is>
          <t>si</t>
        </is>
      </c>
    </row>
    <row r="58">
      <c r="A58" s="3" t="inlineStr">
        <is>
          <t>055300</t>
        </is>
      </c>
      <c r="B58" s="11" t="n">
        <v>2.8252</v>
      </c>
      <c r="C58" s="11" t="n">
        <v>0.22</v>
      </c>
      <c r="D58" s="3" t="inlineStr">
        <is>
          <t>Servizi</t>
        </is>
      </c>
      <c r="E58" s="3" t="inlineStr">
        <is>
          <t>Mobili e articoli per la casa</t>
        </is>
      </c>
      <c r="F58" s="3" t="inlineStr">
        <is>
          <t>2-3%</t>
        </is>
      </c>
      <c r="G58" s="3" t="inlineStr">
        <is>
          <t>Repair and hire of motorized and non-motorized tools and equipment</t>
        </is>
      </c>
      <c r="H58" s="3" t="inlineStr">
        <is>
          <t>si</t>
        </is>
      </c>
      <c r="I58" s="3" t="inlineStr">
        <is>
          <t>no</t>
        </is>
      </c>
    </row>
    <row r="59">
      <c r="A59" s="3" t="inlineStr">
        <is>
          <t>102000</t>
        </is>
      </c>
      <c r="B59" s="11" t="n">
        <v>2.7978</v>
      </c>
      <c r="C59" s="11" t="n">
        <v>1.64</v>
      </c>
      <c r="D59" s="3" t="inlineStr">
        <is>
          <t>Servizi</t>
        </is>
      </c>
      <c r="E59" s="3" t="inlineStr">
        <is>
          <t>Istruzione</t>
        </is>
      </c>
      <c r="F59" s="3" t="inlineStr">
        <is>
          <t>2-3%</t>
        </is>
      </c>
      <c r="G59" s="3" t="inlineStr">
        <is>
          <t>Secondary education</t>
        </is>
      </c>
      <c r="H59" s="3" t="inlineStr">
        <is>
          <t>si</t>
        </is>
      </c>
      <c r="I59" s="3" t="inlineStr">
        <is>
          <t>si</t>
        </is>
      </c>
    </row>
    <row r="60">
      <c r="A60" s="3" t="inlineStr">
        <is>
          <t>094600</t>
        </is>
      </c>
      <c r="B60" s="11" t="n">
        <v>2.7844</v>
      </c>
      <c r="C60" s="11" t="n">
        <v>12.13</v>
      </c>
      <c r="D60" s="3" t="inlineStr">
        <is>
          <t>Servizi</t>
        </is>
      </c>
      <c r="E60" s="3" t="inlineStr">
        <is>
          <t>Ricreazione, sport e cultura</t>
        </is>
      </c>
      <c r="F60" s="3" t="inlineStr">
        <is>
          <t>2-3%</t>
        </is>
      </c>
      <c r="G60" s="3" t="inlineStr">
        <is>
          <t>Recreational and sporting services</t>
        </is>
      </c>
      <c r="H60" s="3" t="inlineStr">
        <is>
          <t>si</t>
        </is>
      </c>
      <c r="I60" s="3" t="inlineStr">
        <is>
          <t>si</t>
        </is>
      </c>
    </row>
    <row r="61">
      <c r="A61" s="3" t="inlineStr">
        <is>
          <t>063100</t>
        </is>
      </c>
      <c r="B61" s="11" t="n">
        <v>2.7481</v>
      </c>
      <c r="C61" s="11" t="n">
        <v>6.18</v>
      </c>
      <c r="D61" s="3" t="inlineStr">
        <is>
          <t>Servizi</t>
        </is>
      </c>
      <c r="E61" s="3" t="inlineStr">
        <is>
          <t>Salute</t>
        </is>
      </c>
      <c r="F61" s="3" t="inlineStr">
        <is>
          <t>2-3%</t>
        </is>
      </c>
      <c r="G61" s="3" t="inlineStr">
        <is>
          <t>Inpatient curative and rehabilitative services</t>
        </is>
      </c>
      <c r="H61" s="3" t="inlineStr">
        <is>
          <t>si</t>
        </is>
      </c>
      <c r="I61" s="3" t="inlineStr">
        <is>
          <t>no</t>
        </is>
      </c>
    </row>
    <row r="62">
      <c r="A62" s="3" t="inlineStr">
        <is>
          <t>103000</t>
        </is>
      </c>
      <c r="B62" s="11" t="n">
        <v>2.6866</v>
      </c>
      <c r="C62" s="11" t="n">
        <v>0.24</v>
      </c>
      <c r="D62" s="3" t="inlineStr">
        <is>
          <t>Servizi</t>
        </is>
      </c>
      <c r="E62" s="3" t="inlineStr">
        <is>
          <t>Istruzione</t>
        </is>
      </c>
      <c r="F62" s="3" t="inlineStr">
        <is>
          <t>2-3%</t>
        </is>
      </c>
      <c r="G62" s="3" t="inlineStr">
        <is>
          <t>Post-secondary non-tertiary education</t>
        </is>
      </c>
      <c r="H62" s="3" t="inlineStr">
        <is>
          <t>si</t>
        </is>
      </c>
      <c r="I62" s="3" t="inlineStr">
        <is>
          <t>si</t>
        </is>
      </c>
    </row>
    <row r="63">
      <c r="A63" s="3" t="inlineStr">
        <is>
          <t>041100</t>
        </is>
      </c>
      <c r="B63" s="11" t="n">
        <v>2.6834</v>
      </c>
      <c r="C63" s="11" t="n">
        <v>55.64</v>
      </c>
      <c r="D63" s="3" t="inlineStr">
        <is>
          <t>Servizi</t>
        </is>
      </c>
      <c r="E63" s="3" t="inlineStr">
        <is>
          <t>Abitazione e utenze</t>
        </is>
      </c>
      <c r="F63" s="3" t="inlineStr">
        <is>
          <t>2-3%</t>
        </is>
      </c>
      <c r="G63" s="3" t="inlineStr">
        <is>
          <t>Actual rental payments made by tenants for main residence</t>
        </is>
      </c>
      <c r="H63" s="3" t="inlineStr">
        <is>
          <t>si</t>
        </is>
      </c>
      <c r="I63" s="3" t="inlineStr">
        <is>
          <t>no</t>
        </is>
      </c>
    </row>
    <row r="64">
      <c r="A64" s="3" t="inlineStr">
        <is>
          <t>072400</t>
        </is>
      </c>
      <c r="B64" s="11" t="n">
        <v>2.6122</v>
      </c>
      <c r="C64" s="11" t="n">
        <v>12.38</v>
      </c>
      <c r="D64" s="3" t="inlineStr">
        <is>
          <t>Servizi</t>
        </is>
      </c>
      <c r="E64" s="3" t="inlineStr">
        <is>
          <t>Trasporti</t>
        </is>
      </c>
      <c r="F64" s="3" t="inlineStr">
        <is>
          <t>2-3%</t>
        </is>
      </c>
      <c r="G64" s="3" t="inlineStr">
        <is>
          <t>Other services related to personal transport equipment</t>
        </is>
      </c>
      <c r="H64" s="3" t="inlineStr">
        <is>
          <t>si</t>
        </is>
      </c>
      <c r="I64" s="3" t="inlineStr">
        <is>
          <t>si</t>
        </is>
      </c>
    </row>
    <row r="65">
      <c r="A65" s="3" t="inlineStr">
        <is>
          <t>073200</t>
        </is>
      </c>
      <c r="B65" s="11" t="n">
        <v>2.609</v>
      </c>
      <c r="C65" s="11" t="n">
        <v>5.17</v>
      </c>
      <c r="D65" s="3" t="inlineStr">
        <is>
          <t>Servizi</t>
        </is>
      </c>
      <c r="E65" s="3" t="inlineStr">
        <is>
          <t>Trasporti</t>
        </is>
      </c>
      <c r="F65" s="3" t="inlineStr">
        <is>
          <t>2-3%</t>
        </is>
      </c>
      <c r="G65" s="3" t="inlineStr">
        <is>
          <t>Passenger transport by road</t>
        </is>
      </c>
      <c r="H65" s="3" t="inlineStr">
        <is>
          <t>no</t>
        </is>
      </c>
      <c r="I65" s="3" t="inlineStr">
        <is>
          <t>no</t>
        </is>
      </c>
    </row>
    <row r="66">
      <c r="A66" s="3" t="inlineStr">
        <is>
          <t>104000</t>
        </is>
      </c>
      <c r="B66" s="11" t="n">
        <v>2.5376</v>
      </c>
      <c r="C66" s="11" t="n">
        <v>3.36</v>
      </c>
      <c r="D66" s="3" t="inlineStr">
        <is>
          <t>Servizi</t>
        </is>
      </c>
      <c r="E66" s="3" t="inlineStr">
        <is>
          <t>Istruzione</t>
        </is>
      </c>
      <c r="F66" s="3" t="inlineStr">
        <is>
          <t>2-3%</t>
        </is>
      </c>
      <c r="G66" s="3" t="inlineStr">
        <is>
          <t>Tertiary education</t>
        </is>
      </c>
      <c r="H66" s="3" t="inlineStr">
        <is>
          <t>si</t>
        </is>
      </c>
      <c r="I66" s="3" t="inlineStr">
        <is>
          <t>si</t>
        </is>
      </c>
    </row>
    <row r="67">
      <c r="A67" s="3" t="inlineStr">
        <is>
          <t>062200</t>
        </is>
      </c>
      <c r="B67" s="11" t="n">
        <v>2.475</v>
      </c>
      <c r="C67" s="11" t="n">
        <v>9.91</v>
      </c>
      <c r="D67" s="3" t="inlineStr">
        <is>
          <t>Servizi</t>
        </is>
      </c>
      <c r="E67" s="3" t="inlineStr">
        <is>
          <t>Salute</t>
        </is>
      </c>
      <c r="F67" s="3" t="inlineStr">
        <is>
          <t>2-3%</t>
        </is>
      </c>
      <c r="G67" s="3" t="inlineStr">
        <is>
          <t>Outpatient dental services</t>
        </is>
      </c>
      <c r="H67" s="3" t="inlineStr">
        <is>
          <t>si</t>
        </is>
      </c>
      <c r="I67" s="3" t="inlineStr">
        <is>
          <t>no</t>
        </is>
      </c>
    </row>
    <row r="68">
      <c r="A68" s="3" t="inlineStr">
        <is>
          <t>093100</t>
        </is>
      </c>
      <c r="B68" s="11" t="n">
        <v>2.3862</v>
      </c>
      <c r="C68" s="11" t="n">
        <v>5.43</v>
      </c>
      <c r="D68" s="3" t="inlineStr">
        <is>
          <t>Beni industriali</t>
        </is>
      </c>
      <c r="E68" s="3" t="inlineStr">
        <is>
          <t>Ricreazione, sport e cultura</t>
        </is>
      </c>
      <c r="F68" s="3" t="inlineStr">
        <is>
          <t>2-3%</t>
        </is>
      </c>
      <c r="G68" s="3" t="inlineStr">
        <is>
          <t>Garden products, plants and flowers</t>
        </is>
      </c>
      <c r="H68" s="3" t="inlineStr">
        <is>
          <t>no</t>
        </is>
      </c>
      <c r="I68" s="3" t="inlineStr">
        <is>
          <t>no</t>
        </is>
      </c>
    </row>
    <row r="69">
      <c r="A69" s="3" t="inlineStr">
        <is>
          <t>083300</t>
        </is>
      </c>
      <c r="B69" s="11" t="n">
        <v>2.2695</v>
      </c>
      <c r="C69" s="11" t="n">
        <v>2.73</v>
      </c>
      <c r="D69" s="3" t="inlineStr">
        <is>
          <t>Servizi</t>
        </is>
      </c>
      <c r="E69" s="3" t="inlineStr">
        <is>
          <t>Informazione e comunicazione</t>
        </is>
      </c>
      <c r="F69" s="3" t="inlineStr">
        <is>
          <t>2-3%</t>
        </is>
      </c>
      <c r="G69" s="3" t="inlineStr">
        <is>
          <t>Internet access provision services and online storage services</t>
        </is>
      </c>
      <c r="H69" s="3" t="inlineStr">
        <is>
          <t>si</t>
        </is>
      </c>
      <c r="I69" s="3" t="inlineStr">
        <is>
          <t>no</t>
        </is>
      </c>
    </row>
    <row r="70">
      <c r="A70" s="3" t="inlineStr">
        <is>
          <t>139000</t>
        </is>
      </c>
      <c r="B70" s="11" t="n">
        <v>2.2308</v>
      </c>
      <c r="C70" s="11" t="n">
        <v>14.93</v>
      </c>
      <c r="D70" s="3" t="inlineStr">
        <is>
          <t>Servizi</t>
        </is>
      </c>
      <c r="E70" s="3" t="inlineStr">
        <is>
          <t>Cura della persona e altri</t>
        </is>
      </c>
      <c r="F70" s="3" t="inlineStr">
        <is>
          <t>2-3%</t>
        </is>
      </c>
      <c r="G70" s="3" t="inlineStr">
        <is>
          <t>Other services</t>
        </is>
      </c>
      <c r="H70" s="3" t="inlineStr">
        <is>
          <t>si</t>
        </is>
      </c>
      <c r="I70" s="3" t="inlineStr">
        <is>
          <t>no</t>
        </is>
      </c>
    </row>
    <row r="71">
      <c r="A71" s="3" t="inlineStr">
        <is>
          <t>096100</t>
        </is>
      </c>
      <c r="B71" s="11" t="n">
        <v>2.181</v>
      </c>
      <c r="C71" s="11" t="n">
        <v>5.53</v>
      </c>
      <c r="D71" s="3" t="inlineStr">
        <is>
          <t>Servizi</t>
        </is>
      </c>
      <c r="E71" s="3" t="inlineStr">
        <is>
          <t>Ricreazione, sport e cultura</t>
        </is>
      </c>
      <c r="F71" s="3" t="inlineStr">
        <is>
          <t>2-3%</t>
        </is>
      </c>
      <c r="G71" s="3" t="inlineStr">
        <is>
          <t>Services provided by cinemas, theatres and concert venues</t>
        </is>
      </c>
      <c r="H71" s="3" t="inlineStr">
        <is>
          <t>no</t>
        </is>
      </c>
      <c r="I71" s="3" t="inlineStr">
        <is>
          <t>no</t>
        </is>
      </c>
    </row>
    <row r="72">
      <c r="A72" s="3" t="inlineStr">
        <is>
          <t>121300</t>
        </is>
      </c>
      <c r="B72" s="11" t="n">
        <v>2.1404</v>
      </c>
      <c r="C72" s="11" t="n">
        <v>2.68</v>
      </c>
      <c r="D72" s="3" t="inlineStr">
        <is>
          <t>Servizi</t>
        </is>
      </c>
      <c r="E72" s="3" t="inlineStr">
        <is>
          <t>Assicurazioni e servizi finanziari</t>
        </is>
      </c>
      <c r="F72" s="3" t="inlineStr">
        <is>
          <t>2-3%</t>
        </is>
      </c>
      <c r="G72" s="3" t="inlineStr">
        <is>
          <t>Insurance connected with dwellings</t>
        </is>
      </c>
      <c r="H72" s="3" t="inlineStr">
        <is>
          <t>si</t>
        </is>
      </c>
      <c r="I72" s="3" t="inlineStr">
        <is>
          <t>no</t>
        </is>
      </c>
    </row>
    <row r="73">
      <c r="A73" s="3" t="inlineStr">
        <is>
          <t>121100</t>
        </is>
      </c>
      <c r="B73" s="11" t="n">
        <v>2.0698</v>
      </c>
      <c r="C73" s="11" t="n">
        <v>1.65</v>
      </c>
      <c r="D73" s="3" t="inlineStr">
        <is>
          <t>Servizi</t>
        </is>
      </c>
      <c r="E73" s="3" t="inlineStr">
        <is>
          <t>Assicurazioni e servizi finanziari</t>
        </is>
      </c>
      <c r="F73" s="3" t="inlineStr">
        <is>
          <t>2-3%</t>
        </is>
      </c>
      <c r="G73" s="3" t="inlineStr">
        <is>
          <t>Life and accident insurance</t>
        </is>
      </c>
      <c r="H73" s="3" t="inlineStr">
        <is>
          <t>si</t>
        </is>
      </c>
      <c r="I73" s="3" t="inlineStr">
        <is>
          <t>no</t>
        </is>
      </c>
    </row>
    <row r="74">
      <c r="A74" s="3" t="inlineStr">
        <is>
          <t>012400</t>
        </is>
      </c>
      <c r="B74" s="11" t="n">
        <v>2.0563</v>
      </c>
      <c r="C74" s="11" t="n">
        <v>0.03</v>
      </c>
      <c r="D74" s="3" t="inlineStr">
        <is>
          <t>Alimentari</t>
        </is>
      </c>
      <c r="E74" s="3" t="inlineStr">
        <is>
          <t>Alimentari e bevande analcoliche</t>
        </is>
      </c>
      <c r="F74" s="3" t="inlineStr">
        <is>
          <t>2-3%</t>
        </is>
      </c>
      <c r="G74" s="3" t="inlineStr"/>
      <c r="H74" s="3" t="inlineStr"/>
      <c r="I74" s="3" t="inlineStr"/>
    </row>
    <row r="75">
      <c r="A75" s="3" t="inlineStr">
        <is>
          <t>096900</t>
        </is>
      </c>
      <c r="B75" s="11" t="n">
        <v>2.0477</v>
      </c>
      <c r="C75" s="11" t="n">
        <v>1.4</v>
      </c>
      <c r="D75" s="3" t="inlineStr">
        <is>
          <t>Servizi</t>
        </is>
      </c>
      <c r="E75" s="3" t="inlineStr">
        <is>
          <t>Ricreazione, sport e cultura</t>
        </is>
      </c>
      <c r="F75" s="3" t="inlineStr">
        <is>
          <t>2-3%</t>
        </is>
      </c>
      <c r="G75" s="3" t="inlineStr">
        <is>
          <t>Other cultural services</t>
        </is>
      </c>
      <c r="H75" s="3" t="inlineStr">
        <is>
          <t>no</t>
        </is>
      </c>
      <c r="I75" s="3" t="inlineStr">
        <is>
          <t>no</t>
        </is>
      </c>
    </row>
    <row r="76">
      <c r="A76" s="3" t="inlineStr">
        <is>
          <t>074900</t>
        </is>
      </c>
      <c r="B76" s="11" t="n">
        <v>1.9994</v>
      </c>
      <c r="C76" s="11" t="n">
        <v>2.05</v>
      </c>
      <c r="D76" s="3" t="inlineStr">
        <is>
          <t>Servizi</t>
        </is>
      </c>
      <c r="E76" s="3" t="inlineStr">
        <is>
          <t>Trasporti</t>
        </is>
      </c>
      <c r="F76" s="3" t="inlineStr">
        <is>
          <t>1,5-2%</t>
        </is>
      </c>
      <c r="G76" s="3" t="inlineStr">
        <is>
          <t>Other transport of goods</t>
        </is>
      </c>
      <c r="H76" s="3" t="inlineStr">
        <is>
          <t>no</t>
        </is>
      </c>
      <c r="I76" s="3" t="inlineStr">
        <is>
          <t>si</t>
        </is>
      </c>
    </row>
    <row r="77">
      <c r="A77" s="3" t="inlineStr">
        <is>
          <t>096300</t>
        </is>
      </c>
      <c r="B77" s="11" t="n">
        <v>1.8827</v>
      </c>
      <c r="C77" s="11" t="n">
        <v>0.91</v>
      </c>
      <c r="D77" s="3" t="inlineStr">
        <is>
          <t>Servizi</t>
        </is>
      </c>
      <c r="E77" s="3" t="inlineStr">
        <is>
          <t>Ricreazione, sport e cultura</t>
        </is>
      </c>
      <c r="F77" s="3" t="inlineStr">
        <is>
          <t>1,5-2%</t>
        </is>
      </c>
      <c r="G77" s="3" t="inlineStr">
        <is>
          <t>Photographic services</t>
        </is>
      </c>
      <c r="H77" s="3" t="inlineStr">
        <is>
          <t>no</t>
        </is>
      </c>
      <c r="I77" s="3" t="inlineStr">
        <is>
          <t>no</t>
        </is>
      </c>
    </row>
    <row r="78">
      <c r="A78" s="3" t="inlineStr">
        <is>
          <t>083200</t>
        </is>
      </c>
      <c r="B78" s="11" t="n">
        <v>1.807</v>
      </c>
      <c r="C78" s="11" t="n">
        <v>7.18</v>
      </c>
      <c r="D78" s="3" t="inlineStr">
        <is>
          <t>Servizi</t>
        </is>
      </c>
      <c r="E78" s="3" t="inlineStr">
        <is>
          <t>Informazione e comunicazione</t>
        </is>
      </c>
      <c r="F78" s="3" t="inlineStr">
        <is>
          <t>1,5-2%</t>
        </is>
      </c>
      <c r="G78" s="3" t="inlineStr">
        <is>
          <t>Mobile communication services</t>
        </is>
      </c>
      <c r="H78" s="3" t="inlineStr">
        <is>
          <t>si</t>
        </is>
      </c>
      <c r="I78" s="3" t="inlineStr">
        <is>
          <t>no</t>
        </is>
      </c>
    </row>
    <row r="79">
      <c r="A79" s="3" t="inlineStr">
        <is>
          <t>052100</t>
        </is>
      </c>
      <c r="B79" s="11" t="n">
        <v>1.6724</v>
      </c>
      <c r="C79" s="11" t="n">
        <v>3.84</v>
      </c>
      <c r="D79" s="3" t="inlineStr">
        <is>
          <t>Beni industriali</t>
        </is>
      </c>
      <c r="E79" s="3" t="inlineStr">
        <is>
          <t>Mobili e articoli per la casa</t>
        </is>
      </c>
      <c r="F79" s="3" t="inlineStr">
        <is>
          <t>1,5-2%</t>
        </is>
      </c>
      <c r="G79" s="3" t="inlineStr">
        <is>
          <t>Household textiles</t>
        </is>
      </c>
      <c r="H79" s="3" t="inlineStr">
        <is>
          <t>no</t>
        </is>
      </c>
      <c r="I79" s="3" t="inlineStr">
        <is>
          <t>no</t>
        </is>
      </c>
    </row>
    <row r="80">
      <c r="A80" s="3" t="inlineStr">
        <is>
          <t>097100</t>
        </is>
      </c>
      <c r="B80" s="11" t="n">
        <v>1.6615</v>
      </c>
      <c r="C80" s="11" t="n">
        <v>3.72</v>
      </c>
      <c r="D80" s="3" t="inlineStr">
        <is>
          <t>Beni industriali</t>
        </is>
      </c>
      <c r="E80" s="3" t="inlineStr">
        <is>
          <t>Ricreazione, sport e cultura</t>
        </is>
      </c>
      <c r="F80" s="3" t="inlineStr">
        <is>
          <t>1,5-2%</t>
        </is>
      </c>
      <c r="G80" s="3" t="inlineStr">
        <is>
          <t>Books</t>
        </is>
      </c>
      <c r="H80" s="3" t="inlineStr">
        <is>
          <t>no</t>
        </is>
      </c>
      <c r="I80" s="3" t="inlineStr">
        <is>
          <t>no</t>
        </is>
      </c>
    </row>
    <row r="81">
      <c r="A81" s="3" t="inlineStr">
        <is>
          <t>012600</t>
        </is>
      </c>
      <c r="B81" s="11" t="n">
        <v>1.621</v>
      </c>
      <c r="C81" s="11" t="n">
        <v>3.29</v>
      </c>
      <c r="D81" s="3" t="inlineStr">
        <is>
          <t>Alimentari</t>
        </is>
      </c>
      <c r="E81" s="3" t="inlineStr">
        <is>
          <t>Alimentari e bevande analcoliche</t>
        </is>
      </c>
      <c r="F81" s="3" t="inlineStr">
        <is>
          <t>1,5-2%</t>
        </is>
      </c>
      <c r="G81" s="3" t="inlineStr"/>
      <c r="H81" s="3" t="inlineStr"/>
      <c r="I81" s="3" t="inlineStr"/>
    </row>
    <row r="82">
      <c r="A82" s="3" t="inlineStr">
        <is>
          <t>041200</t>
        </is>
      </c>
      <c r="B82" s="11" t="n">
        <v>1.615</v>
      </c>
      <c r="C82" s="11" t="n">
        <v>2.85</v>
      </c>
      <c r="D82" s="3" t="inlineStr">
        <is>
          <t>Servizi</t>
        </is>
      </c>
      <c r="E82" s="3" t="inlineStr">
        <is>
          <t>Abitazione e utenze</t>
        </is>
      </c>
      <c r="F82" s="3" t="inlineStr">
        <is>
          <t>1,5-2%</t>
        </is>
      </c>
      <c r="G82" s="3" t="inlineStr">
        <is>
          <t>Other actual rental payments</t>
        </is>
      </c>
      <c r="H82" s="3" t="inlineStr">
        <is>
          <t>si</t>
        </is>
      </c>
      <c r="I82" s="3" t="inlineStr">
        <is>
          <t>no</t>
        </is>
      </c>
    </row>
    <row r="83">
      <c r="A83" s="3" t="inlineStr">
        <is>
          <t>073100</t>
        </is>
      </c>
      <c r="B83" s="11" t="n">
        <v>1.6107</v>
      </c>
      <c r="C83" s="11" t="n">
        <v>5.98</v>
      </c>
      <c r="D83" s="3" t="inlineStr">
        <is>
          <t>Servizi</t>
        </is>
      </c>
      <c r="E83" s="3" t="inlineStr">
        <is>
          <t>Trasporti</t>
        </is>
      </c>
      <c r="F83" s="3" t="inlineStr">
        <is>
          <t>1,5-2%</t>
        </is>
      </c>
      <c r="G83" s="3" t="inlineStr">
        <is>
          <t>Passenger transport by railway</t>
        </is>
      </c>
      <c r="H83" s="3" t="inlineStr">
        <is>
          <t>no</t>
        </is>
      </c>
      <c r="I83" s="3" t="inlineStr">
        <is>
          <t>no</t>
        </is>
      </c>
    </row>
    <row r="84">
      <c r="A84" s="3" t="inlineStr">
        <is>
          <t>043100</t>
        </is>
      </c>
      <c r="B84" s="11" t="n">
        <v>1.6052</v>
      </c>
      <c r="C84" s="11" t="n">
        <v>4.41</v>
      </c>
      <c r="D84" s="3" t="inlineStr">
        <is>
          <t>Beni industriali</t>
        </is>
      </c>
      <c r="E84" s="3" t="inlineStr">
        <is>
          <t>Abitazione e utenze</t>
        </is>
      </c>
      <c r="F84" s="3" t="inlineStr">
        <is>
          <t>1,5-2%</t>
        </is>
      </c>
      <c r="G84" s="3" t="inlineStr">
        <is>
          <t>Security equipment and materials for dwelling maintenance and repair</t>
        </is>
      </c>
      <c r="H84" s="3" t="inlineStr">
        <is>
          <t>no</t>
        </is>
      </c>
      <c r="I84" s="3" t="inlineStr">
        <is>
          <t>si</t>
        </is>
      </c>
    </row>
    <row r="85">
      <c r="A85" s="3" t="inlineStr">
        <is>
          <t>061200</t>
        </is>
      </c>
      <c r="B85" s="11" t="n">
        <v>1.6013</v>
      </c>
      <c r="C85" s="11" t="n">
        <v>3.23</v>
      </c>
      <c r="D85" s="3" t="inlineStr">
        <is>
          <t>Beni industriali</t>
        </is>
      </c>
      <c r="E85" s="3" t="inlineStr">
        <is>
          <t>Salute</t>
        </is>
      </c>
      <c r="F85" s="3" t="inlineStr">
        <is>
          <t>1,5-2%</t>
        </is>
      </c>
      <c r="G85" s="3" t="inlineStr">
        <is>
          <t>Medical products</t>
        </is>
      </c>
      <c r="H85" s="3" t="inlineStr">
        <is>
          <t>no</t>
        </is>
      </c>
      <c r="I85" s="3" t="inlineStr">
        <is>
          <t>no</t>
        </is>
      </c>
    </row>
    <row r="86">
      <c r="A86" s="3" t="inlineStr">
        <is>
          <t>011200</t>
        </is>
      </c>
      <c r="B86" s="11" t="n">
        <v>1.5806</v>
      </c>
      <c r="C86" s="11" t="n">
        <v>30.61</v>
      </c>
      <c r="D86" s="3" t="inlineStr">
        <is>
          <t>Alimentari</t>
        </is>
      </c>
      <c r="E86" s="3" t="inlineStr">
        <is>
          <t>Alimentari e bevande analcoliche</t>
        </is>
      </c>
      <c r="F86" s="3" t="inlineStr">
        <is>
          <t>1,5-2%</t>
        </is>
      </c>
      <c r="G86" s="3" t="inlineStr"/>
      <c r="H86" s="3" t="inlineStr"/>
      <c r="I86" s="3" t="inlineStr"/>
    </row>
    <row r="87">
      <c r="A87" s="3" t="inlineStr">
        <is>
          <t>081200</t>
        </is>
      </c>
      <c r="B87" s="11" t="n">
        <v>1.4757</v>
      </c>
      <c r="C87" s="11" t="n">
        <v>3.27</v>
      </c>
      <c r="D87" s="3" t="inlineStr">
        <is>
          <t>Beni industriali</t>
        </is>
      </c>
      <c r="E87" s="3" t="inlineStr">
        <is>
          <t>Informazione e comunicazione</t>
        </is>
      </c>
      <c r="F87" s="3" t="inlineStr">
        <is>
          <t>sotto 1,5%</t>
        </is>
      </c>
      <c r="G87" s="3" t="inlineStr">
        <is>
          <t>Mobile telephone equipment</t>
        </is>
      </c>
      <c r="H87" s="3" t="inlineStr">
        <is>
          <t>no</t>
        </is>
      </c>
      <c r="I87" s="3" t="inlineStr">
        <is>
          <t>no</t>
        </is>
      </c>
    </row>
    <row r="88">
      <c r="A88" s="3" t="inlineStr">
        <is>
          <t>097300</t>
        </is>
      </c>
      <c r="B88" s="11" t="n">
        <v>1.4726</v>
      </c>
      <c r="C88" s="11" t="n">
        <v>1.12</v>
      </c>
      <c r="D88" s="3" t="inlineStr">
        <is>
          <t>Beni industriali</t>
        </is>
      </c>
      <c r="E88" s="3" t="inlineStr">
        <is>
          <t>Ricreazione, sport e cultura</t>
        </is>
      </c>
      <c r="F88" s="3" t="inlineStr">
        <is>
          <t>sotto 1,5%</t>
        </is>
      </c>
      <c r="G88" s="3" t="inlineStr">
        <is>
          <t>Miscellaneous printed matter</t>
        </is>
      </c>
      <c r="H88" s="3" t="inlineStr">
        <is>
          <t>no</t>
        </is>
      </c>
      <c r="I88" s="3" t="inlineStr">
        <is>
          <t>no</t>
        </is>
      </c>
    </row>
    <row r="89">
      <c r="A89" s="3" t="inlineStr">
        <is>
          <t>111200</t>
        </is>
      </c>
      <c r="B89" s="11" t="n">
        <v>1.4424</v>
      </c>
      <c r="C89" s="11" t="n">
        <v>5.93</v>
      </c>
      <c r="D89" s="3" t="inlineStr">
        <is>
          <t>Servizi</t>
        </is>
      </c>
      <c r="E89" s="3" t="inlineStr">
        <is>
          <t>Ristorazione e alloggio</t>
        </is>
      </c>
      <c r="F89" s="3" t="inlineStr">
        <is>
          <t>sotto 1,5%</t>
        </is>
      </c>
      <c r="G89" s="3" t="inlineStr">
        <is>
          <t>Canteens, cafeterias and refectories</t>
        </is>
      </c>
      <c r="H89" s="3" t="inlineStr">
        <is>
          <t>si</t>
        </is>
      </c>
      <c r="I89" s="3" t="inlineStr">
        <is>
          <t>si</t>
        </is>
      </c>
    </row>
    <row r="90">
      <c r="A90" s="3" t="inlineStr">
        <is>
          <t>012900</t>
        </is>
      </c>
      <c r="B90" s="11" t="n">
        <v>1.3894</v>
      </c>
      <c r="C90" s="11" t="n">
        <v>0.73</v>
      </c>
      <c r="D90" s="3" t="inlineStr">
        <is>
          <t>Alimentari</t>
        </is>
      </c>
      <c r="E90" s="3" t="inlineStr">
        <is>
          <t>Alimentari e bevande analcoliche</t>
        </is>
      </c>
      <c r="F90" s="3" t="inlineStr">
        <is>
          <t>sotto 1,5%</t>
        </is>
      </c>
      <c r="G90" s="3" t="inlineStr"/>
      <c r="H90" s="3" t="inlineStr"/>
      <c r="I90" s="3" t="inlineStr"/>
    </row>
    <row r="91">
      <c r="A91" s="3" t="inlineStr">
        <is>
          <t>061300</t>
        </is>
      </c>
      <c r="B91" s="11" t="n">
        <v>1.3452</v>
      </c>
      <c r="C91" s="11" t="n">
        <v>6.34</v>
      </c>
      <c r="D91" s="3" t="inlineStr">
        <is>
          <t>Beni industriali</t>
        </is>
      </c>
      <c r="E91" s="3" t="inlineStr">
        <is>
          <t>Salute</t>
        </is>
      </c>
      <c r="F91" s="3" t="inlineStr">
        <is>
          <t>sotto 1,5%</t>
        </is>
      </c>
      <c r="G91" s="3" t="inlineStr">
        <is>
          <t>Assistive products</t>
        </is>
      </c>
      <c r="H91" s="3" t="inlineStr">
        <is>
          <t>no</t>
        </is>
      </c>
      <c r="I91" s="3" t="inlineStr">
        <is>
          <t>no</t>
        </is>
      </c>
    </row>
    <row r="92">
      <c r="A92" s="3" t="inlineStr">
        <is>
          <t>062100</t>
        </is>
      </c>
      <c r="B92" s="11" t="n">
        <v>1.2988</v>
      </c>
      <c r="C92" s="11" t="n">
        <v>3.76</v>
      </c>
      <c r="D92" s="3" t="inlineStr">
        <is>
          <t>Servizi</t>
        </is>
      </c>
      <c r="E92" s="3" t="inlineStr">
        <is>
          <t>Salute</t>
        </is>
      </c>
      <c r="F92" s="3" t="inlineStr">
        <is>
          <t>sotto 1,5%</t>
        </is>
      </c>
      <c r="G92" s="3" t="inlineStr">
        <is>
          <t>Preventive care services</t>
        </is>
      </c>
      <c r="H92" s="3" t="inlineStr">
        <is>
          <t>si</t>
        </is>
      </c>
      <c r="I92" s="3" t="inlineStr">
        <is>
          <t>no</t>
        </is>
      </c>
    </row>
    <row r="93">
      <c r="A93" s="3" t="inlineStr">
        <is>
          <t>083900</t>
        </is>
      </c>
      <c r="B93" s="11" t="n">
        <v>1.2943</v>
      </c>
      <c r="C93" s="11" t="n">
        <v>4.64</v>
      </c>
      <c r="D93" s="3" t="inlineStr">
        <is>
          <t>Servizi</t>
        </is>
      </c>
      <c r="E93" s="3" t="inlineStr">
        <is>
          <t>Informazione e comunicazione</t>
        </is>
      </c>
      <c r="F93" s="3" t="inlineStr">
        <is>
          <t>sotto 1,5%</t>
        </is>
      </c>
      <c r="G93" s="3" t="inlineStr">
        <is>
          <t>Other information and communication services</t>
        </is>
      </c>
      <c r="H93" s="3" t="inlineStr">
        <is>
          <t>si</t>
        </is>
      </c>
      <c r="I93" s="3" t="inlineStr">
        <is>
          <t>no</t>
        </is>
      </c>
    </row>
    <row r="94">
      <c r="A94" s="3" t="inlineStr">
        <is>
          <t>031100</t>
        </is>
      </c>
      <c r="B94" s="11" t="n">
        <v>1.2315</v>
      </c>
      <c r="C94" s="11" t="n">
        <v>0.14</v>
      </c>
      <c r="D94" s="3" t="inlineStr">
        <is>
          <t>Beni industriali</t>
        </is>
      </c>
      <c r="E94" s="3" t="inlineStr">
        <is>
          <t>Abbigliamento e calzature</t>
        </is>
      </c>
      <c r="F94" s="3" t="inlineStr">
        <is>
          <t>sotto 1,5%</t>
        </is>
      </c>
      <c r="G94" s="3" t="inlineStr">
        <is>
          <t>Clothing materials</t>
        </is>
      </c>
      <c r="H94" s="3" t="inlineStr">
        <is>
          <t>no</t>
        </is>
      </c>
      <c r="I94" s="3" t="inlineStr">
        <is>
          <t>no</t>
        </is>
      </c>
    </row>
    <row r="95">
      <c r="A95" s="3" t="inlineStr">
        <is>
          <t>071100</t>
        </is>
      </c>
      <c r="B95" s="11" t="n">
        <v>1.2077</v>
      </c>
      <c r="C95" s="11" t="n">
        <v>36.51</v>
      </c>
      <c r="D95" s="3" t="inlineStr">
        <is>
          <t>Beni industriali</t>
        </is>
      </c>
      <c r="E95" s="3" t="inlineStr">
        <is>
          <t>Trasporti</t>
        </is>
      </c>
      <c r="F95" s="3" t="inlineStr">
        <is>
          <t>sotto 1,5%</t>
        </is>
      </c>
      <c r="G95" s="3" t="inlineStr">
        <is>
          <t>Motor cars</t>
        </is>
      </c>
      <c r="H95" s="3" t="inlineStr">
        <is>
          <t>no</t>
        </is>
      </c>
      <c r="I95" s="3" t="inlineStr">
        <is>
          <t>no</t>
        </is>
      </c>
    </row>
    <row r="96">
      <c r="A96" s="3" t="inlineStr">
        <is>
          <t>021300</t>
        </is>
      </c>
      <c r="B96" s="11" t="n">
        <v>1.1259</v>
      </c>
      <c r="C96" s="11" t="n">
        <v>5.05</v>
      </c>
      <c r="D96" s="3" t="inlineStr">
        <is>
          <t>Alimentari</t>
        </is>
      </c>
      <c r="E96" s="3" t="inlineStr">
        <is>
          <t>Alcolici e tabacchi</t>
        </is>
      </c>
      <c r="F96" s="3" t="inlineStr">
        <is>
          <t>sotto 1,5%</t>
        </is>
      </c>
      <c r="G96" s="3" t="inlineStr"/>
      <c r="H96" s="3" t="inlineStr"/>
      <c r="I96" s="3" t="inlineStr"/>
    </row>
    <row r="97">
      <c r="A97" s="3" t="inlineStr">
        <is>
          <t>122200</t>
        </is>
      </c>
      <c r="B97" s="11" t="n">
        <v>1.121</v>
      </c>
      <c r="C97" s="11" t="n">
        <v>9.18</v>
      </c>
      <c r="D97" s="3" t="inlineStr">
        <is>
          <t>Servizi</t>
        </is>
      </c>
      <c r="E97" s="3" t="inlineStr">
        <is>
          <t>Assicurazioni e servizi finanziari</t>
        </is>
      </c>
      <c r="F97" s="3" t="inlineStr">
        <is>
          <t>sotto 1,5%</t>
        </is>
      </c>
      <c r="G97" s="3" t="inlineStr">
        <is>
          <t>Explicit charges by deposit-taking corporations</t>
        </is>
      </c>
      <c r="H97" s="3" t="inlineStr">
        <is>
          <t>no</t>
        </is>
      </c>
      <c r="I97" s="3" t="inlineStr">
        <is>
          <t>no</t>
        </is>
      </c>
    </row>
    <row r="98">
      <c r="A98" s="3" t="inlineStr">
        <is>
          <t>064100</t>
        </is>
      </c>
      <c r="B98" s="11" t="n">
        <v>1.1173</v>
      </c>
      <c r="C98" s="11" t="n">
        <v>1.59</v>
      </c>
      <c r="D98" s="3" t="inlineStr">
        <is>
          <t>Servizi</t>
        </is>
      </c>
      <c r="E98" s="3" t="inlineStr">
        <is>
          <t>Salute</t>
        </is>
      </c>
      <c r="F98" s="3" t="inlineStr">
        <is>
          <t>sotto 1,5%</t>
        </is>
      </c>
      <c r="G98" s="3" t="inlineStr">
        <is>
          <t>Diagnostic imaging services and medical laboratory services</t>
        </is>
      </c>
      <c r="H98" s="3" t="inlineStr">
        <is>
          <t>si</t>
        </is>
      </c>
      <c r="I98" s="3" t="inlineStr">
        <is>
          <t>no</t>
        </is>
      </c>
    </row>
    <row r="99">
      <c r="A99" s="3" t="inlineStr">
        <is>
          <t>097400</t>
        </is>
      </c>
      <c r="B99" s="11" t="n">
        <v>0.8027</v>
      </c>
      <c r="C99" s="11" t="n">
        <v>1.92</v>
      </c>
      <c r="D99" s="3" t="inlineStr">
        <is>
          <t>Beni industriali</t>
        </is>
      </c>
      <c r="E99" s="3" t="inlineStr">
        <is>
          <t>Ricreazione, sport e cultura</t>
        </is>
      </c>
      <c r="F99" s="3" t="inlineStr">
        <is>
          <t>sotto 1,5%</t>
        </is>
      </c>
      <c r="G99" s="3" t="inlineStr">
        <is>
          <t>Stationery and drawing materials</t>
        </is>
      </c>
      <c r="H99" s="3" t="inlineStr">
        <is>
          <t>no</t>
        </is>
      </c>
      <c r="I99" s="3" t="inlineStr">
        <is>
          <t>si</t>
        </is>
      </c>
    </row>
    <row r="100">
      <c r="A100" s="3" t="inlineStr">
        <is>
          <t>083100</t>
        </is>
      </c>
      <c r="B100" s="11" t="n">
        <v>0.7202</v>
      </c>
      <c r="C100" s="11" t="n">
        <v>0.76</v>
      </c>
      <c r="D100" s="3" t="inlineStr">
        <is>
          <t>Servizi</t>
        </is>
      </c>
      <c r="E100" s="3" t="inlineStr">
        <is>
          <t>Informazione e comunicazione</t>
        </is>
      </c>
      <c r="F100" s="3" t="inlineStr">
        <is>
          <t>sotto 1,5%</t>
        </is>
      </c>
      <c r="G100" s="3" t="inlineStr">
        <is>
          <t>Fixed communication services</t>
        </is>
      </c>
      <c r="H100" s="3" t="inlineStr">
        <is>
          <t>si</t>
        </is>
      </c>
      <c r="I100" s="3" t="inlineStr">
        <is>
          <t>no</t>
        </is>
      </c>
    </row>
    <row r="101">
      <c r="A101" s="3" t="inlineStr">
        <is>
          <t>031300</t>
        </is>
      </c>
      <c r="B101" s="11" t="n">
        <v>0.6201</v>
      </c>
      <c r="C101" s="11" t="n">
        <v>1.43</v>
      </c>
      <c r="D101" s="3" t="inlineStr">
        <is>
          <t>Beni industriali</t>
        </is>
      </c>
      <c r="E101" s="3" t="inlineStr">
        <is>
          <t>Abbigliamento e calzature</t>
        </is>
      </c>
      <c r="F101" s="3" t="inlineStr">
        <is>
          <t>sotto 1,5%</t>
        </is>
      </c>
      <c r="G101" s="3" t="inlineStr">
        <is>
          <t>Other articles of clothing and clothing accessories</t>
        </is>
      </c>
      <c r="H101" s="3" t="inlineStr">
        <is>
          <t>no</t>
        </is>
      </c>
      <c r="I101" s="3" t="inlineStr">
        <is>
          <t>no</t>
        </is>
      </c>
    </row>
    <row r="102">
      <c r="A102" s="3" t="inlineStr">
        <is>
          <t>054000</t>
        </is>
      </c>
      <c r="B102" s="11" t="n">
        <v>0.5517</v>
      </c>
      <c r="C102" s="11" t="n">
        <v>4.48</v>
      </c>
      <c r="D102" s="3" t="inlineStr">
        <is>
          <t>Beni industriali</t>
        </is>
      </c>
      <c r="E102" s="3" t="inlineStr">
        <is>
          <t>Mobili e articoli per la casa</t>
        </is>
      </c>
      <c r="F102" s="3" t="inlineStr">
        <is>
          <t>sotto 1,5%</t>
        </is>
      </c>
      <c r="G102" s="3" t="inlineStr">
        <is>
          <t>Glassware, tableware and household utensils</t>
        </is>
      </c>
      <c r="H102" s="3" t="inlineStr">
        <is>
          <t>no</t>
        </is>
      </c>
      <c r="I102" s="3" t="inlineStr">
        <is>
          <t>si</t>
        </is>
      </c>
    </row>
    <row r="103">
      <c r="A103" s="3" t="inlineStr">
        <is>
          <t>011900</t>
        </is>
      </c>
      <c r="B103" s="11" t="n">
        <v>0.4699</v>
      </c>
      <c r="C103" s="11" t="n">
        <v>11.51</v>
      </c>
      <c r="D103" s="3" t="inlineStr">
        <is>
          <t>Alimentari</t>
        </is>
      </c>
      <c r="E103" s="3" t="inlineStr">
        <is>
          <t>Alimentari e bevande analcoliche</t>
        </is>
      </c>
      <c r="F103" s="3" t="inlineStr">
        <is>
          <t>sotto 1,5%</t>
        </is>
      </c>
      <c r="G103" s="3" t="inlineStr"/>
      <c r="H103" s="3" t="inlineStr"/>
      <c r="I103" s="3" t="inlineStr"/>
    </row>
    <row r="104">
      <c r="A104" s="3" t="inlineStr">
        <is>
          <t>083400</t>
        </is>
      </c>
      <c r="B104" s="11" t="n">
        <v>0.4618</v>
      </c>
      <c r="C104" s="11" t="n">
        <v>8.800000000000001</v>
      </c>
      <c r="D104" s="3" t="inlineStr">
        <is>
          <t>Servizi</t>
        </is>
      </c>
      <c r="E104" s="3" t="inlineStr">
        <is>
          <t>Informazione e comunicazione</t>
        </is>
      </c>
      <c r="F104" s="3" t="inlineStr">
        <is>
          <t>sotto 1,5%</t>
        </is>
      </c>
      <c r="G104" s="3" t="inlineStr">
        <is>
          <t>Bundled telecommunication services</t>
        </is>
      </c>
      <c r="H104" s="3" t="inlineStr">
        <is>
          <t>si</t>
        </is>
      </c>
      <c r="I104" s="3" t="inlineStr">
        <is>
          <t>no</t>
        </is>
      </c>
    </row>
    <row r="105">
      <c r="A105" s="3" t="inlineStr">
        <is>
          <t>021100</t>
        </is>
      </c>
      <c r="B105" s="11" t="n">
        <v>0.4585</v>
      </c>
      <c r="C105" s="11" t="n">
        <v>3.27</v>
      </c>
      <c r="D105" s="3" t="inlineStr">
        <is>
          <t>Alimentari</t>
        </is>
      </c>
      <c r="E105" s="3" t="inlineStr">
        <is>
          <t>Alcolici e tabacchi</t>
        </is>
      </c>
      <c r="F105" s="3" t="inlineStr">
        <is>
          <t>sotto 1,5%</t>
        </is>
      </c>
      <c r="G105" s="3" t="inlineStr"/>
      <c r="H105" s="3" t="inlineStr"/>
      <c r="I105" s="3" t="inlineStr"/>
    </row>
    <row r="106">
      <c r="A106" s="3" t="inlineStr">
        <is>
          <t>064200</t>
        </is>
      </c>
      <c r="B106" s="11" t="n">
        <v>0.4481</v>
      </c>
      <c r="C106" s="11" t="n">
        <v>0.07000000000000001</v>
      </c>
      <c r="D106" s="3" t="inlineStr">
        <is>
          <t>Servizi</t>
        </is>
      </c>
      <c r="E106" s="3" t="inlineStr">
        <is>
          <t>Salute</t>
        </is>
      </c>
      <c r="F106" s="3" t="inlineStr">
        <is>
          <t>sotto 1,5%</t>
        </is>
      </c>
      <c r="G106" s="3" t="inlineStr">
        <is>
          <t>Patient emergency transportation and emergency rescue services</t>
        </is>
      </c>
      <c r="H106" s="3" t="inlineStr">
        <is>
          <t>si</t>
        </is>
      </c>
      <c r="I106" s="3" t="inlineStr">
        <is>
          <t>no</t>
        </is>
      </c>
    </row>
    <row r="107">
      <c r="A107" s="3" t="inlineStr">
        <is>
          <t>091200</t>
        </is>
      </c>
      <c r="B107" s="11" t="n">
        <v>0.4296</v>
      </c>
      <c r="C107" s="11" t="n">
        <v>3.12</v>
      </c>
      <c r="D107" s="3" t="inlineStr">
        <is>
          <t>Beni industriali</t>
        </is>
      </c>
      <c r="E107" s="3" t="inlineStr">
        <is>
          <t>Ricreazione, sport e cultura</t>
        </is>
      </c>
      <c r="F107" s="3" t="inlineStr">
        <is>
          <t>sotto 1,5%</t>
        </is>
      </c>
      <c r="G107" s="3" t="inlineStr">
        <is>
          <t>Major recreational durables</t>
        </is>
      </c>
      <c r="H107" s="3" t="inlineStr">
        <is>
          <t>no</t>
        </is>
      </c>
      <c r="I107" s="3" t="inlineStr">
        <is>
          <t>no</t>
        </is>
      </c>
    </row>
    <row r="108">
      <c r="A108" s="3" t="inlineStr">
        <is>
          <t>092100</t>
        </is>
      </c>
      <c r="B108" s="11" t="n">
        <v>0.4257</v>
      </c>
      <c r="C108" s="11" t="n">
        <v>5.35</v>
      </c>
      <c r="D108" s="3" t="inlineStr">
        <is>
          <t>Beni industriali</t>
        </is>
      </c>
      <c r="E108" s="3" t="inlineStr">
        <is>
          <t>Ricreazione, sport e cultura</t>
        </is>
      </c>
      <c r="F108" s="3" t="inlineStr">
        <is>
          <t>sotto 1,5%</t>
        </is>
      </c>
      <c r="G108" s="3" t="inlineStr">
        <is>
          <t>Games, toys and hobby-related articles</t>
        </is>
      </c>
      <c r="H108" s="3" t="inlineStr">
        <is>
          <t>no</t>
        </is>
      </c>
      <c r="I108" s="3" t="inlineStr">
        <is>
          <t>no</t>
        </is>
      </c>
    </row>
    <row r="109">
      <c r="A109" s="3" t="inlineStr">
        <is>
          <t>093200</t>
        </is>
      </c>
      <c r="B109" s="11" t="n">
        <v>0.4004</v>
      </c>
      <c r="C109" s="11" t="n">
        <v>6.36</v>
      </c>
      <c r="D109" s="3" t="inlineStr">
        <is>
          <t>Beni industriali</t>
        </is>
      </c>
      <c r="E109" s="3" t="inlineStr">
        <is>
          <t>Ricreazione, sport e cultura</t>
        </is>
      </c>
      <c r="F109" s="3" t="inlineStr">
        <is>
          <t>sotto 1,5%</t>
        </is>
      </c>
      <c r="G109" s="3" t="inlineStr">
        <is>
          <t>Pets and pet products</t>
        </is>
      </c>
      <c r="H109" s="3" t="inlineStr">
        <is>
          <t>no</t>
        </is>
      </c>
      <c r="I109" s="3" t="inlineStr">
        <is>
          <t>si</t>
        </is>
      </c>
    </row>
    <row r="110">
      <c r="A110" s="3" t="inlineStr">
        <is>
          <t>011600</t>
        </is>
      </c>
      <c r="B110" s="11" t="n">
        <v>0.3852</v>
      </c>
      <c r="C110" s="11" t="n">
        <v>12.73</v>
      </c>
      <c r="D110" s="3" t="inlineStr">
        <is>
          <t>Alimentari</t>
        </is>
      </c>
      <c r="E110" s="3" t="inlineStr">
        <is>
          <t>Alimentari e bevande analcoliche</t>
        </is>
      </c>
      <c r="F110" s="3" t="inlineStr">
        <is>
          <t>sotto 1,5%</t>
        </is>
      </c>
      <c r="G110" s="3" t="inlineStr"/>
      <c r="H110" s="3" t="inlineStr"/>
      <c r="I110" s="3" t="inlineStr"/>
    </row>
    <row r="111">
      <c r="A111" s="3" t="inlineStr">
        <is>
          <t>131200</t>
        </is>
      </c>
      <c r="B111" s="11" t="n">
        <v>0.3401</v>
      </c>
      <c r="C111" s="11" t="n">
        <v>14.86</v>
      </c>
      <c r="D111" s="3" t="inlineStr">
        <is>
          <t>Beni industriali</t>
        </is>
      </c>
      <c r="E111" s="3" t="inlineStr">
        <is>
          <t>Cura della persona e altri</t>
        </is>
      </c>
      <c r="F111" s="3" t="inlineStr">
        <is>
          <t>sotto 1,5%</t>
        </is>
      </c>
      <c r="G111" s="3" t="inlineStr">
        <is>
          <t>Other appliances, articles and products for personal care</t>
        </is>
      </c>
      <c r="H111" s="3" t="inlineStr">
        <is>
          <t>no</t>
        </is>
      </c>
      <c r="I111" s="3" t="inlineStr">
        <is>
          <t>si</t>
        </is>
      </c>
    </row>
    <row r="112">
      <c r="A112" s="3" t="inlineStr">
        <is>
          <t>051100</t>
        </is>
      </c>
      <c r="B112" s="11" t="n">
        <v>0.28</v>
      </c>
      <c r="C112" s="11" t="n">
        <v>18.87</v>
      </c>
      <c r="D112" s="3" t="inlineStr">
        <is>
          <t>Beni industriali</t>
        </is>
      </c>
      <c r="E112" s="3" t="inlineStr">
        <is>
          <t>Mobili e articoli per la casa</t>
        </is>
      </c>
      <c r="F112" s="3" t="inlineStr">
        <is>
          <t>sotto 1,5%</t>
        </is>
      </c>
      <c r="G112" s="3" t="inlineStr">
        <is>
          <t>Furniture, furnishings and loose carpets</t>
        </is>
      </c>
      <c r="H112" s="3" t="inlineStr">
        <is>
          <t>no</t>
        </is>
      </c>
      <c r="I112" s="3" t="inlineStr">
        <is>
          <t>si</t>
        </is>
      </c>
    </row>
    <row r="113">
      <c r="A113" s="3" t="inlineStr">
        <is>
          <t>011100</t>
        </is>
      </c>
      <c r="B113" s="11" t="n">
        <v>0.2397</v>
      </c>
      <c r="C113" s="11" t="n">
        <v>24.26</v>
      </c>
      <c r="D113" s="3" t="inlineStr">
        <is>
          <t>Alimentari</t>
        </is>
      </c>
      <c r="E113" s="3" t="inlineStr">
        <is>
          <t>Alimentari e bevande analcoliche</t>
        </is>
      </c>
      <c r="F113" s="3" t="inlineStr">
        <is>
          <t>sotto 1,5%</t>
        </is>
      </c>
      <c r="G113" s="3" t="inlineStr"/>
      <c r="H113" s="3" t="inlineStr"/>
      <c r="I113" s="3" t="inlineStr"/>
    </row>
    <row r="114">
      <c r="A114" s="3" t="inlineStr">
        <is>
          <t>083500</t>
        </is>
      </c>
      <c r="B114" s="11" t="n">
        <v>0.08989999999999999</v>
      </c>
      <c r="C114" s="11" t="n">
        <v>0.29</v>
      </c>
      <c r="D114" s="3" t="inlineStr">
        <is>
          <t>Servizi</t>
        </is>
      </c>
      <c r="E114" s="3" t="inlineStr">
        <is>
          <t>Informazione e comunicazione</t>
        </is>
      </c>
      <c r="F114" s="3" t="inlineStr">
        <is>
          <t>sotto 1,5%</t>
        </is>
      </c>
      <c r="G114" s="3" t="inlineStr">
        <is>
          <t>Repair and rental of information and communication equipment</t>
        </is>
      </c>
      <c r="H114" s="3" t="inlineStr">
        <is>
          <t>no</t>
        </is>
      </c>
      <c r="I114" s="3" t="inlineStr">
        <is>
          <t>no</t>
        </is>
      </c>
    </row>
    <row r="115">
      <c r="A115" s="3" t="inlineStr">
        <is>
          <t>091100</t>
        </is>
      </c>
      <c r="B115" s="11" t="n">
        <v>0.0799</v>
      </c>
      <c r="C115" s="11" t="n">
        <v>1.16</v>
      </c>
      <c r="D115" s="3" t="inlineStr">
        <is>
          <t>Beni industriali</t>
        </is>
      </c>
      <c r="E115" s="3" t="inlineStr">
        <is>
          <t>Ricreazione, sport e cultura</t>
        </is>
      </c>
      <c r="F115" s="3" t="inlineStr">
        <is>
          <t>sotto 1,5%</t>
        </is>
      </c>
      <c r="G115" s="3" t="inlineStr">
        <is>
          <t>Photographic and cinematographic equipment and optical instruments</t>
        </is>
      </c>
      <c r="H115" s="3" t="inlineStr">
        <is>
          <t>no</t>
        </is>
      </c>
      <c r="I115" s="3" t="inlineStr">
        <is>
          <t>no</t>
        </is>
      </c>
    </row>
    <row r="116">
      <c r="A116" s="3" t="inlineStr">
        <is>
          <t>132900</t>
        </is>
      </c>
      <c r="B116" s="11" t="n">
        <v>0.0599</v>
      </c>
      <c r="C116" s="11" t="n">
        <v>4.43</v>
      </c>
      <c r="D116" s="3" t="inlineStr">
        <is>
          <t>Beni industriali</t>
        </is>
      </c>
      <c r="E116" s="3" t="inlineStr">
        <is>
          <t>Cura della persona e altri</t>
        </is>
      </c>
      <c r="F116" s="3" t="inlineStr">
        <is>
          <t>sotto 1,5%</t>
        </is>
      </c>
      <c r="G116" s="3" t="inlineStr">
        <is>
          <t>Other personal effects n.e.c.</t>
        </is>
      </c>
      <c r="H116" s="3" t="inlineStr">
        <is>
          <t>no</t>
        </is>
      </c>
      <c r="I116" s="3" t="inlineStr">
        <is>
          <t>si</t>
        </is>
      </c>
    </row>
    <row r="117">
      <c r="A117" s="3" t="inlineStr">
        <is>
          <t>011800</t>
        </is>
      </c>
      <c r="B117" s="11" t="n">
        <v>0.0592</v>
      </c>
      <c r="C117" s="11" t="n">
        <v>9.84</v>
      </c>
      <c r="D117" s="3" t="inlineStr">
        <is>
          <t>Alimentari</t>
        </is>
      </c>
      <c r="E117" s="3" t="inlineStr">
        <is>
          <t>Alimentari e bevande analcoliche</t>
        </is>
      </c>
      <c r="F117" s="3" t="inlineStr">
        <is>
          <t>sotto 1,5%</t>
        </is>
      </c>
      <c r="G117" s="3" t="inlineStr"/>
      <c r="H117" s="3" t="inlineStr"/>
      <c r="I117" s="3" t="inlineStr"/>
    </row>
    <row r="118">
      <c r="A118" s="3" t="inlineStr">
        <is>
          <t>072100</t>
        </is>
      </c>
      <c r="B118" s="11" t="n">
        <v>0.04</v>
      </c>
      <c r="C118" s="11" t="n">
        <v>11.29</v>
      </c>
      <c r="D118" s="3" t="inlineStr">
        <is>
          <t>Beni industriali</t>
        </is>
      </c>
      <c r="E118" s="3" t="inlineStr">
        <is>
          <t>Trasporti</t>
        </is>
      </c>
      <c r="F118" s="3" t="inlineStr">
        <is>
          <t>sotto 1,5%</t>
        </is>
      </c>
      <c r="G118" s="3" t="inlineStr">
        <is>
          <t>Parts and accessories for personal transport equipment</t>
        </is>
      </c>
      <c r="H118" s="3" t="inlineStr">
        <is>
          <t>no</t>
        </is>
      </c>
      <c r="I118" s="3" t="inlineStr">
        <is>
          <t>si</t>
        </is>
      </c>
    </row>
    <row r="119">
      <c r="A119" s="3" t="inlineStr">
        <is>
          <t>073600</t>
        </is>
      </c>
      <c r="B119" s="11" t="n">
        <v>0</v>
      </c>
      <c r="C119" s="11" t="n">
        <v>0</v>
      </c>
      <c r="D119" s="3" t="inlineStr">
        <is>
          <t>Servizi</t>
        </is>
      </c>
      <c r="E119" s="3" t="inlineStr">
        <is>
          <t>Trasporti</t>
        </is>
      </c>
      <c r="F119" s="3" t="inlineStr">
        <is>
          <t>sotto 1,5%</t>
        </is>
      </c>
      <c r="G119" s="3" t="inlineStr">
        <is>
          <t>Other passenger transport services</t>
        </is>
      </c>
      <c r="H119" s="3" t="inlineStr">
        <is>
          <t>no</t>
        </is>
      </c>
      <c r="I119" s="3" t="inlineStr">
        <is>
          <t>no</t>
        </is>
      </c>
    </row>
    <row r="120">
      <c r="A120" s="3" t="inlineStr">
        <is>
          <t>031200</t>
        </is>
      </c>
      <c r="B120" s="11" t="n">
        <v>-0.009599999999999999</v>
      </c>
      <c r="C120" s="11" t="n">
        <v>36.84</v>
      </c>
      <c r="D120" s="3" t="inlineStr">
        <is>
          <t>Beni industriali</t>
        </is>
      </c>
      <c r="E120" s="3" t="inlineStr">
        <is>
          <t>Abbigliamento e calzature</t>
        </is>
      </c>
      <c r="F120" s="3" t="inlineStr">
        <is>
          <t>sotto 1,5%</t>
        </is>
      </c>
      <c r="G120" s="3" t="inlineStr">
        <is>
          <t>Garments</t>
        </is>
      </c>
      <c r="H120" s="3" t="inlineStr">
        <is>
          <t>no</t>
        </is>
      </c>
      <c r="I120" s="3" t="inlineStr">
        <is>
          <t>no</t>
        </is>
      </c>
    </row>
    <row r="121">
      <c r="A121" s="3" t="inlineStr">
        <is>
          <t>021200</t>
        </is>
      </c>
      <c r="B121" s="11" t="n">
        <v>-0.02</v>
      </c>
      <c r="C121" s="11" t="n">
        <v>6.7</v>
      </c>
      <c r="D121" s="3" t="inlineStr">
        <is>
          <t>Alimentari</t>
        </is>
      </c>
      <c r="E121" s="3" t="inlineStr">
        <is>
          <t>Alcolici e tabacchi</t>
        </is>
      </c>
      <c r="F121" s="3" t="inlineStr">
        <is>
          <t>sotto 1,5%</t>
        </is>
      </c>
      <c r="G121" s="3" t="inlineStr"/>
      <c r="H121" s="3" t="inlineStr"/>
      <c r="I121" s="3" t="inlineStr"/>
    </row>
    <row r="122">
      <c r="A122" s="3" t="inlineStr">
        <is>
          <t>056100</t>
        </is>
      </c>
      <c r="B122" s="11" t="n">
        <v>-0.04</v>
      </c>
      <c r="C122" s="11" t="n">
        <v>8.85</v>
      </c>
      <c r="D122" s="3" t="inlineStr">
        <is>
          <t>Beni industriali</t>
        </is>
      </c>
      <c r="E122" s="3" t="inlineStr">
        <is>
          <t>Mobili e articoli per la casa</t>
        </is>
      </c>
      <c r="F122" s="3" t="inlineStr">
        <is>
          <t>sotto 1,5%</t>
        </is>
      </c>
      <c r="G122" s="3" t="inlineStr">
        <is>
          <t>Non-durable household goods</t>
        </is>
      </c>
      <c r="H122" s="3" t="inlineStr">
        <is>
          <t>no</t>
        </is>
      </c>
      <c r="I122" s="3" t="inlineStr">
        <is>
          <t>si</t>
        </is>
      </c>
    </row>
    <row r="123">
      <c r="A123" s="3" t="inlineStr">
        <is>
          <t>071200</t>
        </is>
      </c>
      <c r="B123" s="11" t="n">
        <v>-0.08989999999999999</v>
      </c>
      <c r="C123" s="11" t="n">
        <v>2.16</v>
      </c>
      <c r="D123" s="3" t="inlineStr">
        <is>
          <t>Beni industriali</t>
        </is>
      </c>
      <c r="E123" s="3" t="inlineStr">
        <is>
          <t>Trasporti</t>
        </is>
      </c>
      <c r="F123" s="3" t="inlineStr">
        <is>
          <t>sotto 1,5%</t>
        </is>
      </c>
      <c r="G123" s="3" t="inlineStr">
        <is>
          <t>Motorcycles</t>
        </is>
      </c>
      <c r="H123" s="3" t="inlineStr">
        <is>
          <t>no</t>
        </is>
      </c>
      <c r="I123" s="3" t="inlineStr">
        <is>
          <t>no</t>
        </is>
      </c>
    </row>
    <row r="124">
      <c r="A124" s="3" t="inlineStr">
        <is>
          <t>012300</t>
        </is>
      </c>
      <c r="B124" s="11" t="n">
        <v>-0.2091</v>
      </c>
      <c r="C124" s="11" t="n">
        <v>0.83</v>
      </c>
      <c r="D124" s="3" t="inlineStr">
        <is>
          <t>Alimentari</t>
        </is>
      </c>
      <c r="E124" s="3" t="inlineStr">
        <is>
          <t>Alimentari e bevande analcoliche</t>
        </is>
      </c>
      <c r="F124" s="3" t="inlineStr">
        <is>
          <t>sotto 1,5%</t>
        </is>
      </c>
      <c r="G124" s="3" t="inlineStr"/>
      <c r="H124" s="3" t="inlineStr"/>
      <c r="I124" s="3" t="inlineStr"/>
    </row>
    <row r="125">
      <c r="A125" s="3" t="inlineStr">
        <is>
          <t>095100</t>
        </is>
      </c>
      <c r="B125" s="11" t="n">
        <v>-0.2714</v>
      </c>
      <c r="C125" s="11" t="n">
        <v>0.6</v>
      </c>
      <c r="D125" s="3" t="inlineStr">
        <is>
          <t>Beni industriali</t>
        </is>
      </c>
      <c r="E125" s="3" t="inlineStr">
        <is>
          <t>Ricreazione, sport e cultura</t>
        </is>
      </c>
      <c r="F125" s="3" t="inlineStr">
        <is>
          <t>sotto 1,5%</t>
        </is>
      </c>
      <c r="G125" s="3" t="inlineStr">
        <is>
          <t>Musical instruments</t>
        </is>
      </c>
      <c r="H125" s="3" t="inlineStr">
        <is>
          <t>no</t>
        </is>
      </c>
      <c r="I125" s="3" t="inlineStr">
        <is>
          <t>no</t>
        </is>
      </c>
    </row>
    <row r="126">
      <c r="A126" s="3" t="inlineStr">
        <is>
          <t>055200</t>
        </is>
      </c>
      <c r="B126" s="11" t="n">
        <v>-0.4205</v>
      </c>
      <c r="C126" s="11" t="n">
        <v>2.58</v>
      </c>
      <c r="D126" s="3" t="inlineStr">
        <is>
          <t>Beni industriali</t>
        </is>
      </c>
      <c r="E126" s="3" t="inlineStr">
        <is>
          <t>Mobili e articoli per la casa</t>
        </is>
      </c>
      <c r="F126" s="3" t="inlineStr">
        <is>
          <t>sotto 1,5%</t>
        </is>
      </c>
      <c r="G126" s="3" t="inlineStr">
        <is>
          <t>Non-motorized tools and miscellaneous accessories</t>
        </is>
      </c>
      <c r="H126" s="3" t="inlineStr">
        <is>
          <t>no</t>
        </is>
      </c>
      <c r="I126" s="3" t="inlineStr">
        <is>
          <t>si</t>
        </is>
      </c>
    </row>
    <row r="127">
      <c r="A127" s="3" t="inlineStr">
        <is>
          <t>095200</t>
        </is>
      </c>
      <c r="B127" s="11" t="n">
        <v>-0.5427</v>
      </c>
      <c r="C127" s="11" t="n">
        <v>0.51</v>
      </c>
      <c r="D127" s="3" t="inlineStr">
        <is>
          <t>Beni industriali</t>
        </is>
      </c>
      <c r="E127" s="3" t="inlineStr">
        <is>
          <t>Ricreazione, sport e cultura</t>
        </is>
      </c>
      <c r="F127" s="3" t="inlineStr">
        <is>
          <t>sotto 1,5%</t>
        </is>
      </c>
      <c r="G127" s="3" t="inlineStr">
        <is>
          <t>Audiovisual media</t>
        </is>
      </c>
      <c r="H127" s="3" t="inlineStr">
        <is>
          <t>no</t>
        </is>
      </c>
      <c r="I127" s="3" t="inlineStr">
        <is>
          <t>no</t>
        </is>
      </c>
    </row>
    <row r="128">
      <c r="A128" s="3" t="inlineStr">
        <is>
          <t>032100</t>
        </is>
      </c>
      <c r="B128" s="11" t="n">
        <v>-0.8016</v>
      </c>
      <c r="C128" s="11" t="n">
        <v>8.41</v>
      </c>
      <c r="D128" s="3" t="inlineStr">
        <is>
          <t>Beni industriali</t>
        </is>
      </c>
      <c r="E128" s="3" t="inlineStr">
        <is>
          <t>Abbigliamento e calzature</t>
        </is>
      </c>
      <c r="F128" s="3" t="inlineStr">
        <is>
          <t>sotto 1,5%</t>
        </is>
      </c>
      <c r="G128" s="3" t="inlineStr">
        <is>
          <t>Shoes and other footwear</t>
        </is>
      </c>
      <c r="H128" s="3" t="inlineStr">
        <is>
          <t>no</t>
        </is>
      </c>
      <c r="I128" s="3" t="inlineStr">
        <is>
          <t>no</t>
        </is>
      </c>
    </row>
    <row r="129">
      <c r="A129" s="3" t="inlineStr">
        <is>
          <t>011400</t>
        </is>
      </c>
      <c r="B129" s="11" t="n">
        <v>-1.0332</v>
      </c>
      <c r="C129" s="11" t="n">
        <v>20.39</v>
      </c>
      <c r="D129" s="3" t="inlineStr">
        <is>
          <t>Alimentari</t>
        </is>
      </c>
      <c r="E129" s="3" t="inlineStr">
        <is>
          <t>Alimentari e bevande analcoliche</t>
        </is>
      </c>
      <c r="F129" s="3" t="inlineStr">
        <is>
          <t>sotto 1,5%</t>
        </is>
      </c>
      <c r="G129" s="3" t="inlineStr"/>
      <c r="H129" s="3" t="inlineStr"/>
      <c r="I129" s="3" t="inlineStr"/>
    </row>
    <row r="130">
      <c r="A130" s="3" t="inlineStr">
        <is>
          <t>081100</t>
        </is>
      </c>
      <c r="B130" s="11" t="n">
        <v>-1.4532</v>
      </c>
      <c r="C130" s="11" t="n">
        <v>0.09</v>
      </c>
      <c r="D130" s="3" t="inlineStr">
        <is>
          <t>Beni industriali</t>
        </is>
      </c>
      <c r="E130" s="3" t="inlineStr">
        <is>
          <t>Informazione e comunicazione</t>
        </is>
      </c>
      <c r="F130" s="3" t="inlineStr">
        <is>
          <t>sotto 1,5%</t>
        </is>
      </c>
      <c r="G130" s="3" t="inlineStr">
        <is>
          <t>Fixed telephone equipment</t>
        </is>
      </c>
      <c r="H130" s="3" t="inlineStr">
        <is>
          <t>no</t>
        </is>
      </c>
      <c r="I130" s="3" t="inlineStr">
        <is>
          <t>no</t>
        </is>
      </c>
    </row>
    <row r="131">
      <c r="A131" s="3" t="inlineStr">
        <is>
          <t>071300</t>
        </is>
      </c>
      <c r="B131" s="11" t="n">
        <v>-1.4626</v>
      </c>
      <c r="C131" s="11" t="n">
        <v>2.71</v>
      </c>
      <c r="D131" s="3" t="inlineStr">
        <is>
          <t>Beni industriali</t>
        </is>
      </c>
      <c r="E131" s="3" t="inlineStr">
        <is>
          <t>Trasporti</t>
        </is>
      </c>
      <c r="F131" s="3" t="inlineStr">
        <is>
          <t>sotto 1,5%</t>
        </is>
      </c>
      <c r="G131" s="3" t="inlineStr">
        <is>
          <t>Bicycles</t>
        </is>
      </c>
      <c r="H131" s="3" t="inlineStr">
        <is>
          <t>no</t>
        </is>
      </c>
      <c r="I131" s="3" t="inlineStr">
        <is>
          <t>no</t>
        </is>
      </c>
    </row>
    <row r="132">
      <c r="A132" s="3" t="inlineStr">
        <is>
          <t>012200</t>
        </is>
      </c>
      <c r="B132" s="11" t="n">
        <v>-1.6296</v>
      </c>
      <c r="C132" s="11" t="n">
        <v>4.31</v>
      </c>
      <c r="D132" s="3" t="inlineStr">
        <is>
          <t>Alimentari</t>
        </is>
      </c>
      <c r="E132" s="3" t="inlineStr">
        <is>
          <t>Alimentari e bevande analcoliche</t>
        </is>
      </c>
      <c r="F132" s="3" t="inlineStr">
        <is>
          <t>sotto 1,5%</t>
        </is>
      </c>
      <c r="G132" s="3" t="inlineStr"/>
      <c r="H132" s="3" t="inlineStr"/>
      <c r="I132" s="3" t="inlineStr"/>
    </row>
    <row r="133">
      <c r="A133" s="3" t="inlineStr">
        <is>
          <t>055100</t>
        </is>
      </c>
      <c r="B133" s="11" t="n">
        <v>-1.7737</v>
      </c>
      <c r="C133" s="11" t="n">
        <v>1.17</v>
      </c>
      <c r="D133" s="3" t="inlineStr">
        <is>
          <t>Beni industriali</t>
        </is>
      </c>
      <c r="E133" s="3" t="inlineStr">
        <is>
          <t>Mobili e articoli per la casa</t>
        </is>
      </c>
      <c r="F133" s="3" t="inlineStr">
        <is>
          <t>sotto 1,5%</t>
        </is>
      </c>
      <c r="G133" s="3" t="inlineStr">
        <is>
          <t>Motorized tools and equipment</t>
        </is>
      </c>
      <c r="H133" s="3" t="inlineStr">
        <is>
          <t>no</t>
        </is>
      </c>
      <c r="I133" s="3" t="inlineStr">
        <is>
          <t>no</t>
        </is>
      </c>
    </row>
    <row r="134">
      <c r="A134" s="3" t="inlineStr">
        <is>
          <t>012100</t>
        </is>
      </c>
      <c r="B134" s="11" t="n">
        <v>-1.8162</v>
      </c>
      <c r="C134" s="11" t="n">
        <v>2.07</v>
      </c>
      <c r="D134" s="3" t="inlineStr">
        <is>
          <t>Alimentari</t>
        </is>
      </c>
      <c r="E134" s="3" t="inlineStr">
        <is>
          <t>Alimentari e bevande analcoliche</t>
        </is>
      </c>
      <c r="F134" s="3" t="inlineStr">
        <is>
          <t>sotto 1,5%</t>
        </is>
      </c>
      <c r="G134" s="3" t="inlineStr"/>
      <c r="H134" s="3" t="inlineStr"/>
      <c r="I134" s="3" t="inlineStr"/>
    </row>
    <row r="135">
      <c r="A135" s="3" t="inlineStr">
        <is>
          <t>053100</t>
        </is>
      </c>
      <c r="B135" s="11" t="n">
        <v>-1.9302</v>
      </c>
      <c r="C135" s="11" t="n">
        <v>6.47</v>
      </c>
      <c r="D135" s="3" t="inlineStr">
        <is>
          <t>Beni industriali</t>
        </is>
      </c>
      <c r="E135" s="3" t="inlineStr">
        <is>
          <t>Mobili e articoli per la casa</t>
        </is>
      </c>
      <c r="F135" s="3" t="inlineStr">
        <is>
          <t>sotto 1,5%</t>
        </is>
      </c>
      <c r="G135" s="3" t="inlineStr">
        <is>
          <t>Major electric and other household appliances</t>
        </is>
      </c>
      <c r="H135" s="3" t="inlineStr">
        <is>
          <t>no</t>
        </is>
      </c>
      <c r="I135" s="3" t="inlineStr">
        <is>
          <t>si</t>
        </is>
      </c>
    </row>
    <row r="136">
      <c r="A136" s="3" t="inlineStr">
        <is>
          <t>053200</t>
        </is>
      </c>
      <c r="B136" s="11" t="n">
        <v>-2.0476</v>
      </c>
      <c r="C136" s="11" t="n">
        <v>2.65</v>
      </c>
      <c r="D136" s="3" t="inlineStr">
        <is>
          <t>Beni industriali</t>
        </is>
      </c>
      <c r="E136" s="3" t="inlineStr">
        <is>
          <t>Mobili e articoli per la casa</t>
        </is>
      </c>
      <c r="F136" s="3" t="inlineStr">
        <is>
          <t>sotto 1,5%</t>
        </is>
      </c>
      <c r="G136" s="3" t="inlineStr">
        <is>
          <t>Small household appliances</t>
        </is>
      </c>
      <c r="H136" s="3" t="inlineStr">
        <is>
          <t>no</t>
        </is>
      </c>
      <c r="I136" s="3" t="inlineStr">
        <is>
          <t>si</t>
        </is>
      </c>
    </row>
    <row r="137">
      <c r="A137" s="3" t="inlineStr">
        <is>
          <t>092200</t>
        </is>
      </c>
      <c r="B137" s="11" t="n">
        <v>-2.3121</v>
      </c>
      <c r="C137" s="11" t="n">
        <v>3.69</v>
      </c>
      <c r="D137" s="3" t="inlineStr">
        <is>
          <t>Beni industriali</t>
        </is>
      </c>
      <c r="E137" s="3" t="inlineStr">
        <is>
          <t>Ricreazione, sport e cultura</t>
        </is>
      </c>
      <c r="F137" s="3" t="inlineStr">
        <is>
          <t>sotto 1,5%</t>
        </is>
      </c>
      <c r="G137" s="3" t="inlineStr">
        <is>
          <t>Sporting, camping and open-air recreation equipment</t>
        </is>
      </c>
      <c r="H137" s="3" t="inlineStr">
        <is>
          <t>no</t>
        </is>
      </c>
      <c r="I137" s="3" t="inlineStr">
        <is>
          <t>no</t>
        </is>
      </c>
    </row>
    <row r="138">
      <c r="A138" s="3" t="inlineStr">
        <is>
          <t>131100</t>
        </is>
      </c>
      <c r="B138" s="11" t="n">
        <v>-2.9073</v>
      </c>
      <c r="C138" s="11" t="n">
        <v>0.55</v>
      </c>
      <c r="D138" s="3" t="inlineStr">
        <is>
          <t>Beni industriali</t>
        </is>
      </c>
      <c r="E138" s="3" t="inlineStr">
        <is>
          <t>Cura della persona e altri</t>
        </is>
      </c>
      <c r="F138" s="3" t="inlineStr">
        <is>
          <t>sotto 1,5%</t>
        </is>
      </c>
      <c r="G138" s="3" t="inlineStr">
        <is>
          <t>Electric appliances for personal care</t>
        </is>
      </c>
      <c r="H138" s="3" t="inlineStr">
        <is>
          <t>no</t>
        </is>
      </c>
      <c r="I138" s="3" t="inlineStr">
        <is>
          <t>no</t>
        </is>
      </c>
    </row>
    <row r="139">
      <c r="A139" s="3" t="inlineStr">
        <is>
          <t>082000</t>
        </is>
      </c>
      <c r="B139" s="11" t="n">
        <v>-3.5448</v>
      </c>
      <c r="C139" s="11" t="n">
        <v>0.42</v>
      </c>
      <c r="D139" s="3" t="inlineStr">
        <is>
          <t>Servizi</t>
        </is>
      </c>
      <c r="E139" s="3" t="inlineStr">
        <is>
          <t>Informazione e comunicazione</t>
        </is>
      </c>
      <c r="F139" s="3" t="inlineStr">
        <is>
          <t>sotto 1,5%</t>
        </is>
      </c>
      <c r="G139" s="3" t="inlineStr">
        <is>
          <t>Software, excluding games</t>
        </is>
      </c>
      <c r="H139" s="3" t="inlineStr">
        <is>
          <t>no</t>
        </is>
      </c>
      <c r="I139" s="3" t="inlineStr">
        <is>
          <t>no</t>
        </is>
      </c>
    </row>
    <row r="140">
      <c r="A140" s="3" t="inlineStr">
        <is>
          <t>081400</t>
        </is>
      </c>
      <c r="B140" s="11" t="n">
        <v>-5.1406</v>
      </c>
      <c r="C140" s="11" t="n">
        <v>3.57</v>
      </c>
      <c r="D140" s="3" t="inlineStr">
        <is>
          <t>Beni industriali</t>
        </is>
      </c>
      <c r="E140" s="3" t="inlineStr">
        <is>
          <t>Informazione e comunicazione</t>
        </is>
      </c>
      <c r="F140" s="3" t="inlineStr">
        <is>
          <t>sotto 1,5%</t>
        </is>
      </c>
      <c r="G140" s="3" t="inlineStr">
        <is>
          <t>Equipment for the reception, recording and reproduction of sound and vision</t>
        </is>
      </c>
      <c r="H140" s="3" t="inlineStr">
        <is>
          <t>no</t>
        </is>
      </c>
      <c r="I140" s="3" t="inlineStr">
        <is>
          <t>no</t>
        </is>
      </c>
    </row>
    <row r="141">
      <c r="A141" s="3" t="inlineStr">
        <is>
          <t>011500</t>
        </is>
      </c>
      <c r="B141" s="11" t="n">
        <v>-6.275</v>
      </c>
      <c r="C141" s="11" t="n">
        <v>4.57</v>
      </c>
      <c r="D141" s="3" t="inlineStr">
        <is>
          <t>Alimentari</t>
        </is>
      </c>
      <c r="E141" s="3" t="inlineStr">
        <is>
          <t>Alimentari e bevande analcoliche</t>
        </is>
      </c>
      <c r="F141" s="3" t="inlineStr">
        <is>
          <t>sotto 1,5%</t>
        </is>
      </c>
      <c r="G141" s="3" t="inlineStr"/>
      <c r="H141" s="3" t="inlineStr"/>
      <c r="I141" s="3" t="inlineStr"/>
    </row>
    <row r="142">
      <c r="A142" s="3" t="inlineStr">
        <is>
          <t>094200</t>
        </is>
      </c>
      <c r="B142" s="11" t="n">
        <v>-24.4337</v>
      </c>
      <c r="C142" s="11" t="n">
        <v>0.52</v>
      </c>
      <c r="D142" s="3" t="inlineStr">
        <is>
          <t>Servizi</t>
        </is>
      </c>
      <c r="E142" s="3" t="inlineStr">
        <is>
          <t>Ricreazione, sport e cultura</t>
        </is>
      </c>
      <c r="F142" s="3" t="inlineStr">
        <is>
          <t>sotto 1,5%</t>
        </is>
      </c>
      <c r="G142" s="3" t="inlineStr">
        <is>
          <t>Hire, maintenance and repair of major recreational durables</t>
        </is>
      </c>
      <c r="H142" s="3" t="inlineStr">
        <is>
          <t>si</t>
        </is>
      </c>
      <c r="I142" s="3" t="inlineStr">
        <is>
          <t>no</t>
        </is>
      </c>
    </row>
    <row r="145">
      <c r="A145" s="13" t="inlineStr">
        <is>
          <t>Italia - voci elementari a 2026-09, ordinate per inflazione annua</t>
        </is>
      </c>
    </row>
    <row r="146">
      <c r="A146" s="5" t="inlineStr">
        <is>
          <t>Voce</t>
        </is>
      </c>
      <c r="B146" s="5" t="inlineStr">
        <is>
          <t>a/a %</t>
        </is>
      </c>
      <c r="C146" s="5" t="inlineStr">
        <is>
          <t>peso per mille</t>
        </is>
      </c>
      <c r="D146" s="5" t="inlineStr">
        <is>
          <t>macro</t>
        </is>
      </c>
      <c r="E146" s="5" t="inlineStr">
        <is>
          <t>divisione</t>
        </is>
      </c>
      <c r="F146" s="5" t="inlineStr">
        <is>
          <t>fascia</t>
        </is>
      </c>
      <c r="G146" s="5" t="inlineStr">
        <is>
          <t>descrizione (BCE)</t>
        </is>
      </c>
      <c r="H146" s="5" t="inlineStr">
        <is>
          <t>domestica</t>
        </is>
      </c>
      <c r="I146" s="5" t="inlineStr">
        <is>
          <t>supercore</t>
        </is>
      </c>
    </row>
    <row r="147">
      <c r="A147" s="3" t="inlineStr">
        <is>
          <t>081500</t>
        </is>
      </c>
      <c r="B147" s="11" t="n">
        <v>92.3459</v>
      </c>
      <c r="C147" s="11" t="n">
        <v>0.53</v>
      </c>
      <c r="D147" s="3" t="inlineStr">
        <is>
          <t>Beni industriali</t>
        </is>
      </c>
      <c r="E147" s="3" t="inlineStr">
        <is>
          <t>Informazione e comunicazione</t>
        </is>
      </c>
      <c r="F147" s="3" t="inlineStr">
        <is>
          <t>oltre 5%</t>
        </is>
      </c>
      <c r="G147" s="3" t="inlineStr">
        <is>
          <t>Unrecorded recording media</t>
        </is>
      </c>
      <c r="H147" s="3" t="inlineStr">
        <is>
          <t>no</t>
        </is>
      </c>
      <c r="I147" s="3" t="inlineStr">
        <is>
          <t>no</t>
        </is>
      </c>
    </row>
    <row r="148">
      <c r="A148" s="3" t="inlineStr">
        <is>
          <t>045300</t>
        </is>
      </c>
      <c r="B148" s="11" t="n">
        <v>38.4848</v>
      </c>
      <c r="C148" s="11" t="n">
        <v>0.52</v>
      </c>
      <c r="D148" s="3" t="inlineStr">
        <is>
          <t>Energia</t>
        </is>
      </c>
      <c r="E148" s="3" t="inlineStr">
        <is>
          <t>Abitazione e utenze</t>
        </is>
      </c>
      <c r="F148" s="3" t="inlineStr">
        <is>
          <t>oltre 5%</t>
        </is>
      </c>
      <c r="G148" s="3" t="inlineStr"/>
      <c r="H148" s="3" t="inlineStr"/>
      <c r="I148" s="3" t="inlineStr"/>
    </row>
    <row r="149">
      <c r="A149" s="3" t="inlineStr">
        <is>
          <t>072200</t>
        </is>
      </c>
      <c r="B149" s="11" t="n">
        <v>26.7477</v>
      </c>
      <c r="C149" s="11" t="n">
        <v>47.03</v>
      </c>
      <c r="D149" s="3" t="inlineStr">
        <is>
          <t>Energia</t>
        </is>
      </c>
      <c r="E149" s="3" t="inlineStr">
        <is>
          <t>Trasporti</t>
        </is>
      </c>
      <c r="F149" s="3" t="inlineStr">
        <is>
          <t>oltre 5%</t>
        </is>
      </c>
      <c r="G149" s="3" t="inlineStr"/>
      <c r="H149" s="3" t="inlineStr"/>
      <c r="I149" s="3" t="inlineStr"/>
    </row>
    <row r="150">
      <c r="A150" s="3" t="inlineStr">
        <is>
          <t>045100</t>
        </is>
      </c>
      <c r="B150" s="11" t="n">
        <v>20.4124</v>
      </c>
      <c r="C150" s="11" t="n">
        <v>27.5</v>
      </c>
      <c r="D150" s="3" t="inlineStr">
        <is>
          <t>Energia</t>
        </is>
      </c>
      <c r="E150" s="3" t="inlineStr">
        <is>
          <t>Abitazione e utenze</t>
        </is>
      </c>
      <c r="F150" s="3" t="inlineStr">
        <is>
          <t>oltre 5%</t>
        </is>
      </c>
      <c r="G150" s="3" t="inlineStr"/>
      <c r="H150" s="3" t="inlineStr"/>
      <c r="I150" s="3" t="inlineStr"/>
    </row>
    <row r="151">
      <c r="A151" s="3" t="inlineStr">
        <is>
          <t>081900</t>
        </is>
      </c>
      <c r="B151" s="11" t="n">
        <v>19.6296</v>
      </c>
      <c r="C151" s="11" t="n">
        <v>0.23</v>
      </c>
      <c r="D151" s="3" t="inlineStr">
        <is>
          <t>Beni industriali</t>
        </is>
      </c>
      <c r="E151" s="3" t="inlineStr">
        <is>
          <t>Informazione e comunicazione</t>
        </is>
      </c>
      <c r="F151" s="3" t="inlineStr">
        <is>
          <t>oltre 5%</t>
        </is>
      </c>
      <c r="G151" s="3" t="inlineStr">
        <is>
          <t>Other information and communication equipment and accessories</t>
        </is>
      </c>
      <c r="H151" s="3" t="inlineStr">
        <is>
          <t>no</t>
        </is>
      </c>
      <c r="I151" s="3" t="inlineStr">
        <is>
          <t>no</t>
        </is>
      </c>
    </row>
    <row r="152">
      <c r="A152" s="3" t="inlineStr">
        <is>
          <t>045200</t>
        </is>
      </c>
      <c r="B152" s="11" t="n">
        <v>19.375</v>
      </c>
      <c r="C152" s="11" t="n">
        <v>30.88</v>
      </c>
      <c r="D152" s="3" t="inlineStr">
        <is>
          <t>Energia</t>
        </is>
      </c>
      <c r="E152" s="3" t="inlineStr">
        <is>
          <t>Abitazione e utenze</t>
        </is>
      </c>
      <c r="F152" s="3" t="inlineStr">
        <is>
          <t>oltre 5%</t>
        </is>
      </c>
      <c r="G152" s="3" t="inlineStr"/>
      <c r="H152" s="3" t="inlineStr"/>
      <c r="I152" s="3" t="inlineStr"/>
    </row>
    <row r="153">
      <c r="A153" s="3" t="inlineStr">
        <is>
          <t>132100</t>
        </is>
      </c>
      <c r="B153" s="11" t="n">
        <v>15.0833</v>
      </c>
      <c r="C153" s="11" t="n">
        <v>6.98</v>
      </c>
      <c r="D153" s="3" t="inlineStr">
        <is>
          <t>Beni industriali</t>
        </is>
      </c>
      <c r="E153" s="3" t="inlineStr">
        <is>
          <t>Cura della persona e altri</t>
        </is>
      </c>
      <c r="F153" s="3" t="inlineStr">
        <is>
          <t>oltre 5%</t>
        </is>
      </c>
      <c r="G153" s="3" t="inlineStr">
        <is>
          <t>Jewellery and watches</t>
        </is>
      </c>
      <c r="H153" s="3" t="inlineStr">
        <is>
          <t>no</t>
        </is>
      </c>
      <c r="I153" s="3" t="inlineStr">
        <is>
          <t>si</t>
        </is>
      </c>
    </row>
    <row r="154">
      <c r="A154" s="3" t="inlineStr">
        <is>
          <t>094400</t>
        </is>
      </c>
      <c r="B154" s="11" t="n">
        <v>14.1518</v>
      </c>
      <c r="C154" s="11" t="n">
        <v>1.99</v>
      </c>
      <c r="D154" s="3" t="inlineStr">
        <is>
          <t>Servizi</t>
        </is>
      </c>
      <c r="E154" s="3" t="inlineStr">
        <is>
          <t>Ricreazione, sport e cultura</t>
        </is>
      </c>
      <c r="F154" s="3" t="inlineStr">
        <is>
          <t>oltre 5%</t>
        </is>
      </c>
      <c r="G154" s="3" t="inlineStr">
        <is>
          <t>Hire and repair of sporting, camping and open-air recreational equipment</t>
        </is>
      </c>
      <c r="H154" s="3" t="inlineStr">
        <is>
          <t>no</t>
        </is>
      </c>
      <c r="I154" s="3" t="inlineStr">
        <is>
          <t>no</t>
        </is>
      </c>
    </row>
    <row r="155">
      <c r="A155" s="3" t="inlineStr">
        <is>
          <t>091100</t>
        </is>
      </c>
      <c r="B155" s="11" t="n">
        <v>10.6426</v>
      </c>
      <c r="C155" s="11" t="n">
        <v>0.28</v>
      </c>
      <c r="D155" s="3" t="inlineStr">
        <is>
          <t>Beni industriali</t>
        </is>
      </c>
      <c r="E155" s="3" t="inlineStr">
        <is>
          <t>Ricreazione, sport e cultura</t>
        </is>
      </c>
      <c r="F155" s="3" t="inlineStr">
        <is>
          <t>oltre 5%</t>
        </is>
      </c>
      <c r="G155" s="3" t="inlineStr">
        <is>
          <t>Photographic and cinematographic equipment and optical instruments</t>
        </is>
      </c>
      <c r="H155" s="3" t="inlineStr">
        <is>
          <t>no</t>
        </is>
      </c>
      <c r="I155" s="3" t="inlineStr">
        <is>
          <t>no</t>
        </is>
      </c>
    </row>
    <row r="156">
      <c r="A156" s="3" t="inlineStr">
        <is>
          <t>081300</t>
        </is>
      </c>
      <c r="B156" s="11" t="n">
        <v>10.6275</v>
      </c>
      <c r="C156" s="11" t="n">
        <v>4.32</v>
      </c>
      <c r="D156" s="3" t="inlineStr">
        <is>
          <t>Beni industriali</t>
        </is>
      </c>
      <c r="E156" s="3" t="inlineStr">
        <is>
          <t>Informazione e comunicazione</t>
        </is>
      </c>
      <c r="F156" s="3" t="inlineStr">
        <is>
          <t>oltre 5%</t>
        </is>
      </c>
      <c r="G156" s="3" t="inlineStr">
        <is>
          <t>Information processing equipment</t>
        </is>
      </c>
      <c r="H156" s="3" t="inlineStr">
        <is>
          <t>no</t>
        </is>
      </c>
      <c r="I156" s="3" t="inlineStr">
        <is>
          <t>no</t>
        </is>
      </c>
    </row>
    <row r="157">
      <c r="A157" s="3" t="inlineStr">
        <is>
          <t>045400</t>
        </is>
      </c>
      <c r="B157" s="11" t="n">
        <v>9.699999999999999</v>
      </c>
      <c r="C157" s="11" t="n">
        <v>3.85</v>
      </c>
      <c r="D157" s="3" t="inlineStr">
        <is>
          <t>Energia</t>
        </is>
      </c>
      <c r="E157" s="3" t="inlineStr">
        <is>
          <t>Abitazione e utenze</t>
        </is>
      </c>
      <c r="F157" s="3" t="inlineStr">
        <is>
          <t>oltre 5%</t>
        </is>
      </c>
      <c r="G157" s="3" t="inlineStr"/>
      <c r="H157" s="3" t="inlineStr"/>
      <c r="I157" s="3" t="inlineStr"/>
    </row>
    <row r="158">
      <c r="A158" s="3" t="inlineStr">
        <is>
          <t>073400</t>
        </is>
      </c>
      <c r="B158" s="11" t="n">
        <v>8.5106</v>
      </c>
      <c r="C158" s="11" t="n">
        <v>1.08</v>
      </c>
      <c r="D158" s="3" t="inlineStr">
        <is>
          <t>Servizi</t>
        </is>
      </c>
      <c r="E158" s="3" t="inlineStr">
        <is>
          <t>Trasporti</t>
        </is>
      </c>
      <c r="F158" s="3" t="inlineStr">
        <is>
          <t>oltre 5%</t>
        </is>
      </c>
      <c r="G158" s="3" t="inlineStr">
        <is>
          <t>Passenger transport by sea and inland waterway</t>
        </is>
      </c>
      <c r="H158" s="3" t="inlineStr">
        <is>
          <t>no</t>
        </is>
      </c>
      <c r="I158" s="3" t="inlineStr">
        <is>
          <t>no</t>
        </is>
      </c>
    </row>
    <row r="159">
      <c r="A159" s="3" t="inlineStr">
        <is>
          <t>011700</t>
        </is>
      </c>
      <c r="B159" s="11" t="n">
        <v>7.7381</v>
      </c>
      <c r="C159" s="11" t="n">
        <v>24.25</v>
      </c>
      <c r="D159" s="3" t="inlineStr">
        <is>
          <t>Alimentari</t>
        </is>
      </c>
      <c r="E159" s="3" t="inlineStr">
        <is>
          <t>Alimentari e bevande analcoliche</t>
        </is>
      </c>
      <c r="F159" s="3" t="inlineStr">
        <is>
          <t>oltre 5%</t>
        </is>
      </c>
      <c r="G159" s="3" t="inlineStr"/>
      <c r="H159" s="3" t="inlineStr"/>
      <c r="I159" s="3" t="inlineStr"/>
    </row>
    <row r="160">
      <c r="A160" s="3" t="inlineStr">
        <is>
          <t>074100</t>
        </is>
      </c>
      <c r="B160" s="11" t="n">
        <v>7.2</v>
      </c>
      <c r="C160" s="11" t="n">
        <v>1.03</v>
      </c>
      <c r="D160" s="3" t="inlineStr">
        <is>
          <t>Servizi</t>
        </is>
      </c>
      <c r="E160" s="3" t="inlineStr">
        <is>
          <t>Trasporti</t>
        </is>
      </c>
      <c r="F160" s="3" t="inlineStr">
        <is>
          <t>oltre 5%</t>
        </is>
      </c>
      <c r="G160" s="3" t="inlineStr">
        <is>
          <t>Postal and courier services</t>
        </is>
      </c>
      <c r="H160" s="3" t="inlineStr">
        <is>
          <t>no</t>
        </is>
      </c>
      <c r="I160" s="3" t="inlineStr">
        <is>
          <t>no</t>
        </is>
      </c>
    </row>
    <row r="161">
      <c r="A161" s="3" t="inlineStr">
        <is>
          <t>056200</t>
        </is>
      </c>
      <c r="B161" s="11" t="n">
        <v>6.1876</v>
      </c>
      <c r="C161" s="11" t="n">
        <v>14.22</v>
      </c>
      <c r="D161" s="3" t="inlineStr">
        <is>
          <t>Servizi</t>
        </is>
      </c>
      <c r="E161" s="3" t="inlineStr">
        <is>
          <t>Mobili e articoli per la casa</t>
        </is>
      </c>
      <c r="F161" s="3" t="inlineStr">
        <is>
          <t>oltre 5%</t>
        </is>
      </c>
      <c r="G161" s="3" t="inlineStr">
        <is>
          <t>Domestic services and household services</t>
        </is>
      </c>
      <c r="H161" s="3" t="inlineStr">
        <is>
          <t>si</t>
        </is>
      </c>
      <c r="I161" s="3" t="inlineStr">
        <is>
          <t>si</t>
        </is>
      </c>
    </row>
    <row r="162">
      <c r="A162" s="3" t="inlineStr">
        <is>
          <t>044300</t>
        </is>
      </c>
      <c r="B162" s="11" t="n">
        <v>5.1</v>
      </c>
      <c r="C162" s="11" t="n">
        <v>3.61</v>
      </c>
      <c r="D162" s="3" t="inlineStr">
        <is>
          <t>Servizi</t>
        </is>
      </c>
      <c r="E162" s="3" t="inlineStr">
        <is>
          <t>Abitazione e utenze</t>
        </is>
      </c>
      <c r="F162" s="3" t="inlineStr">
        <is>
          <t>oltre 5%</t>
        </is>
      </c>
      <c r="G162" s="3" t="inlineStr">
        <is>
          <t>Sewage collection</t>
        </is>
      </c>
      <c r="H162" s="3" t="inlineStr">
        <is>
          <t>si</t>
        </is>
      </c>
      <c r="I162" s="3" t="inlineStr">
        <is>
          <t>no</t>
        </is>
      </c>
    </row>
    <row r="163">
      <c r="A163" s="3" t="inlineStr">
        <is>
          <t>044100</t>
        </is>
      </c>
      <c r="B163" s="11" t="n">
        <v>4.3956</v>
      </c>
      <c r="C163" s="11" t="n">
        <v>2.81</v>
      </c>
      <c r="D163" s="3" t="inlineStr">
        <is>
          <t>Beni industriali</t>
        </is>
      </c>
      <c r="E163" s="3" t="inlineStr">
        <is>
          <t>Abitazione e utenze</t>
        </is>
      </c>
      <c r="F163" s="3" t="inlineStr">
        <is>
          <t>3-5%</t>
        </is>
      </c>
      <c r="G163" s="3" t="inlineStr">
        <is>
          <t>Water supply</t>
        </is>
      </c>
      <c r="H163" s="3" t="inlineStr">
        <is>
          <t>si</t>
        </is>
      </c>
      <c r="I163" s="3" t="inlineStr">
        <is>
          <t>no</t>
        </is>
      </c>
    </row>
    <row r="164">
      <c r="A164" s="3" t="inlineStr">
        <is>
          <t>133000</t>
        </is>
      </c>
      <c r="B164" s="11" t="n">
        <v>4.3825</v>
      </c>
      <c r="C164" s="11" t="n">
        <v>7.45</v>
      </c>
      <c r="D164" s="3" t="inlineStr">
        <is>
          <t>Servizi</t>
        </is>
      </c>
      <c r="E164" s="3" t="inlineStr">
        <is>
          <t>Cura della persona e altri</t>
        </is>
      </c>
      <c r="F164" s="3" t="inlineStr">
        <is>
          <t>3-5%</t>
        </is>
      </c>
      <c r="G164" s="3" t="inlineStr">
        <is>
          <t>Social protection</t>
        </is>
      </c>
      <c r="H164" s="3" t="inlineStr">
        <is>
          <t>si</t>
        </is>
      </c>
      <c r="I164" s="3" t="inlineStr">
        <is>
          <t>no</t>
        </is>
      </c>
    </row>
    <row r="165">
      <c r="A165" s="3" t="inlineStr">
        <is>
          <t>096200</t>
        </is>
      </c>
      <c r="B165" s="11" t="n">
        <v>4.2914</v>
      </c>
      <c r="C165" s="11" t="n">
        <v>0.4</v>
      </c>
      <c r="D165" s="3" t="inlineStr">
        <is>
          <t>Servizi</t>
        </is>
      </c>
      <c r="E165" s="3" t="inlineStr">
        <is>
          <t>Ricreazione, sport e cultura</t>
        </is>
      </c>
      <c r="F165" s="3" t="inlineStr">
        <is>
          <t>3-5%</t>
        </is>
      </c>
      <c r="G165" s="3" t="inlineStr">
        <is>
          <t>Services provided by museums, libraries and cultural sites</t>
        </is>
      </c>
      <c r="H165" s="3" t="inlineStr">
        <is>
          <t>no</t>
        </is>
      </c>
      <c r="I165" s="3" t="inlineStr">
        <is>
          <t>no</t>
        </is>
      </c>
    </row>
    <row r="166">
      <c r="A166" s="3" t="inlineStr">
        <is>
          <t>023000</t>
        </is>
      </c>
      <c r="B166" s="11" t="n">
        <v>4.0837</v>
      </c>
      <c r="C166" s="11" t="n">
        <v>21.12</v>
      </c>
      <c r="D166" s="3" t="inlineStr">
        <is>
          <t>Alimentari</t>
        </is>
      </c>
      <c r="E166" s="3" t="inlineStr">
        <is>
          <t>Alcolici e tabacchi</t>
        </is>
      </c>
      <c r="F166" s="3" t="inlineStr">
        <is>
          <t>3-5%</t>
        </is>
      </c>
      <c r="G166" s="3" t="inlineStr"/>
      <c r="H166" s="3" t="inlineStr"/>
      <c r="I166" s="3" t="inlineStr"/>
    </row>
    <row r="167">
      <c r="A167" s="3" t="inlineStr">
        <is>
          <t>032200</t>
        </is>
      </c>
      <c r="B167" s="11" t="n">
        <v>3.7849</v>
      </c>
      <c r="C167" s="11" t="n">
        <v>0.22</v>
      </c>
      <c r="D167" s="3" t="inlineStr">
        <is>
          <t>Servizi</t>
        </is>
      </c>
      <c r="E167" s="3" t="inlineStr">
        <is>
          <t>Abbigliamento e calzature</t>
        </is>
      </c>
      <c r="F167" s="3" t="inlineStr">
        <is>
          <t>3-5%</t>
        </is>
      </c>
      <c r="G167" s="3" t="inlineStr">
        <is>
          <t>Cleaning, repair and hire of footwear</t>
        </is>
      </c>
      <c r="H167" s="3" t="inlineStr">
        <is>
          <t>si</t>
        </is>
      </c>
      <c r="I167" s="3" t="inlineStr">
        <is>
          <t>si</t>
        </is>
      </c>
    </row>
    <row r="168">
      <c r="A168" s="3" t="inlineStr">
        <is>
          <t>044400</t>
        </is>
      </c>
      <c r="B168" s="11" t="n">
        <v>3.5892</v>
      </c>
      <c r="C168" s="11" t="n">
        <v>10.12</v>
      </c>
      <c r="D168" s="3" t="inlineStr">
        <is>
          <t>Servizi</t>
        </is>
      </c>
      <c r="E168" s="3" t="inlineStr">
        <is>
          <t>Abitazione e utenze</t>
        </is>
      </c>
      <c r="F168" s="3" t="inlineStr">
        <is>
          <t>3-5%</t>
        </is>
      </c>
      <c r="G168" s="3" t="inlineStr">
        <is>
          <t>Other services related to the dwelling</t>
        </is>
      </c>
      <c r="H168" s="3" t="inlineStr">
        <is>
          <t>si</t>
        </is>
      </c>
      <c r="I168" s="3" t="inlineStr">
        <is>
          <t>no</t>
        </is>
      </c>
    </row>
    <row r="169">
      <c r="A169" s="3" t="inlineStr">
        <is>
          <t>112000</t>
        </is>
      </c>
      <c r="B169" s="11" t="n">
        <v>3.5422</v>
      </c>
      <c r="C169" s="11" t="n">
        <v>31.93</v>
      </c>
      <c r="D169" s="3" t="inlineStr">
        <is>
          <t>Servizi</t>
        </is>
      </c>
      <c r="E169" s="3" t="inlineStr">
        <is>
          <t>Ristorazione e alloggio</t>
        </is>
      </c>
      <c r="F169" s="3" t="inlineStr">
        <is>
          <t>3-5%</t>
        </is>
      </c>
      <c r="G169" s="3" t="inlineStr">
        <is>
          <t>Accommodation services</t>
        </is>
      </c>
      <c r="H169" s="3" t="inlineStr">
        <is>
          <t>si</t>
        </is>
      </c>
      <c r="I169" s="3" t="inlineStr">
        <is>
          <t>no</t>
        </is>
      </c>
    </row>
    <row r="170">
      <c r="A170" s="3" t="inlineStr">
        <is>
          <t>096300</t>
        </is>
      </c>
      <c r="B170" s="11" t="n">
        <v>3.4826</v>
      </c>
      <c r="C170" s="11" t="n">
        <v>0.2</v>
      </c>
      <c r="D170" s="3" t="inlineStr">
        <is>
          <t>Servizi</t>
        </is>
      </c>
      <c r="E170" s="3" t="inlineStr">
        <is>
          <t>Ricreazione, sport e cultura</t>
        </is>
      </c>
      <c r="F170" s="3" t="inlineStr">
        <is>
          <t>3-5%</t>
        </is>
      </c>
      <c r="G170" s="3" t="inlineStr">
        <is>
          <t>Photographic services</t>
        </is>
      </c>
      <c r="H170" s="3" t="inlineStr">
        <is>
          <t>no</t>
        </is>
      </c>
      <c r="I170" s="3" t="inlineStr">
        <is>
          <t>no</t>
        </is>
      </c>
    </row>
    <row r="171">
      <c r="A171" s="3" t="inlineStr">
        <is>
          <t>011200</t>
        </is>
      </c>
      <c r="B171" s="11" t="n">
        <v>3.4585</v>
      </c>
      <c r="C171" s="11" t="n">
        <v>39.17</v>
      </c>
      <c r="D171" s="3" t="inlineStr">
        <is>
          <t>Alimentari</t>
        </is>
      </c>
      <c r="E171" s="3" t="inlineStr">
        <is>
          <t>Alimentari e bevande analcoliche</t>
        </is>
      </c>
      <c r="F171" s="3" t="inlineStr">
        <is>
          <t>3-5%</t>
        </is>
      </c>
      <c r="G171" s="3" t="inlineStr"/>
      <c r="H171" s="3" t="inlineStr"/>
      <c r="I171" s="3" t="inlineStr"/>
    </row>
    <row r="172">
      <c r="A172" s="3" t="inlineStr">
        <is>
          <t>041100</t>
        </is>
      </c>
      <c r="B172" s="11" t="n">
        <v>3.3797</v>
      </c>
      <c r="C172" s="11" t="n">
        <v>31.2</v>
      </c>
      <c r="D172" s="3" t="inlineStr">
        <is>
          <t>Servizi</t>
        </is>
      </c>
      <c r="E172" s="3" t="inlineStr">
        <is>
          <t>Abitazione e utenze</t>
        </is>
      </c>
      <c r="F172" s="3" t="inlineStr">
        <is>
          <t>3-5%</t>
        </is>
      </c>
      <c r="G172" s="3" t="inlineStr">
        <is>
          <t>Actual rental payments made by tenants for main residence</t>
        </is>
      </c>
      <c r="H172" s="3" t="inlineStr">
        <is>
          <t>si</t>
        </is>
      </c>
      <c r="I172" s="3" t="inlineStr">
        <is>
          <t>no</t>
        </is>
      </c>
    </row>
    <row r="173">
      <c r="A173" s="3" t="inlineStr">
        <is>
          <t>072300</t>
        </is>
      </c>
      <c r="B173" s="11" t="n">
        <v>3.2836</v>
      </c>
      <c r="C173" s="11" t="n">
        <v>29.8</v>
      </c>
      <c r="D173" s="3" t="inlineStr">
        <is>
          <t>Servizi</t>
        </is>
      </c>
      <c r="E173" s="3" t="inlineStr">
        <is>
          <t>Trasporti</t>
        </is>
      </c>
      <c r="F173" s="3" t="inlineStr">
        <is>
          <t>3-5%</t>
        </is>
      </c>
      <c r="G173" s="3" t="inlineStr">
        <is>
          <t>Maintenance and repair of personal transport equipment</t>
        </is>
      </c>
      <c r="H173" s="3" t="inlineStr">
        <is>
          <t>si</t>
        </is>
      </c>
      <c r="I173" s="3" t="inlineStr">
        <is>
          <t>si</t>
        </is>
      </c>
    </row>
    <row r="174">
      <c r="A174" s="3" t="inlineStr">
        <is>
          <t>121400</t>
        </is>
      </c>
      <c r="B174" s="11" t="n">
        <v>3.0754</v>
      </c>
      <c r="C174" s="11" t="n">
        <v>10.22</v>
      </c>
      <c r="D174" s="3" t="inlineStr">
        <is>
          <t>Servizi</t>
        </is>
      </c>
      <c r="E174" s="3" t="inlineStr">
        <is>
          <t>Assicurazioni e servizi finanziari</t>
        </is>
      </c>
      <c r="F174" s="3" t="inlineStr">
        <is>
          <t>3-5%</t>
        </is>
      </c>
      <c r="G174" s="3" t="inlineStr">
        <is>
          <t>Insurance connected with transport</t>
        </is>
      </c>
      <c r="H174" s="3" t="inlineStr">
        <is>
          <t>si</t>
        </is>
      </c>
      <c r="I174" s="3" t="inlineStr">
        <is>
          <t>no</t>
        </is>
      </c>
    </row>
    <row r="175">
      <c r="A175" s="3" t="inlineStr">
        <is>
          <t>096100</t>
        </is>
      </c>
      <c r="B175" s="11" t="n">
        <v>3.0706</v>
      </c>
      <c r="C175" s="11" t="n">
        <v>1.24</v>
      </c>
      <c r="D175" s="3" t="inlineStr">
        <is>
          <t>Servizi</t>
        </is>
      </c>
      <c r="E175" s="3" t="inlineStr">
        <is>
          <t>Ricreazione, sport e cultura</t>
        </is>
      </c>
      <c r="F175" s="3" t="inlineStr">
        <is>
          <t>3-5%</t>
        </is>
      </c>
      <c r="G175" s="3" t="inlineStr">
        <is>
          <t>Services provided by cinemas, theatres and concert venues</t>
        </is>
      </c>
      <c r="H175" s="3" t="inlineStr">
        <is>
          <t>no</t>
        </is>
      </c>
      <c r="I175" s="3" t="inlineStr">
        <is>
          <t>no</t>
        </is>
      </c>
    </row>
    <row r="176">
      <c r="A176" s="3" t="inlineStr">
        <is>
          <t>073200</t>
        </is>
      </c>
      <c r="B176" s="11" t="n">
        <v>2.991</v>
      </c>
      <c r="C176" s="11" t="n">
        <v>3.64</v>
      </c>
      <c r="D176" s="3" t="inlineStr">
        <is>
          <t>Servizi</t>
        </is>
      </c>
      <c r="E176" s="3" t="inlineStr">
        <is>
          <t>Trasporti</t>
        </is>
      </c>
      <c r="F176" s="3" t="inlineStr">
        <is>
          <t>2-3%</t>
        </is>
      </c>
      <c r="G176" s="3" t="inlineStr">
        <is>
          <t>Passenger transport by road</t>
        </is>
      </c>
      <c r="H176" s="3" t="inlineStr">
        <is>
          <t>no</t>
        </is>
      </c>
      <c r="I176" s="3" t="inlineStr">
        <is>
          <t>no</t>
        </is>
      </c>
    </row>
    <row r="177">
      <c r="A177" s="3" t="inlineStr">
        <is>
          <t>043200</t>
        </is>
      </c>
      <c r="B177" s="11" t="n">
        <v>2.9851</v>
      </c>
      <c r="C177" s="11" t="n">
        <v>6.95</v>
      </c>
      <c r="D177" s="3" t="inlineStr">
        <is>
          <t>Servizi</t>
        </is>
      </c>
      <c r="E177" s="3" t="inlineStr">
        <is>
          <t>Abitazione e utenze</t>
        </is>
      </c>
      <c r="F177" s="3" t="inlineStr">
        <is>
          <t>2-3%</t>
        </is>
      </c>
      <c r="G177" s="3" t="inlineStr">
        <is>
          <t>Services for the maintenance, repair and security of the dwelling</t>
        </is>
      </c>
      <c r="H177" s="3" t="inlineStr">
        <is>
          <t>si</t>
        </is>
      </c>
      <c r="I177" s="3" t="inlineStr">
        <is>
          <t>si</t>
        </is>
      </c>
    </row>
    <row r="178">
      <c r="A178" s="3" t="inlineStr">
        <is>
          <t>111100</t>
        </is>
      </c>
      <c r="B178" s="11" t="n">
        <v>2.8798</v>
      </c>
      <c r="C178" s="11" t="n">
        <v>91.95</v>
      </c>
      <c r="D178" s="3" t="inlineStr">
        <is>
          <t>Servizi</t>
        </is>
      </c>
      <c r="E178" s="3" t="inlineStr">
        <is>
          <t>Ristorazione e alloggio</t>
        </is>
      </c>
      <c r="F178" s="3" t="inlineStr">
        <is>
          <t>2-3%</t>
        </is>
      </c>
      <c r="G178" s="3" t="inlineStr">
        <is>
          <t>Restaurants, cafés and the like</t>
        </is>
      </c>
      <c r="H178" s="3" t="inlineStr">
        <is>
          <t>si</t>
        </is>
      </c>
      <c r="I178" s="3" t="inlineStr">
        <is>
          <t>si</t>
        </is>
      </c>
    </row>
    <row r="179">
      <c r="A179" s="3" t="inlineStr">
        <is>
          <t>051200</t>
        </is>
      </c>
      <c r="B179" s="11" t="n">
        <v>2.7916</v>
      </c>
      <c r="C179" s="11" t="n">
        <v>0.21</v>
      </c>
      <c r="D179" s="3" t="inlineStr">
        <is>
          <t>Servizi</t>
        </is>
      </c>
      <c r="E179" s="3" t="inlineStr">
        <is>
          <t>Mobili e articoli per la casa</t>
        </is>
      </c>
      <c r="F179" s="3" t="inlineStr">
        <is>
          <t>2-3%</t>
        </is>
      </c>
      <c r="G179" s="3" t="inlineStr">
        <is>
          <t>Repair, installation and hire of furniture, furnishings and loose carpets</t>
        </is>
      </c>
      <c r="H179" s="3" t="inlineStr">
        <is>
          <t>si</t>
        </is>
      </c>
      <c r="I179" s="3" t="inlineStr">
        <is>
          <t>si</t>
        </is>
      </c>
    </row>
    <row r="180">
      <c r="A180" s="3" t="inlineStr">
        <is>
          <t>093100</t>
        </is>
      </c>
      <c r="B180" s="11" t="n">
        <v>2.7054</v>
      </c>
      <c r="C180" s="11" t="n">
        <v>2.32</v>
      </c>
      <c r="D180" s="3" t="inlineStr">
        <is>
          <t>Beni industriali</t>
        </is>
      </c>
      <c r="E180" s="3" t="inlineStr">
        <is>
          <t>Ricreazione, sport e cultura</t>
        </is>
      </c>
      <c r="F180" s="3" t="inlineStr">
        <is>
          <t>2-3%</t>
        </is>
      </c>
      <c r="G180" s="3" t="inlineStr">
        <is>
          <t>Garden products, plants and flowers</t>
        </is>
      </c>
      <c r="H180" s="3" t="inlineStr">
        <is>
          <t>no</t>
        </is>
      </c>
      <c r="I180" s="3" t="inlineStr">
        <is>
          <t>no</t>
        </is>
      </c>
    </row>
    <row r="181">
      <c r="A181" s="3" t="inlineStr">
        <is>
          <t>121200</t>
        </is>
      </c>
      <c r="B181" s="11" t="n">
        <v>2.6919</v>
      </c>
      <c r="C181" s="11" t="n">
        <v>0.62</v>
      </c>
      <c r="D181" s="3" t="inlineStr">
        <is>
          <t>Servizi</t>
        </is>
      </c>
      <c r="E181" s="3" t="inlineStr">
        <is>
          <t>Assicurazioni e servizi finanziari</t>
        </is>
      </c>
      <c r="F181" s="3" t="inlineStr">
        <is>
          <t>2-3%</t>
        </is>
      </c>
      <c r="G181" s="3" t="inlineStr">
        <is>
          <t>Insurance connected with health</t>
        </is>
      </c>
      <c r="H181" s="3" t="inlineStr">
        <is>
          <t>si</t>
        </is>
      </c>
      <c r="I181" s="3" t="inlineStr">
        <is>
          <t>no</t>
        </is>
      </c>
    </row>
    <row r="182">
      <c r="A182" s="3" t="inlineStr">
        <is>
          <t>012500</t>
        </is>
      </c>
      <c r="B182" s="11" t="n">
        <v>2.6919</v>
      </c>
      <c r="C182" s="11" t="n">
        <v>4.61</v>
      </c>
      <c r="D182" s="3" t="inlineStr">
        <is>
          <t>Alimentari</t>
        </is>
      </c>
      <c r="E182" s="3" t="inlineStr">
        <is>
          <t>Alimentari e bevande analcoliche</t>
        </is>
      </c>
      <c r="F182" s="3" t="inlineStr">
        <is>
          <t>2-3%</t>
        </is>
      </c>
      <c r="G182" s="3" t="inlineStr"/>
      <c r="H182" s="3" t="inlineStr"/>
      <c r="I182" s="3" t="inlineStr"/>
    </row>
    <row r="183">
      <c r="A183" s="3" t="inlineStr">
        <is>
          <t>094500</t>
        </is>
      </c>
      <c r="B183" s="11" t="n">
        <v>2.6892</v>
      </c>
      <c r="C183" s="11" t="n">
        <v>1.81</v>
      </c>
      <c r="D183" s="3" t="inlineStr">
        <is>
          <t>Servizi</t>
        </is>
      </c>
      <c r="E183" s="3" t="inlineStr">
        <is>
          <t>Ricreazione, sport e cultura</t>
        </is>
      </c>
      <c r="F183" s="3" t="inlineStr">
        <is>
          <t>2-3%</t>
        </is>
      </c>
      <c r="G183" s="3" t="inlineStr">
        <is>
          <t>Veterinary and other services for pets</t>
        </is>
      </c>
      <c r="H183" s="3" t="inlineStr">
        <is>
          <t>si</t>
        </is>
      </c>
      <c r="I183" s="3" t="inlineStr">
        <is>
          <t>si</t>
        </is>
      </c>
    </row>
    <row r="184">
      <c r="A184" s="3" t="inlineStr">
        <is>
          <t>131300</t>
        </is>
      </c>
      <c r="B184" s="11" t="n">
        <v>2.5896</v>
      </c>
      <c r="C184" s="11" t="n">
        <v>16.92</v>
      </c>
      <c r="D184" s="3" t="inlineStr">
        <is>
          <t>Servizi</t>
        </is>
      </c>
      <c r="E184" s="3" t="inlineStr">
        <is>
          <t>Cura della persona e altri</t>
        </is>
      </c>
      <c r="F184" s="3" t="inlineStr">
        <is>
          <t>2-3%</t>
        </is>
      </c>
      <c r="G184" s="3" t="inlineStr">
        <is>
          <t>Hairdressing salons and personal grooming establishments</t>
        </is>
      </c>
      <c r="H184" s="3" t="inlineStr">
        <is>
          <t>si</t>
        </is>
      </c>
      <c r="I184" s="3" t="inlineStr">
        <is>
          <t>si</t>
        </is>
      </c>
    </row>
    <row r="185">
      <c r="A185" s="3" t="inlineStr">
        <is>
          <t>098000</t>
        </is>
      </c>
      <c r="B185" s="11" t="n">
        <v>2.5432</v>
      </c>
      <c r="C185" s="11" t="n">
        <v>4.86</v>
      </c>
      <c r="D185" s="3" t="inlineStr">
        <is>
          <t>Servizi</t>
        </is>
      </c>
      <c r="E185" s="3" t="inlineStr">
        <is>
          <t>Ricreazione, sport e cultura</t>
        </is>
      </c>
      <c r="F185" s="3" t="inlineStr">
        <is>
          <t>2-3%</t>
        </is>
      </c>
      <c r="G185" s="3" t="inlineStr">
        <is>
          <t>Package holidays</t>
        </is>
      </c>
      <c r="H185" s="3" t="inlineStr">
        <is>
          <t>no</t>
        </is>
      </c>
      <c r="I185" s="3" t="inlineStr">
        <is>
          <t>no</t>
        </is>
      </c>
    </row>
    <row r="186">
      <c r="A186" s="3" t="inlineStr">
        <is>
          <t>094600</t>
        </is>
      </c>
      <c r="B186" s="11" t="n">
        <v>2.5</v>
      </c>
      <c r="C186" s="11" t="n">
        <v>4.31</v>
      </c>
      <c r="D186" s="3" t="inlineStr">
        <is>
          <t>Servizi</t>
        </is>
      </c>
      <c r="E186" s="3" t="inlineStr">
        <is>
          <t>Ricreazione, sport e cultura</t>
        </is>
      </c>
      <c r="F186" s="3" t="inlineStr">
        <is>
          <t>2-3%</t>
        </is>
      </c>
      <c r="G186" s="3" t="inlineStr">
        <is>
          <t>Recreational and sporting services</t>
        </is>
      </c>
      <c r="H186" s="3" t="inlineStr">
        <is>
          <t>si</t>
        </is>
      </c>
      <c r="I186" s="3" t="inlineStr">
        <is>
          <t>si</t>
        </is>
      </c>
    </row>
    <row r="187">
      <c r="A187" s="3" t="inlineStr">
        <is>
          <t>097200</t>
        </is>
      </c>
      <c r="B187" s="11" t="n">
        <v>2.2977</v>
      </c>
      <c r="C187" s="11" t="n">
        <v>3.01</v>
      </c>
      <c r="D187" s="3" t="inlineStr">
        <is>
          <t>Beni industriali</t>
        </is>
      </c>
      <c r="E187" s="3" t="inlineStr">
        <is>
          <t>Ricreazione, sport e cultura</t>
        </is>
      </c>
      <c r="F187" s="3" t="inlineStr">
        <is>
          <t>2-3%</t>
        </is>
      </c>
      <c r="G187" s="3" t="inlineStr">
        <is>
          <t>Newspapers and periodicals</t>
        </is>
      </c>
      <c r="H187" s="3" t="inlineStr">
        <is>
          <t>no</t>
        </is>
      </c>
      <c r="I187" s="3" t="inlineStr">
        <is>
          <t>no</t>
        </is>
      </c>
    </row>
    <row r="188">
      <c r="A188" s="3" t="inlineStr">
        <is>
          <t>139000</t>
        </is>
      </c>
      <c r="B188" s="11" t="n">
        <v>2.0937</v>
      </c>
      <c r="C188" s="11" t="n">
        <v>19.4</v>
      </c>
      <c r="D188" s="3" t="inlineStr">
        <is>
          <t>Servizi</t>
        </is>
      </c>
      <c r="E188" s="3" t="inlineStr">
        <is>
          <t>Cura della persona e altri</t>
        </is>
      </c>
      <c r="F188" s="3" t="inlineStr">
        <is>
          <t>2-3%</t>
        </is>
      </c>
      <c r="G188" s="3" t="inlineStr">
        <is>
          <t>Other services</t>
        </is>
      </c>
      <c r="H188" s="3" t="inlineStr">
        <is>
          <t>si</t>
        </is>
      </c>
      <c r="I188" s="3" t="inlineStr">
        <is>
          <t>no</t>
        </is>
      </c>
    </row>
    <row r="189">
      <c r="A189" s="3" t="inlineStr">
        <is>
          <t>031400</t>
        </is>
      </c>
      <c r="B189" s="11" t="n">
        <v>2.0916</v>
      </c>
      <c r="C189" s="11" t="n">
        <v>3.11</v>
      </c>
      <c r="D189" s="3" t="inlineStr">
        <is>
          <t>Servizi</t>
        </is>
      </c>
      <c r="E189" s="3" t="inlineStr">
        <is>
          <t>Abbigliamento e calzature</t>
        </is>
      </c>
      <c r="F189" s="3" t="inlineStr">
        <is>
          <t>2-3%</t>
        </is>
      </c>
      <c r="G189" s="3" t="inlineStr">
        <is>
          <t>Cleaning, repair, tailoring and hire of clothing</t>
        </is>
      </c>
      <c r="H189" s="3" t="inlineStr">
        <is>
          <t>si</t>
        </is>
      </c>
      <c r="I189" s="3" t="inlineStr">
        <is>
          <t>si</t>
        </is>
      </c>
    </row>
    <row r="190">
      <c r="A190" s="3" t="inlineStr">
        <is>
          <t>053300</t>
        </is>
      </c>
      <c r="B190" s="11" t="n">
        <v>2.0875</v>
      </c>
      <c r="C190" s="11" t="n">
        <v>0.2</v>
      </c>
      <c r="D190" s="3" t="inlineStr">
        <is>
          <t>Servizi</t>
        </is>
      </c>
      <c r="E190" s="3" t="inlineStr">
        <is>
          <t>Mobili e articoli per la casa</t>
        </is>
      </c>
      <c r="F190" s="3" t="inlineStr">
        <is>
          <t>2-3%</t>
        </is>
      </c>
      <c r="G190" s="3" t="inlineStr">
        <is>
          <t>Repair, installation and hire of household appliances</t>
        </is>
      </c>
      <c r="H190" s="3" t="inlineStr">
        <is>
          <t>si</t>
        </is>
      </c>
      <c r="I190" s="3" t="inlineStr">
        <is>
          <t>no</t>
        </is>
      </c>
    </row>
    <row r="191">
      <c r="A191" s="3" t="inlineStr">
        <is>
          <t>111200</t>
        </is>
      </c>
      <c r="B191" s="11" t="n">
        <v>2.0792</v>
      </c>
      <c r="C191" s="11" t="n">
        <v>2.84</v>
      </c>
      <c r="D191" s="3" t="inlineStr">
        <is>
          <t>Servizi</t>
        </is>
      </c>
      <c r="E191" s="3" t="inlineStr">
        <is>
          <t>Ristorazione e alloggio</t>
        </is>
      </c>
      <c r="F191" s="3" t="inlineStr">
        <is>
          <t>2-3%</t>
        </is>
      </c>
      <c r="G191" s="3" t="inlineStr">
        <is>
          <t>Canteens, cafeterias and refectories</t>
        </is>
      </c>
      <c r="H191" s="3" t="inlineStr">
        <is>
          <t>si</t>
        </is>
      </c>
      <c r="I191" s="3" t="inlineStr">
        <is>
          <t>si</t>
        </is>
      </c>
    </row>
    <row r="192">
      <c r="A192" s="3" t="inlineStr">
        <is>
          <t>083900</t>
        </is>
      </c>
      <c r="B192" s="11" t="n">
        <v>1.996</v>
      </c>
      <c r="C192" s="11" t="n">
        <v>3.35</v>
      </c>
      <c r="D192" s="3" t="inlineStr">
        <is>
          <t>Servizi</t>
        </is>
      </c>
      <c r="E192" s="3" t="inlineStr">
        <is>
          <t>Informazione e comunicazione</t>
        </is>
      </c>
      <c r="F192" s="3" t="inlineStr">
        <is>
          <t>1,5-2%</t>
        </is>
      </c>
      <c r="G192" s="3" t="inlineStr">
        <is>
          <t>Other information and communication services</t>
        </is>
      </c>
      <c r="H192" s="3" t="inlineStr">
        <is>
          <t>si</t>
        </is>
      </c>
      <c r="I192" s="3" t="inlineStr">
        <is>
          <t>no</t>
        </is>
      </c>
    </row>
    <row r="193">
      <c r="A193" s="3" t="inlineStr">
        <is>
          <t>063100</t>
        </is>
      </c>
      <c r="B193" s="11" t="n">
        <v>1.9</v>
      </c>
      <c r="C193" s="11" t="n">
        <v>3.75</v>
      </c>
      <c r="D193" s="3" t="inlineStr">
        <is>
          <t>Servizi</t>
        </is>
      </c>
      <c r="E193" s="3" t="inlineStr">
        <is>
          <t>Salute</t>
        </is>
      </c>
      <c r="F193" s="3" t="inlineStr">
        <is>
          <t>1,5-2%</t>
        </is>
      </c>
      <c r="G193" s="3" t="inlineStr">
        <is>
          <t>Inpatient curative and rehabilitative services</t>
        </is>
      </c>
      <c r="H193" s="3" t="inlineStr">
        <is>
          <t>si</t>
        </is>
      </c>
      <c r="I193" s="3" t="inlineStr">
        <is>
          <t>no</t>
        </is>
      </c>
    </row>
    <row r="194">
      <c r="A194" s="3" t="inlineStr">
        <is>
          <t>061300</t>
        </is>
      </c>
      <c r="B194" s="11" t="n">
        <v>1.8924</v>
      </c>
      <c r="C194" s="11" t="n">
        <v>2.41</v>
      </c>
      <c r="D194" s="3" t="inlineStr">
        <is>
          <t>Beni industriali</t>
        </is>
      </c>
      <c r="E194" s="3" t="inlineStr">
        <is>
          <t>Salute</t>
        </is>
      </c>
      <c r="F194" s="3" t="inlineStr">
        <is>
          <t>1,5-2%</t>
        </is>
      </c>
      <c r="G194" s="3" t="inlineStr">
        <is>
          <t>Assistive products</t>
        </is>
      </c>
      <c r="H194" s="3" t="inlineStr">
        <is>
          <t>no</t>
        </is>
      </c>
      <c r="I194" s="3" t="inlineStr">
        <is>
          <t>no</t>
        </is>
      </c>
    </row>
    <row r="195">
      <c r="A195" s="3" t="inlineStr">
        <is>
          <t>072100</t>
        </is>
      </c>
      <c r="B195" s="11" t="n">
        <v>1.8924</v>
      </c>
      <c r="C195" s="11" t="n">
        <v>7.35</v>
      </c>
      <c r="D195" s="3" t="inlineStr">
        <is>
          <t>Beni industriali</t>
        </is>
      </c>
      <c r="E195" s="3" t="inlineStr">
        <is>
          <t>Trasporti</t>
        </is>
      </c>
      <c r="F195" s="3" t="inlineStr">
        <is>
          <t>1,5-2%</t>
        </is>
      </c>
      <c r="G195" s="3" t="inlineStr">
        <is>
          <t>Parts and accessories for personal transport equipment</t>
        </is>
      </c>
      <c r="H195" s="3" t="inlineStr">
        <is>
          <t>no</t>
        </is>
      </c>
      <c r="I195" s="3" t="inlineStr">
        <is>
          <t>si</t>
        </is>
      </c>
    </row>
    <row r="196">
      <c r="A196" s="3" t="inlineStr">
        <is>
          <t>011300</t>
        </is>
      </c>
      <c r="B196" s="11" t="n">
        <v>1.8812</v>
      </c>
      <c r="C196" s="11" t="n">
        <v>12.09</v>
      </c>
      <c r="D196" s="3" t="inlineStr">
        <is>
          <t>Alimentari</t>
        </is>
      </c>
      <c r="E196" s="3" t="inlineStr">
        <is>
          <t>Alimentari e bevande analcoliche</t>
        </is>
      </c>
      <c r="F196" s="3" t="inlineStr">
        <is>
          <t>1,5-2%</t>
        </is>
      </c>
      <c r="G196" s="3" t="inlineStr"/>
      <c r="H196" s="3" t="inlineStr"/>
      <c r="I196" s="3" t="inlineStr"/>
    </row>
    <row r="197">
      <c r="A197" s="3" t="inlineStr">
        <is>
          <t>101000</t>
        </is>
      </c>
      <c r="B197" s="11" t="n">
        <v>1.8793</v>
      </c>
      <c r="C197" s="11" t="n">
        <v>3.17</v>
      </c>
      <c r="D197" s="3" t="inlineStr">
        <is>
          <t>Servizi</t>
        </is>
      </c>
      <c r="E197" s="3" t="inlineStr">
        <is>
          <t>Istruzione</t>
        </is>
      </c>
      <c r="F197" s="3" t="inlineStr">
        <is>
          <t>1,5-2%</t>
        </is>
      </c>
      <c r="G197" s="3" t="inlineStr">
        <is>
          <t>Early childhood and primary education</t>
        </is>
      </c>
      <c r="H197" s="3" t="inlineStr">
        <is>
          <t>si</t>
        </is>
      </c>
      <c r="I197" s="3" t="inlineStr">
        <is>
          <t>no</t>
        </is>
      </c>
    </row>
    <row r="198">
      <c r="A198" s="3" t="inlineStr">
        <is>
          <t>074900</t>
        </is>
      </c>
      <c r="B198" s="11" t="n">
        <v>1.8</v>
      </c>
      <c r="C198" s="11" t="n">
        <v>2.84</v>
      </c>
      <c r="D198" s="3" t="inlineStr">
        <is>
          <t>Servizi</t>
        </is>
      </c>
      <c r="E198" s="3" t="inlineStr">
        <is>
          <t>Trasporti</t>
        </is>
      </c>
      <c r="F198" s="3" t="inlineStr">
        <is>
          <t>1,5-2%</t>
        </is>
      </c>
      <c r="G198" s="3" t="inlineStr">
        <is>
          <t>Other transport of goods</t>
        </is>
      </c>
      <c r="H198" s="3" t="inlineStr">
        <is>
          <t>no</t>
        </is>
      </c>
      <c r="I198" s="3" t="inlineStr">
        <is>
          <t>si</t>
        </is>
      </c>
    </row>
    <row r="199">
      <c r="A199" s="3" t="inlineStr">
        <is>
          <t>062200</t>
        </is>
      </c>
      <c r="B199" s="11" t="n">
        <v>1.7946</v>
      </c>
      <c r="C199" s="11" t="n">
        <v>8.890000000000001</v>
      </c>
      <c r="D199" s="3" t="inlineStr">
        <is>
          <t>Servizi</t>
        </is>
      </c>
      <c r="E199" s="3" t="inlineStr">
        <is>
          <t>Salute</t>
        </is>
      </c>
      <c r="F199" s="3" t="inlineStr">
        <is>
          <t>1,5-2%</t>
        </is>
      </c>
      <c r="G199" s="3" t="inlineStr">
        <is>
          <t>Outpatient dental services</t>
        </is>
      </c>
      <c r="H199" s="3" t="inlineStr">
        <is>
          <t>si</t>
        </is>
      </c>
      <c r="I199" s="3" t="inlineStr">
        <is>
          <t>no</t>
        </is>
      </c>
    </row>
    <row r="200">
      <c r="A200" s="3" t="inlineStr">
        <is>
          <t>105000</t>
        </is>
      </c>
      <c r="B200" s="11" t="n">
        <v>1.7839</v>
      </c>
      <c r="C200" s="11" t="n">
        <v>1.66</v>
      </c>
      <c r="D200" s="3" t="inlineStr">
        <is>
          <t>Servizi</t>
        </is>
      </c>
      <c r="E200" s="3" t="inlineStr">
        <is>
          <t>Istruzione</t>
        </is>
      </c>
      <c r="F200" s="3" t="inlineStr">
        <is>
          <t>1,5-2%</t>
        </is>
      </c>
      <c r="G200" s="3" t="inlineStr">
        <is>
          <t>Education not defined by level</t>
        </is>
      </c>
      <c r="H200" s="3" t="inlineStr">
        <is>
          <t>si</t>
        </is>
      </c>
      <c r="I200" s="3" t="inlineStr">
        <is>
          <t>no</t>
        </is>
      </c>
    </row>
    <row r="201">
      <c r="A201" s="3" t="inlineStr">
        <is>
          <t>044200</t>
        </is>
      </c>
      <c r="B201" s="11" t="n">
        <v>1.6983</v>
      </c>
      <c r="C201" s="11" t="n">
        <v>5.31</v>
      </c>
      <c r="D201" s="3" t="inlineStr">
        <is>
          <t>Servizi</t>
        </is>
      </c>
      <c r="E201" s="3" t="inlineStr">
        <is>
          <t>Abitazione e utenze</t>
        </is>
      </c>
      <c r="F201" s="3" t="inlineStr">
        <is>
          <t>1,5-2%</t>
        </is>
      </c>
      <c r="G201" s="3" t="inlineStr">
        <is>
          <t>Refuse collection</t>
        </is>
      </c>
      <c r="H201" s="3" t="inlineStr">
        <is>
          <t>si</t>
        </is>
      </c>
      <c r="I201" s="3" t="inlineStr">
        <is>
          <t>no</t>
        </is>
      </c>
    </row>
    <row r="202">
      <c r="A202" s="3" t="inlineStr">
        <is>
          <t>043100</t>
        </is>
      </c>
      <c r="B202" s="11" t="n">
        <v>1.6966</v>
      </c>
      <c r="C202" s="11" t="n">
        <v>2.07</v>
      </c>
      <c r="D202" s="3" t="inlineStr">
        <is>
          <t>Beni industriali</t>
        </is>
      </c>
      <c r="E202" s="3" t="inlineStr">
        <is>
          <t>Abitazione e utenze</t>
        </is>
      </c>
      <c r="F202" s="3" t="inlineStr">
        <is>
          <t>1,5-2%</t>
        </is>
      </c>
      <c r="G202" s="3" t="inlineStr">
        <is>
          <t>Security equipment and materials for dwelling maintenance and repair</t>
        </is>
      </c>
      <c r="H202" s="3" t="inlineStr">
        <is>
          <t>no</t>
        </is>
      </c>
      <c r="I202" s="3" t="inlineStr">
        <is>
          <t>si</t>
        </is>
      </c>
    </row>
    <row r="203">
      <c r="A203" s="3" t="inlineStr">
        <is>
          <t>012600</t>
        </is>
      </c>
      <c r="B203" s="11" t="n">
        <v>1.5984</v>
      </c>
      <c r="C203" s="11" t="n">
        <v>1.86</v>
      </c>
      <c r="D203" s="3" t="inlineStr">
        <is>
          <t>Alimentari</t>
        </is>
      </c>
      <c r="E203" s="3" t="inlineStr">
        <is>
          <t>Alimentari e bevande analcoliche</t>
        </is>
      </c>
      <c r="F203" s="3" t="inlineStr">
        <is>
          <t>1,5-2%</t>
        </is>
      </c>
      <c r="G203" s="3" t="inlineStr"/>
      <c r="H203" s="3" t="inlineStr"/>
      <c r="I203" s="3" t="inlineStr"/>
    </row>
    <row r="204">
      <c r="A204" s="3" t="inlineStr">
        <is>
          <t>062300</t>
        </is>
      </c>
      <c r="B204" s="11" t="n">
        <v>1.5936</v>
      </c>
      <c r="C204" s="11" t="n">
        <v>4.1</v>
      </c>
      <c r="D204" s="3" t="inlineStr">
        <is>
          <t>Servizi</t>
        </is>
      </c>
      <c r="E204" s="3" t="inlineStr">
        <is>
          <t>Salute</t>
        </is>
      </c>
      <c r="F204" s="3" t="inlineStr">
        <is>
          <t>1,5-2%</t>
        </is>
      </c>
      <c r="G204" s="3" t="inlineStr">
        <is>
          <t>Other outpatient care services</t>
        </is>
      </c>
      <c r="H204" s="3" t="inlineStr">
        <is>
          <t>si</t>
        </is>
      </c>
      <c r="I204" s="3" t="inlineStr">
        <is>
          <t>no</t>
        </is>
      </c>
    </row>
    <row r="205">
      <c r="A205" s="3" t="inlineStr">
        <is>
          <t>081100</t>
        </is>
      </c>
      <c r="B205" s="11" t="n">
        <v>1.5748</v>
      </c>
      <c r="C205" s="11" t="n">
        <v>0.01</v>
      </c>
      <c r="D205" s="3" t="inlineStr">
        <is>
          <t>Beni industriali</t>
        </is>
      </c>
      <c r="E205" s="3" t="inlineStr">
        <is>
          <t>Informazione e comunicazione</t>
        </is>
      </c>
      <c r="F205" s="3" t="inlineStr">
        <is>
          <t>1,5-2%</t>
        </is>
      </c>
      <c r="G205" s="3" t="inlineStr">
        <is>
          <t>Fixed telephone equipment</t>
        </is>
      </c>
      <c r="H205" s="3" t="inlineStr">
        <is>
          <t>no</t>
        </is>
      </c>
      <c r="I205" s="3" t="inlineStr">
        <is>
          <t>no</t>
        </is>
      </c>
    </row>
    <row r="206">
      <c r="A206" s="3" t="inlineStr">
        <is>
          <t>096900</t>
        </is>
      </c>
      <c r="B206" s="11" t="n">
        <v>1.4911</v>
      </c>
      <c r="C206" s="11" t="n">
        <v>0.09</v>
      </c>
      <c r="D206" s="3" t="inlineStr">
        <is>
          <t>Servizi</t>
        </is>
      </c>
      <c r="E206" s="3" t="inlineStr">
        <is>
          <t>Ricreazione, sport e cultura</t>
        </is>
      </c>
      <c r="F206" s="3" t="inlineStr">
        <is>
          <t>sotto 1,5%</t>
        </is>
      </c>
      <c r="G206" s="3" t="inlineStr">
        <is>
          <t>Other cultural services</t>
        </is>
      </c>
      <c r="H206" s="3" t="inlineStr">
        <is>
          <t>no</t>
        </is>
      </c>
      <c r="I206" s="3" t="inlineStr">
        <is>
          <t>no</t>
        </is>
      </c>
    </row>
    <row r="207">
      <c r="A207" s="3" t="inlineStr">
        <is>
          <t>062100</t>
        </is>
      </c>
      <c r="B207" s="11" t="n">
        <v>1.4896</v>
      </c>
      <c r="C207" s="11" t="n">
        <v>6.36</v>
      </c>
      <c r="D207" s="3" t="inlineStr">
        <is>
          <t>Servizi</t>
        </is>
      </c>
      <c r="E207" s="3" t="inlineStr">
        <is>
          <t>Salute</t>
        </is>
      </c>
      <c r="F207" s="3" t="inlineStr">
        <is>
          <t>sotto 1,5%</t>
        </is>
      </c>
      <c r="G207" s="3" t="inlineStr">
        <is>
          <t>Preventive care services</t>
        </is>
      </c>
      <c r="H207" s="3" t="inlineStr">
        <is>
          <t>si</t>
        </is>
      </c>
      <c r="I207" s="3" t="inlineStr">
        <is>
          <t>no</t>
        </is>
      </c>
    </row>
    <row r="208">
      <c r="A208" s="3" t="inlineStr">
        <is>
          <t>073100</t>
        </is>
      </c>
      <c r="B208" s="11" t="n">
        <v>1.3958</v>
      </c>
      <c r="C208" s="11" t="n">
        <v>3.72</v>
      </c>
      <c r="D208" s="3" t="inlineStr">
        <is>
          <t>Servizi</t>
        </is>
      </c>
      <c r="E208" s="3" t="inlineStr">
        <is>
          <t>Trasporti</t>
        </is>
      </c>
      <c r="F208" s="3" t="inlineStr">
        <is>
          <t>sotto 1,5%</t>
        </is>
      </c>
      <c r="G208" s="3" t="inlineStr">
        <is>
          <t>Passenger transport by railway</t>
        </is>
      </c>
      <c r="H208" s="3" t="inlineStr">
        <is>
          <t>no</t>
        </is>
      </c>
      <c r="I208" s="3" t="inlineStr">
        <is>
          <t>no</t>
        </is>
      </c>
    </row>
    <row r="209">
      <c r="A209" s="3" t="inlineStr">
        <is>
          <t>064100</t>
        </is>
      </c>
      <c r="B209" s="11" t="n">
        <v>1.3889</v>
      </c>
      <c r="C209" s="11" t="n">
        <v>1.67</v>
      </c>
      <c r="D209" s="3" t="inlineStr">
        <is>
          <t>Servizi</t>
        </is>
      </c>
      <c r="E209" s="3" t="inlineStr">
        <is>
          <t>Salute</t>
        </is>
      </c>
      <c r="F209" s="3" t="inlineStr">
        <is>
          <t>sotto 1,5%</t>
        </is>
      </c>
      <c r="G209" s="3" t="inlineStr">
        <is>
          <t>Diagnostic imaging services and medical laboratory services</t>
        </is>
      </c>
      <c r="H209" s="3" t="inlineStr">
        <is>
          <t>si</t>
        </is>
      </c>
      <c r="I209" s="3" t="inlineStr">
        <is>
          <t>no</t>
        </is>
      </c>
    </row>
    <row r="210">
      <c r="A210" s="3" t="inlineStr">
        <is>
          <t>095200</t>
        </is>
      </c>
      <c r="B210" s="11" t="n">
        <v>1.3436</v>
      </c>
      <c r="C210" s="11" t="n">
        <v>0.61</v>
      </c>
      <c r="D210" s="3" t="inlineStr">
        <is>
          <t>Beni industriali</t>
        </is>
      </c>
      <c r="E210" s="3" t="inlineStr">
        <is>
          <t>Ricreazione, sport e cultura</t>
        </is>
      </c>
      <c r="F210" s="3" t="inlineStr">
        <is>
          <t>sotto 1,5%</t>
        </is>
      </c>
      <c r="G210" s="3" t="inlineStr">
        <is>
          <t>Audiovisual media</t>
        </is>
      </c>
      <c r="H210" s="3" t="inlineStr">
        <is>
          <t>no</t>
        </is>
      </c>
      <c r="I210" s="3" t="inlineStr">
        <is>
          <t>no</t>
        </is>
      </c>
    </row>
    <row r="211">
      <c r="A211" s="3" t="inlineStr">
        <is>
          <t>104000</t>
        </is>
      </c>
      <c r="B211" s="11" t="n">
        <v>1.3039</v>
      </c>
      <c r="C211" s="11" t="n">
        <v>3.6</v>
      </c>
      <c r="D211" s="3" t="inlineStr">
        <is>
          <t>Servizi</t>
        </is>
      </c>
      <c r="E211" s="3" t="inlineStr">
        <is>
          <t>Istruzione</t>
        </is>
      </c>
      <c r="F211" s="3" t="inlineStr">
        <is>
          <t>sotto 1,5%</t>
        </is>
      </c>
      <c r="G211" s="3" t="inlineStr">
        <is>
          <t>Tertiary education</t>
        </is>
      </c>
      <c r="H211" s="3" t="inlineStr">
        <is>
          <t>si</t>
        </is>
      </c>
      <c r="I211" s="3" t="inlineStr">
        <is>
          <t>si</t>
        </is>
      </c>
    </row>
    <row r="212">
      <c r="A212" s="3" t="inlineStr">
        <is>
          <t>073500</t>
        </is>
      </c>
      <c r="B212" s="11" t="n">
        <v>1.2974</v>
      </c>
      <c r="C212" s="11" t="n">
        <v>2.69</v>
      </c>
      <c r="D212" s="3" t="inlineStr">
        <is>
          <t>Servizi</t>
        </is>
      </c>
      <c r="E212" s="3" t="inlineStr">
        <is>
          <t>Trasporti</t>
        </is>
      </c>
      <c r="F212" s="3" t="inlineStr">
        <is>
          <t>sotto 1,5%</t>
        </is>
      </c>
      <c r="G212" s="3" t="inlineStr">
        <is>
          <t>Combined passenger transport</t>
        </is>
      </c>
      <c r="H212" s="3" t="inlineStr">
        <is>
          <t>no</t>
        </is>
      </c>
      <c r="I212" s="3" t="inlineStr">
        <is>
          <t>no</t>
        </is>
      </c>
    </row>
    <row r="213">
      <c r="A213" s="3" t="inlineStr">
        <is>
          <t>092100</t>
        </is>
      </c>
      <c r="B213" s="11" t="n">
        <v>1.0967</v>
      </c>
      <c r="C213" s="11" t="n">
        <v>4.34</v>
      </c>
      <c r="D213" s="3" t="inlineStr">
        <is>
          <t>Beni industriali</t>
        </is>
      </c>
      <c r="E213" s="3" t="inlineStr">
        <is>
          <t>Ricreazione, sport e cultura</t>
        </is>
      </c>
      <c r="F213" s="3" t="inlineStr">
        <is>
          <t>sotto 1,5%</t>
        </is>
      </c>
      <c r="G213" s="3" t="inlineStr">
        <is>
          <t>Games, toys and hobby-related articles</t>
        </is>
      </c>
      <c r="H213" s="3" t="inlineStr">
        <is>
          <t>no</t>
        </is>
      </c>
      <c r="I213" s="3" t="inlineStr">
        <is>
          <t>no</t>
        </is>
      </c>
    </row>
    <row r="214">
      <c r="A214" s="3" t="inlineStr">
        <is>
          <t>122200</t>
        </is>
      </c>
      <c r="B214" s="11" t="n">
        <v>1.0806</v>
      </c>
      <c r="C214" s="11" t="n">
        <v>16.48</v>
      </c>
      <c r="D214" s="3" t="inlineStr">
        <is>
          <t>Servizi</t>
        </is>
      </c>
      <c r="E214" s="3" t="inlineStr">
        <is>
          <t>Assicurazioni e servizi finanziari</t>
        </is>
      </c>
      <c r="F214" s="3" t="inlineStr">
        <is>
          <t>sotto 1,5%</t>
        </is>
      </c>
      <c r="G214" s="3" t="inlineStr">
        <is>
          <t>Explicit charges by deposit-taking corporations</t>
        </is>
      </c>
      <c r="H214" s="3" t="inlineStr">
        <is>
          <t>no</t>
        </is>
      </c>
      <c r="I214" s="3" t="inlineStr">
        <is>
          <t>no</t>
        </is>
      </c>
    </row>
    <row r="215">
      <c r="A215" s="3" t="inlineStr">
        <is>
          <t>012100</t>
        </is>
      </c>
      <c r="B215" s="11" t="n">
        <v>0.8008</v>
      </c>
      <c r="C215" s="11" t="n">
        <v>1.28</v>
      </c>
      <c r="D215" s="3" t="inlineStr">
        <is>
          <t>Alimentari</t>
        </is>
      </c>
      <c r="E215" s="3" t="inlineStr">
        <is>
          <t>Alimentari e bevande analcoliche</t>
        </is>
      </c>
      <c r="F215" s="3" t="inlineStr">
        <is>
          <t>sotto 1,5%</t>
        </is>
      </c>
      <c r="G215" s="3" t="inlineStr"/>
      <c r="H215" s="3" t="inlineStr"/>
      <c r="I215" s="3" t="inlineStr"/>
    </row>
    <row r="216">
      <c r="A216" s="3" t="inlineStr">
        <is>
          <t>052100</t>
        </is>
      </c>
      <c r="B216" s="11" t="n">
        <v>0.7952</v>
      </c>
      <c r="C216" s="11" t="n">
        <v>3.39</v>
      </c>
      <c r="D216" s="3" t="inlineStr">
        <is>
          <t>Beni industriali</t>
        </is>
      </c>
      <c r="E216" s="3" t="inlineStr">
        <is>
          <t>Mobili e articoli per la casa</t>
        </is>
      </c>
      <c r="F216" s="3" t="inlineStr">
        <is>
          <t>sotto 1,5%</t>
        </is>
      </c>
      <c r="G216" s="3" t="inlineStr">
        <is>
          <t>Household textiles</t>
        </is>
      </c>
      <c r="H216" s="3" t="inlineStr">
        <is>
          <t>no</t>
        </is>
      </c>
      <c r="I216" s="3" t="inlineStr">
        <is>
          <t>no</t>
        </is>
      </c>
    </row>
    <row r="217">
      <c r="A217" s="3" t="inlineStr">
        <is>
          <t>072400</t>
        </is>
      </c>
      <c r="B217" s="11" t="n">
        <v>0.7897</v>
      </c>
      <c r="C217" s="11" t="n">
        <v>10.84</v>
      </c>
      <c r="D217" s="3" t="inlineStr">
        <is>
          <t>Servizi</t>
        </is>
      </c>
      <c r="E217" s="3" t="inlineStr">
        <is>
          <t>Trasporti</t>
        </is>
      </c>
      <c r="F217" s="3" t="inlineStr">
        <is>
          <t>sotto 1,5%</t>
        </is>
      </c>
      <c r="G217" s="3" t="inlineStr">
        <is>
          <t>Other services related to personal transport equipment</t>
        </is>
      </c>
      <c r="H217" s="3" t="inlineStr">
        <is>
          <t>si</t>
        </is>
      </c>
      <c r="I217" s="3" t="inlineStr">
        <is>
          <t>si</t>
        </is>
      </c>
    </row>
    <row r="218">
      <c r="A218" s="3" t="inlineStr">
        <is>
          <t>011600</t>
        </is>
      </c>
      <c r="B218" s="11" t="n">
        <v>0.7187</v>
      </c>
      <c r="C218" s="11" t="n">
        <v>14.13</v>
      </c>
      <c r="D218" s="3" t="inlineStr">
        <is>
          <t>Alimentari</t>
        </is>
      </c>
      <c r="E218" s="3" t="inlineStr">
        <is>
          <t>Alimentari e bevande analcoliche</t>
        </is>
      </c>
      <c r="F218" s="3" t="inlineStr">
        <is>
          <t>sotto 1,5%</t>
        </is>
      </c>
      <c r="G218" s="3" t="inlineStr"/>
      <c r="H218" s="3" t="inlineStr"/>
      <c r="I218" s="3" t="inlineStr"/>
    </row>
    <row r="219">
      <c r="A219" s="3" t="inlineStr">
        <is>
          <t>061200</t>
        </is>
      </c>
      <c r="B219" s="11" t="n">
        <v>0.6993</v>
      </c>
      <c r="C219" s="11" t="n">
        <v>1.21</v>
      </c>
      <c r="D219" s="3" t="inlineStr">
        <is>
          <t>Beni industriali</t>
        </is>
      </c>
      <c r="E219" s="3" t="inlineStr">
        <is>
          <t>Salute</t>
        </is>
      </c>
      <c r="F219" s="3" t="inlineStr">
        <is>
          <t>sotto 1,5%</t>
        </is>
      </c>
      <c r="G219" s="3" t="inlineStr">
        <is>
          <t>Medical products</t>
        </is>
      </c>
      <c r="H219" s="3" t="inlineStr">
        <is>
          <t>no</t>
        </is>
      </c>
      <c r="I219" s="3" t="inlineStr">
        <is>
          <t>no</t>
        </is>
      </c>
    </row>
    <row r="220">
      <c r="A220" s="3" t="inlineStr">
        <is>
          <t>011900</t>
        </is>
      </c>
      <c r="B220" s="11" t="n">
        <v>0.6972</v>
      </c>
      <c r="C220" s="11" t="n">
        <v>4.15</v>
      </c>
      <c r="D220" s="3" t="inlineStr">
        <is>
          <t>Alimentari</t>
        </is>
      </c>
      <c r="E220" s="3" t="inlineStr">
        <is>
          <t>Alimentari e bevande analcoliche</t>
        </is>
      </c>
      <c r="F220" s="3" t="inlineStr">
        <is>
          <t>sotto 1,5%</t>
        </is>
      </c>
      <c r="G220" s="3" t="inlineStr"/>
      <c r="H220" s="3" t="inlineStr"/>
      <c r="I220" s="3" t="inlineStr"/>
    </row>
    <row r="221">
      <c r="A221" s="3" t="inlineStr">
        <is>
          <t>097400</t>
        </is>
      </c>
      <c r="B221" s="11" t="n">
        <v>0.6091</v>
      </c>
      <c r="C221" s="11" t="n">
        <v>3.4</v>
      </c>
      <c r="D221" s="3" t="inlineStr">
        <is>
          <t>Beni industriali</t>
        </is>
      </c>
      <c r="E221" s="3" t="inlineStr">
        <is>
          <t>Ricreazione, sport e cultura</t>
        </is>
      </c>
      <c r="F221" s="3" t="inlineStr">
        <is>
          <t>sotto 1,5%</t>
        </is>
      </c>
      <c r="G221" s="3" t="inlineStr">
        <is>
          <t>Stationery and drawing materials</t>
        </is>
      </c>
      <c r="H221" s="3" t="inlineStr">
        <is>
          <t>no</t>
        </is>
      </c>
      <c r="I221" s="3" t="inlineStr">
        <is>
          <t>si</t>
        </is>
      </c>
    </row>
    <row r="222">
      <c r="A222" s="3" t="inlineStr">
        <is>
          <t>051100</t>
        </is>
      </c>
      <c r="B222" s="11" t="n">
        <v>0.6018</v>
      </c>
      <c r="C222" s="11" t="n">
        <v>21.98</v>
      </c>
      <c r="D222" s="3" t="inlineStr">
        <is>
          <t>Beni industriali</t>
        </is>
      </c>
      <c r="E222" s="3" t="inlineStr">
        <is>
          <t>Mobili e articoli per la casa</t>
        </is>
      </c>
      <c r="F222" s="3" t="inlineStr">
        <is>
          <t>sotto 1,5%</t>
        </is>
      </c>
      <c r="G222" s="3" t="inlineStr">
        <is>
          <t>Furniture, furnishings and loose carpets</t>
        </is>
      </c>
      <c r="H222" s="3" t="inlineStr">
        <is>
          <t>no</t>
        </is>
      </c>
      <c r="I222" s="3" t="inlineStr">
        <is>
          <t>si</t>
        </is>
      </c>
    </row>
    <row r="223">
      <c r="A223" s="3" t="inlineStr">
        <is>
          <t>055200</t>
        </is>
      </c>
      <c r="B223" s="11" t="n">
        <v>0.5994</v>
      </c>
      <c r="C223" s="11" t="n">
        <v>3.59</v>
      </c>
      <c r="D223" s="3" t="inlineStr">
        <is>
          <t>Beni industriali</t>
        </is>
      </c>
      <c r="E223" s="3" t="inlineStr">
        <is>
          <t>Mobili e articoli per la casa</t>
        </is>
      </c>
      <c r="F223" s="3" t="inlineStr">
        <is>
          <t>sotto 1,5%</t>
        </is>
      </c>
      <c r="G223" s="3" t="inlineStr">
        <is>
          <t>Non-motorized tools and miscellaneous accessories</t>
        </is>
      </c>
      <c r="H223" s="3" t="inlineStr">
        <is>
          <t>no</t>
        </is>
      </c>
      <c r="I223" s="3" t="inlineStr">
        <is>
          <t>si</t>
        </is>
      </c>
    </row>
    <row r="224">
      <c r="A224" s="3" t="inlineStr">
        <is>
          <t>083300</t>
        </is>
      </c>
      <c r="B224" s="11" t="n">
        <v>0.5004999999999999</v>
      </c>
      <c r="C224" s="11" t="n">
        <v>4.96</v>
      </c>
      <c r="D224" s="3" t="inlineStr">
        <is>
          <t>Servizi</t>
        </is>
      </c>
      <c r="E224" s="3" t="inlineStr">
        <is>
          <t>Informazione e comunicazione</t>
        </is>
      </c>
      <c r="F224" s="3" t="inlineStr">
        <is>
          <t>sotto 1,5%</t>
        </is>
      </c>
      <c r="G224" s="3" t="inlineStr">
        <is>
          <t>Internet access provision services and online storage services</t>
        </is>
      </c>
      <c r="H224" s="3" t="inlineStr">
        <is>
          <t>si</t>
        </is>
      </c>
      <c r="I224" s="3" t="inlineStr">
        <is>
          <t>no</t>
        </is>
      </c>
    </row>
    <row r="225">
      <c r="A225" s="3" t="inlineStr">
        <is>
          <t>054000</t>
        </is>
      </c>
      <c r="B225" s="11" t="n">
        <v>0.3988</v>
      </c>
      <c r="C225" s="11" t="n">
        <v>6.14</v>
      </c>
      <c r="D225" s="3" t="inlineStr">
        <is>
          <t>Beni industriali</t>
        </is>
      </c>
      <c r="E225" s="3" t="inlineStr">
        <is>
          <t>Mobili e articoli per la casa</t>
        </is>
      </c>
      <c r="F225" s="3" t="inlineStr">
        <is>
          <t>sotto 1,5%</t>
        </is>
      </c>
      <c r="G225" s="3" t="inlineStr">
        <is>
          <t>Glassware, tableware and household utensils</t>
        </is>
      </c>
      <c r="H225" s="3" t="inlineStr">
        <is>
          <t>no</t>
        </is>
      </c>
      <c r="I225" s="3" t="inlineStr">
        <is>
          <t>si</t>
        </is>
      </c>
    </row>
    <row r="226">
      <c r="A226" s="3" t="inlineStr">
        <is>
          <t>095100</t>
        </is>
      </c>
      <c r="B226" s="11" t="n">
        <v>0.2994</v>
      </c>
      <c r="C226" s="11" t="n">
        <v>0.51</v>
      </c>
      <c r="D226" s="3" t="inlineStr">
        <is>
          <t>Beni industriali</t>
        </is>
      </c>
      <c r="E226" s="3" t="inlineStr">
        <is>
          <t>Ricreazione, sport e cultura</t>
        </is>
      </c>
      <c r="F226" s="3" t="inlineStr">
        <is>
          <t>sotto 1,5%</t>
        </is>
      </c>
      <c r="G226" s="3" t="inlineStr">
        <is>
          <t>Musical instruments</t>
        </is>
      </c>
      <c r="H226" s="3" t="inlineStr">
        <is>
          <t>no</t>
        </is>
      </c>
      <c r="I226" s="3" t="inlineStr">
        <is>
          <t>no</t>
        </is>
      </c>
    </row>
    <row r="227">
      <c r="A227" s="3" t="inlineStr">
        <is>
          <t>093200</t>
        </is>
      </c>
      <c r="B227" s="11" t="n">
        <v>0.2006</v>
      </c>
      <c r="C227" s="11" t="n">
        <v>6.28</v>
      </c>
      <c r="D227" s="3" t="inlineStr">
        <is>
          <t>Beni industriali</t>
        </is>
      </c>
      <c r="E227" s="3" t="inlineStr">
        <is>
          <t>Ricreazione, sport e cultura</t>
        </is>
      </c>
      <c r="F227" s="3" t="inlineStr">
        <is>
          <t>sotto 1,5%</t>
        </is>
      </c>
      <c r="G227" s="3" t="inlineStr">
        <is>
          <t>Pets and pet products</t>
        </is>
      </c>
      <c r="H227" s="3" t="inlineStr">
        <is>
          <t>no</t>
        </is>
      </c>
      <c r="I227" s="3" t="inlineStr">
        <is>
          <t>si</t>
        </is>
      </c>
    </row>
    <row r="228">
      <c r="A228" s="3" t="inlineStr">
        <is>
          <t>091200</t>
        </is>
      </c>
      <c r="B228" s="11" t="n">
        <v>0.1998</v>
      </c>
      <c r="C228" s="11" t="n">
        <v>3.23</v>
      </c>
      <c r="D228" s="3" t="inlineStr">
        <is>
          <t>Beni industriali</t>
        </is>
      </c>
      <c r="E228" s="3" t="inlineStr">
        <is>
          <t>Ricreazione, sport e cultura</t>
        </is>
      </c>
      <c r="F228" s="3" t="inlineStr">
        <is>
          <t>sotto 1,5%</t>
        </is>
      </c>
      <c r="G228" s="3" t="inlineStr">
        <is>
          <t>Major recreational durables</t>
        </is>
      </c>
      <c r="H228" s="3" t="inlineStr">
        <is>
          <t>no</t>
        </is>
      </c>
      <c r="I228" s="3" t="inlineStr">
        <is>
          <t>no</t>
        </is>
      </c>
    </row>
    <row r="229">
      <c r="A229" s="3" t="inlineStr">
        <is>
          <t>102000</t>
        </is>
      </c>
      <c r="B229" s="11" t="n">
        <v>0.1994</v>
      </c>
      <c r="C229" s="11" t="n">
        <v>1.64</v>
      </c>
      <c r="D229" s="3" t="inlineStr">
        <is>
          <t>Servizi</t>
        </is>
      </c>
      <c r="E229" s="3" t="inlineStr">
        <is>
          <t>Istruzione</t>
        </is>
      </c>
      <c r="F229" s="3" t="inlineStr">
        <is>
          <t>sotto 1,5%</t>
        </is>
      </c>
      <c r="G229" s="3" t="inlineStr">
        <is>
          <t>Secondary education</t>
        </is>
      </c>
      <c r="H229" s="3" t="inlineStr">
        <is>
          <t>si</t>
        </is>
      </c>
      <c r="I229" s="3" t="inlineStr">
        <is>
          <t>si</t>
        </is>
      </c>
    </row>
    <row r="230">
      <c r="A230" s="3" t="inlineStr">
        <is>
          <t>012200</t>
        </is>
      </c>
      <c r="B230" s="11" t="n">
        <v>0.1925</v>
      </c>
      <c r="C230" s="11" t="n">
        <v>5.29</v>
      </c>
      <c r="D230" s="3" t="inlineStr">
        <is>
          <t>Alimentari</t>
        </is>
      </c>
      <c r="E230" s="3" t="inlineStr">
        <is>
          <t>Alimentari e bevande analcoliche</t>
        </is>
      </c>
      <c r="F230" s="3" t="inlineStr">
        <is>
          <t>sotto 1,5%</t>
        </is>
      </c>
      <c r="G230" s="3" t="inlineStr"/>
      <c r="H230" s="3" t="inlineStr"/>
      <c r="I230" s="3" t="inlineStr"/>
    </row>
    <row r="231">
      <c r="A231" s="3" t="inlineStr">
        <is>
          <t>031200</t>
        </is>
      </c>
      <c r="B231" s="11" t="n">
        <v>0.188</v>
      </c>
      <c r="C231" s="11" t="n">
        <v>52.32</v>
      </c>
      <c r="D231" s="3" t="inlineStr">
        <is>
          <t>Beni industriali</t>
        </is>
      </c>
      <c r="E231" s="3" t="inlineStr">
        <is>
          <t>Abbigliamento e calzature</t>
        </is>
      </c>
      <c r="F231" s="3" t="inlineStr">
        <is>
          <t>sotto 1,5%</t>
        </is>
      </c>
      <c r="G231" s="3" t="inlineStr">
        <is>
          <t>Garments</t>
        </is>
      </c>
      <c r="H231" s="3" t="inlineStr">
        <is>
          <t>no</t>
        </is>
      </c>
      <c r="I231" s="3" t="inlineStr">
        <is>
          <t>no</t>
        </is>
      </c>
    </row>
    <row r="232">
      <c r="A232" s="3" t="inlineStr">
        <is>
          <t>061100</t>
        </is>
      </c>
      <c r="B232" s="11" t="n">
        <v>0.09909999999999999</v>
      </c>
      <c r="C232" s="11" t="n">
        <v>11.38</v>
      </c>
      <c r="D232" s="3" t="inlineStr">
        <is>
          <t>Beni industriali</t>
        </is>
      </c>
      <c r="E232" s="3" t="inlineStr">
        <is>
          <t>Salute</t>
        </is>
      </c>
      <c r="F232" s="3" t="inlineStr">
        <is>
          <t>sotto 1,5%</t>
        </is>
      </c>
      <c r="G232" s="3" t="inlineStr">
        <is>
          <t>Medicines</t>
        </is>
      </c>
      <c r="H232" s="3" t="inlineStr">
        <is>
          <t>no</t>
        </is>
      </c>
      <c r="I232" s="3" t="inlineStr">
        <is>
          <t>no</t>
        </is>
      </c>
    </row>
    <row r="233">
      <c r="A233" s="3" t="inlineStr">
        <is>
          <t>083100</t>
        </is>
      </c>
      <c r="B233" s="11" t="n">
        <v>0</v>
      </c>
      <c r="C233" s="11" t="n">
        <v>1.92</v>
      </c>
      <c r="D233" s="3" t="inlineStr">
        <is>
          <t>Servizi</t>
        </is>
      </c>
      <c r="E233" s="3" t="inlineStr">
        <is>
          <t>Informazione e comunicazione</t>
        </is>
      </c>
      <c r="F233" s="3" t="inlineStr">
        <is>
          <t>sotto 1,5%</t>
        </is>
      </c>
      <c r="G233" s="3" t="inlineStr">
        <is>
          <t>Fixed communication services</t>
        </is>
      </c>
      <c r="H233" s="3" t="inlineStr">
        <is>
          <t>si</t>
        </is>
      </c>
      <c r="I233" s="3" t="inlineStr">
        <is>
          <t>no</t>
        </is>
      </c>
    </row>
    <row r="234">
      <c r="A234" s="3" t="inlineStr">
        <is>
          <t>011100</t>
        </is>
      </c>
      <c r="B234" s="11" t="n">
        <v>0</v>
      </c>
      <c r="C234" s="11" t="n">
        <v>30.78</v>
      </c>
      <c r="D234" s="3" t="inlineStr">
        <is>
          <t>Alimentari</t>
        </is>
      </c>
      <c r="E234" s="3" t="inlineStr">
        <is>
          <t>Alimentari e bevande analcoliche</t>
        </is>
      </c>
      <c r="F234" s="3" t="inlineStr">
        <is>
          <t>sotto 1,5%</t>
        </is>
      </c>
      <c r="G234" s="3" t="inlineStr"/>
      <c r="H234" s="3" t="inlineStr"/>
      <c r="I234" s="3" t="inlineStr"/>
    </row>
    <row r="235">
      <c r="A235" s="3" t="inlineStr">
        <is>
          <t>071200</t>
        </is>
      </c>
      <c r="B235" s="11" t="n">
        <v>0</v>
      </c>
      <c r="C235" s="11" t="n">
        <v>2.21</v>
      </c>
      <c r="D235" s="3" t="inlineStr">
        <is>
          <t>Beni industriali</t>
        </is>
      </c>
      <c r="E235" s="3" t="inlineStr">
        <is>
          <t>Trasporti</t>
        </is>
      </c>
      <c r="F235" s="3" t="inlineStr">
        <is>
          <t>sotto 1,5%</t>
        </is>
      </c>
      <c r="G235" s="3" t="inlineStr">
        <is>
          <t>Motorcycles</t>
        </is>
      </c>
      <c r="H235" s="3" t="inlineStr">
        <is>
          <t>no</t>
        </is>
      </c>
      <c r="I235" s="3" t="inlineStr">
        <is>
          <t>no</t>
        </is>
      </c>
    </row>
    <row r="236">
      <c r="A236" s="3" t="inlineStr">
        <is>
          <t>083400</t>
        </is>
      </c>
      <c r="B236" s="11" t="n">
        <v>-0.0994</v>
      </c>
      <c r="C236" s="11" t="n">
        <v>2.83</v>
      </c>
      <c r="D236" s="3" t="inlineStr">
        <is>
          <t>Servizi</t>
        </is>
      </c>
      <c r="E236" s="3" t="inlineStr">
        <is>
          <t>Informazione e comunicazione</t>
        </is>
      </c>
      <c r="F236" s="3" t="inlineStr">
        <is>
          <t>sotto 1,5%</t>
        </is>
      </c>
      <c r="G236" s="3" t="inlineStr">
        <is>
          <t>Bundled telecommunication services</t>
        </is>
      </c>
      <c r="H236" s="3" t="inlineStr">
        <is>
          <t>si</t>
        </is>
      </c>
      <c r="I236" s="3" t="inlineStr">
        <is>
          <t>no</t>
        </is>
      </c>
    </row>
    <row r="237">
      <c r="A237" s="3" t="inlineStr">
        <is>
          <t>071100</t>
        </is>
      </c>
      <c r="B237" s="11" t="n">
        <v>-0.1</v>
      </c>
      <c r="C237" s="11" t="n">
        <v>38.37</v>
      </c>
      <c r="D237" s="3" t="inlineStr">
        <is>
          <t>Beni industriali</t>
        </is>
      </c>
      <c r="E237" s="3" t="inlineStr">
        <is>
          <t>Trasporti</t>
        </is>
      </c>
      <c r="F237" s="3" t="inlineStr">
        <is>
          <t>sotto 1,5%</t>
        </is>
      </c>
      <c r="G237" s="3" t="inlineStr">
        <is>
          <t>Motor cars</t>
        </is>
      </c>
      <c r="H237" s="3" t="inlineStr">
        <is>
          <t>no</t>
        </is>
      </c>
      <c r="I237" s="3" t="inlineStr">
        <is>
          <t>no</t>
        </is>
      </c>
    </row>
    <row r="238">
      <c r="A238" s="3" t="inlineStr">
        <is>
          <t>021100</t>
        </is>
      </c>
      <c r="B238" s="11" t="n">
        <v>-0.1984</v>
      </c>
      <c r="C238" s="11" t="n">
        <v>1.08</v>
      </c>
      <c r="D238" s="3" t="inlineStr">
        <is>
          <t>Alimentari</t>
        </is>
      </c>
      <c r="E238" s="3" t="inlineStr">
        <is>
          <t>Alcolici e tabacchi</t>
        </is>
      </c>
      <c r="F238" s="3" t="inlineStr">
        <is>
          <t>sotto 1,5%</t>
        </is>
      </c>
      <c r="G238" s="3" t="inlineStr"/>
      <c r="H238" s="3" t="inlineStr"/>
      <c r="I238" s="3" t="inlineStr"/>
    </row>
    <row r="239">
      <c r="A239" s="3" t="inlineStr">
        <is>
          <t>011400</t>
        </is>
      </c>
      <c r="B239" s="11" t="n">
        <v>-0.297</v>
      </c>
      <c r="C239" s="11" t="n">
        <v>25.46</v>
      </c>
      <c r="D239" s="3" t="inlineStr">
        <is>
          <t>Alimentari</t>
        </is>
      </c>
      <c r="E239" s="3" t="inlineStr">
        <is>
          <t>Alimentari e bevande analcoliche</t>
        </is>
      </c>
      <c r="F239" s="3" t="inlineStr">
        <is>
          <t>sotto 1,5%</t>
        </is>
      </c>
      <c r="G239" s="3" t="inlineStr"/>
      <c r="H239" s="3" t="inlineStr"/>
      <c r="I239" s="3" t="inlineStr"/>
    </row>
    <row r="240">
      <c r="A240" s="3" t="inlineStr">
        <is>
          <t>083500</t>
        </is>
      </c>
      <c r="B240" s="11" t="n">
        <v>-0.3006</v>
      </c>
      <c r="C240" s="11" t="n">
        <v>0.06</v>
      </c>
      <c r="D240" s="3" t="inlineStr">
        <is>
          <t>Servizi</t>
        </is>
      </c>
      <c r="E240" s="3" t="inlineStr">
        <is>
          <t>Informazione e comunicazione</t>
        </is>
      </c>
      <c r="F240" s="3" t="inlineStr">
        <is>
          <t>sotto 1,5%</t>
        </is>
      </c>
      <c r="G240" s="3" t="inlineStr">
        <is>
          <t>Repair and rental of information and communication equipment</t>
        </is>
      </c>
      <c r="H240" s="3" t="inlineStr">
        <is>
          <t>no</t>
        </is>
      </c>
      <c r="I240" s="3" t="inlineStr">
        <is>
          <t>no</t>
        </is>
      </c>
    </row>
    <row r="241">
      <c r="A241" s="3" t="inlineStr">
        <is>
          <t>031300</t>
        </is>
      </c>
      <c r="B241" s="11" t="n">
        <v>-0.3933</v>
      </c>
      <c r="C241" s="11" t="n">
        <v>1.74</v>
      </c>
      <c r="D241" s="3" t="inlineStr">
        <is>
          <t>Beni industriali</t>
        </is>
      </c>
      <c r="E241" s="3" t="inlineStr">
        <is>
          <t>Abbigliamento e calzature</t>
        </is>
      </c>
      <c r="F241" s="3" t="inlineStr">
        <is>
          <t>sotto 1,5%</t>
        </is>
      </c>
      <c r="G241" s="3" t="inlineStr">
        <is>
          <t>Other articles of clothing and clothing accessories</t>
        </is>
      </c>
      <c r="H241" s="3" t="inlineStr">
        <is>
          <t>no</t>
        </is>
      </c>
      <c r="I241" s="3" t="inlineStr">
        <is>
          <t>no</t>
        </is>
      </c>
    </row>
    <row r="242">
      <c r="A242" s="3" t="inlineStr">
        <is>
          <t>132900</t>
        </is>
      </c>
      <c r="B242" s="11" t="n">
        <v>-0.3976</v>
      </c>
      <c r="C242" s="11" t="n">
        <v>8.57</v>
      </c>
      <c r="D242" s="3" t="inlineStr">
        <is>
          <t>Beni industriali</t>
        </is>
      </c>
      <c r="E242" s="3" t="inlineStr">
        <is>
          <t>Cura della persona e altri</t>
        </is>
      </c>
      <c r="F242" s="3" t="inlineStr">
        <is>
          <t>sotto 1,5%</t>
        </is>
      </c>
      <c r="G242" s="3" t="inlineStr">
        <is>
          <t>Other personal effects n.e.c.</t>
        </is>
      </c>
      <c r="H242" s="3" t="inlineStr">
        <is>
          <t>no</t>
        </is>
      </c>
      <c r="I242" s="3" t="inlineStr">
        <is>
          <t>si</t>
        </is>
      </c>
    </row>
    <row r="243">
      <c r="A243" s="3" t="inlineStr">
        <is>
          <t>071300</t>
        </is>
      </c>
      <c r="B243" s="11" t="n">
        <v>-0.503</v>
      </c>
      <c r="C243" s="11" t="n">
        <v>0.6899999999999999</v>
      </c>
      <c r="D243" s="3" t="inlineStr">
        <is>
          <t>Beni industriali</t>
        </is>
      </c>
      <c r="E243" s="3" t="inlineStr">
        <is>
          <t>Trasporti</t>
        </is>
      </c>
      <c r="F243" s="3" t="inlineStr">
        <is>
          <t>sotto 1,5%</t>
        </is>
      </c>
      <c r="G243" s="3" t="inlineStr">
        <is>
          <t>Bicycles</t>
        </is>
      </c>
      <c r="H243" s="3" t="inlineStr">
        <is>
          <t>no</t>
        </is>
      </c>
      <c r="I243" s="3" t="inlineStr">
        <is>
          <t>no</t>
        </is>
      </c>
    </row>
    <row r="244">
      <c r="A244" s="3" t="inlineStr">
        <is>
          <t>131100</t>
        </is>
      </c>
      <c r="B244" s="11" t="n">
        <v>-0.6889999999999999</v>
      </c>
      <c r="C244" s="11" t="n">
        <v>0.37</v>
      </c>
      <c r="D244" s="3" t="inlineStr">
        <is>
          <t>Beni industriali</t>
        </is>
      </c>
      <c r="E244" s="3" t="inlineStr">
        <is>
          <t>Cura della persona e altri</t>
        </is>
      </c>
      <c r="F244" s="3" t="inlineStr">
        <is>
          <t>sotto 1,5%</t>
        </is>
      </c>
      <c r="G244" s="3" t="inlineStr">
        <is>
          <t>Electric appliances for personal care</t>
        </is>
      </c>
      <c r="H244" s="3" t="inlineStr">
        <is>
          <t>no</t>
        </is>
      </c>
      <c r="I244" s="3" t="inlineStr">
        <is>
          <t>no</t>
        </is>
      </c>
    </row>
    <row r="245">
      <c r="A245" s="3" t="inlineStr">
        <is>
          <t>097100</t>
        </is>
      </c>
      <c r="B245" s="11" t="n">
        <v>-0.6938</v>
      </c>
      <c r="C245" s="11" t="n">
        <v>3.28</v>
      </c>
      <c r="D245" s="3" t="inlineStr">
        <is>
          <t>Beni industriali</t>
        </is>
      </c>
      <c r="E245" s="3" t="inlineStr">
        <is>
          <t>Ricreazione, sport e cultura</t>
        </is>
      </c>
      <c r="F245" s="3" t="inlineStr">
        <is>
          <t>sotto 1,5%</t>
        </is>
      </c>
      <c r="G245" s="3" t="inlineStr">
        <is>
          <t>Books</t>
        </is>
      </c>
      <c r="H245" s="3" t="inlineStr">
        <is>
          <t>no</t>
        </is>
      </c>
      <c r="I245" s="3" t="inlineStr">
        <is>
          <t>no</t>
        </is>
      </c>
    </row>
    <row r="246">
      <c r="A246" s="3" t="inlineStr">
        <is>
          <t>055100</t>
        </is>
      </c>
      <c r="B246" s="11" t="n">
        <v>-0.6993</v>
      </c>
      <c r="C246" s="11" t="n">
        <v>0.27</v>
      </c>
      <c r="D246" s="3" t="inlineStr">
        <is>
          <t>Beni industriali</t>
        </is>
      </c>
      <c r="E246" s="3" t="inlineStr">
        <is>
          <t>Mobili e articoli per la casa</t>
        </is>
      </c>
      <c r="F246" s="3" t="inlineStr">
        <is>
          <t>sotto 1,5%</t>
        </is>
      </c>
      <c r="G246" s="3" t="inlineStr">
        <is>
          <t>Motorized tools and equipment</t>
        </is>
      </c>
      <c r="H246" s="3" t="inlineStr">
        <is>
          <t>no</t>
        </is>
      </c>
      <c r="I246" s="3" t="inlineStr">
        <is>
          <t>no</t>
        </is>
      </c>
    </row>
    <row r="247">
      <c r="A247" s="3" t="inlineStr">
        <is>
          <t>131200</t>
        </is>
      </c>
      <c r="B247" s="11" t="n">
        <v>-0.7014</v>
      </c>
      <c r="C247" s="11" t="n">
        <v>12.3</v>
      </c>
      <c r="D247" s="3" t="inlineStr">
        <is>
          <t>Beni industriali</t>
        </is>
      </c>
      <c r="E247" s="3" t="inlineStr">
        <is>
          <t>Cura della persona e altri</t>
        </is>
      </c>
      <c r="F247" s="3" t="inlineStr">
        <is>
          <t>sotto 1,5%</t>
        </is>
      </c>
      <c r="G247" s="3" t="inlineStr">
        <is>
          <t>Other appliances, articles and products for personal care</t>
        </is>
      </c>
      <c r="H247" s="3" t="inlineStr">
        <is>
          <t>no</t>
        </is>
      </c>
      <c r="I247" s="3" t="inlineStr">
        <is>
          <t>si</t>
        </is>
      </c>
    </row>
    <row r="248">
      <c r="A248" s="3" t="inlineStr">
        <is>
          <t>021300</t>
        </is>
      </c>
      <c r="B248" s="11" t="n">
        <v>-0.9026999999999999</v>
      </c>
      <c r="C248" s="11" t="n">
        <v>2.94</v>
      </c>
      <c r="D248" s="3" t="inlineStr">
        <is>
          <t>Alimentari</t>
        </is>
      </c>
      <c r="E248" s="3" t="inlineStr">
        <is>
          <t>Alcolici e tabacchi</t>
        </is>
      </c>
      <c r="F248" s="3" t="inlineStr">
        <is>
          <t>sotto 1,5%</t>
        </is>
      </c>
      <c r="G248" s="3" t="inlineStr"/>
      <c r="H248" s="3" t="inlineStr"/>
      <c r="I248" s="3" t="inlineStr"/>
    </row>
    <row r="249">
      <c r="A249" s="3" t="inlineStr">
        <is>
          <t>021900</t>
        </is>
      </c>
      <c r="B249" s="11" t="n">
        <v>-0.9911</v>
      </c>
      <c r="C249" s="11" t="n">
        <v>0.18</v>
      </c>
      <c r="D249" s="3" t="inlineStr">
        <is>
          <t>Alimentari</t>
        </is>
      </c>
      <c r="E249" s="3" t="inlineStr">
        <is>
          <t>Alcolici e tabacchi</t>
        </is>
      </c>
      <c r="F249" s="3" t="inlineStr">
        <is>
          <t>sotto 1,5%</t>
        </is>
      </c>
      <c r="G249" s="3" t="inlineStr"/>
      <c r="H249" s="3" t="inlineStr"/>
      <c r="I249" s="3" t="inlineStr"/>
    </row>
    <row r="250">
      <c r="A250" s="3" t="inlineStr">
        <is>
          <t>011800</t>
        </is>
      </c>
      <c r="B250" s="11" t="n">
        <v>-0.995</v>
      </c>
      <c r="C250" s="11" t="n">
        <v>8.07</v>
      </c>
      <c r="D250" s="3" t="inlineStr">
        <is>
          <t>Alimentari</t>
        </is>
      </c>
      <c r="E250" s="3" t="inlineStr">
        <is>
          <t>Alimentari e bevande analcoliche</t>
        </is>
      </c>
      <c r="F250" s="3" t="inlineStr">
        <is>
          <t>sotto 1,5%</t>
        </is>
      </c>
      <c r="G250" s="3" t="inlineStr"/>
      <c r="H250" s="3" t="inlineStr"/>
      <c r="I250" s="3" t="inlineStr"/>
    </row>
    <row r="251">
      <c r="A251" s="3" t="inlineStr">
        <is>
          <t>056100</t>
        </is>
      </c>
      <c r="B251" s="11" t="n">
        <v>-1.1022</v>
      </c>
      <c r="C251" s="11" t="n">
        <v>11.97</v>
      </c>
      <c r="D251" s="3" t="inlineStr">
        <is>
          <t>Beni industriali</t>
        </is>
      </c>
      <c r="E251" s="3" t="inlineStr">
        <is>
          <t>Mobili e articoli per la casa</t>
        </is>
      </c>
      <c r="F251" s="3" t="inlineStr">
        <is>
          <t>sotto 1,5%</t>
        </is>
      </c>
      <c r="G251" s="3" t="inlineStr">
        <is>
          <t>Non-durable household goods</t>
        </is>
      </c>
      <c r="H251" s="3" t="inlineStr">
        <is>
          <t>no</t>
        </is>
      </c>
      <c r="I251" s="3" t="inlineStr">
        <is>
          <t>si</t>
        </is>
      </c>
    </row>
    <row r="252">
      <c r="A252" s="3" t="inlineStr">
        <is>
          <t>032100</t>
        </is>
      </c>
      <c r="B252" s="11" t="n">
        <v>-1.4577</v>
      </c>
      <c r="C252" s="11" t="n">
        <v>10.12</v>
      </c>
      <c r="D252" s="3" t="inlineStr">
        <is>
          <t>Beni industriali</t>
        </is>
      </c>
      <c r="E252" s="3" t="inlineStr">
        <is>
          <t>Abbigliamento e calzature</t>
        </is>
      </c>
      <c r="F252" s="3" t="inlineStr">
        <is>
          <t>sotto 1,5%</t>
        </is>
      </c>
      <c r="G252" s="3" t="inlineStr">
        <is>
          <t>Shoes and other footwear</t>
        </is>
      </c>
      <c r="H252" s="3" t="inlineStr">
        <is>
          <t>no</t>
        </is>
      </c>
      <c r="I252" s="3" t="inlineStr">
        <is>
          <t>no</t>
        </is>
      </c>
    </row>
    <row r="253">
      <c r="A253" s="3" t="inlineStr">
        <is>
          <t>053100</t>
        </is>
      </c>
      <c r="B253" s="11" t="n">
        <v>-1.5015</v>
      </c>
      <c r="C253" s="11" t="n">
        <v>6.23</v>
      </c>
      <c r="D253" s="3" t="inlineStr">
        <is>
          <t>Beni industriali</t>
        </is>
      </c>
      <c r="E253" s="3" t="inlineStr">
        <is>
          <t>Mobili e articoli per la casa</t>
        </is>
      </c>
      <c r="F253" s="3" t="inlineStr">
        <is>
          <t>sotto 1,5%</t>
        </is>
      </c>
      <c r="G253" s="3" t="inlineStr">
        <is>
          <t>Major electric and other household appliances</t>
        </is>
      </c>
      <c r="H253" s="3" t="inlineStr">
        <is>
          <t>no</t>
        </is>
      </c>
      <c r="I253" s="3" t="inlineStr">
        <is>
          <t>si</t>
        </is>
      </c>
    </row>
    <row r="254">
      <c r="A254" s="3" t="inlineStr">
        <is>
          <t>092200</t>
        </is>
      </c>
      <c r="B254" s="11" t="n">
        <v>-2.1934</v>
      </c>
      <c r="C254" s="11" t="n">
        <v>2.22</v>
      </c>
      <c r="D254" s="3" t="inlineStr">
        <is>
          <t>Beni industriali</t>
        </is>
      </c>
      <c r="E254" s="3" t="inlineStr">
        <is>
          <t>Ricreazione, sport e cultura</t>
        </is>
      </c>
      <c r="F254" s="3" t="inlineStr">
        <is>
          <t>sotto 1,5%</t>
        </is>
      </c>
      <c r="G254" s="3" t="inlineStr">
        <is>
          <t>Sporting, camping and open-air recreation equipment</t>
        </is>
      </c>
      <c r="H254" s="3" t="inlineStr">
        <is>
          <t>no</t>
        </is>
      </c>
      <c r="I254" s="3" t="inlineStr">
        <is>
          <t>no</t>
        </is>
      </c>
    </row>
    <row r="255">
      <c r="A255" s="3" t="inlineStr">
        <is>
          <t>021200</t>
        </is>
      </c>
      <c r="B255" s="11" t="n">
        <v>-2.2931</v>
      </c>
      <c r="C255" s="11" t="n">
        <v>4.96</v>
      </c>
      <c r="D255" s="3" t="inlineStr">
        <is>
          <t>Alimentari</t>
        </is>
      </c>
      <c r="E255" s="3" t="inlineStr">
        <is>
          <t>Alcolici e tabacchi</t>
        </is>
      </c>
      <c r="F255" s="3" t="inlineStr">
        <is>
          <t>sotto 1,5%</t>
        </is>
      </c>
      <c r="G255" s="3" t="inlineStr"/>
      <c r="H255" s="3" t="inlineStr"/>
      <c r="I255" s="3" t="inlineStr"/>
    </row>
    <row r="256">
      <c r="A256" s="3" t="inlineStr">
        <is>
          <t>012300</t>
        </is>
      </c>
      <c r="B256" s="11" t="n">
        <v>-2.4975</v>
      </c>
      <c r="C256" s="11" t="n">
        <v>0.92</v>
      </c>
      <c r="D256" s="3" t="inlineStr">
        <is>
          <t>Alimentari</t>
        </is>
      </c>
      <c r="E256" s="3" t="inlineStr">
        <is>
          <t>Alimentari e bevande analcoliche</t>
        </is>
      </c>
      <c r="F256" s="3" t="inlineStr">
        <is>
          <t>sotto 1,5%</t>
        </is>
      </c>
      <c r="G256" s="3" t="inlineStr"/>
      <c r="H256" s="3" t="inlineStr"/>
      <c r="I256" s="3" t="inlineStr"/>
    </row>
    <row r="257">
      <c r="A257" s="3" t="inlineStr">
        <is>
          <t>053200</t>
        </is>
      </c>
      <c r="B257" s="11" t="n">
        <v>-2.5176</v>
      </c>
      <c r="C257" s="11" t="n">
        <v>2.43</v>
      </c>
      <c r="D257" s="3" t="inlineStr">
        <is>
          <t>Beni industriali</t>
        </is>
      </c>
      <c r="E257" s="3" t="inlineStr">
        <is>
          <t>Mobili e articoli per la casa</t>
        </is>
      </c>
      <c r="F257" s="3" t="inlineStr">
        <is>
          <t>sotto 1,5%</t>
        </is>
      </c>
      <c r="G257" s="3" t="inlineStr">
        <is>
          <t>Small household appliances</t>
        </is>
      </c>
      <c r="H257" s="3" t="inlineStr">
        <is>
          <t>no</t>
        </is>
      </c>
      <c r="I257" s="3" t="inlineStr">
        <is>
          <t>si</t>
        </is>
      </c>
    </row>
    <row r="258">
      <c r="A258" s="3" t="inlineStr">
        <is>
          <t>081400</t>
        </is>
      </c>
      <c r="B258" s="11" t="n">
        <v>-2.8141</v>
      </c>
      <c r="C258" s="11" t="n">
        <v>3.01</v>
      </c>
      <c r="D258" s="3" t="inlineStr">
        <is>
          <t>Beni industriali</t>
        </is>
      </c>
      <c r="E258" s="3" t="inlineStr">
        <is>
          <t>Informazione e comunicazione</t>
        </is>
      </c>
      <c r="F258" s="3" t="inlineStr">
        <is>
          <t>sotto 1,5%</t>
        </is>
      </c>
      <c r="G258" s="3" t="inlineStr">
        <is>
          <t>Equipment for the reception, recording and reproduction of sound and vision</t>
        </is>
      </c>
      <c r="H258" s="3" t="inlineStr">
        <is>
          <t>no</t>
        </is>
      </c>
      <c r="I258" s="3" t="inlineStr">
        <is>
          <t>no</t>
        </is>
      </c>
    </row>
    <row r="259">
      <c r="A259" s="3" t="inlineStr">
        <is>
          <t>083200</t>
        </is>
      </c>
      <c r="B259" s="11" t="n">
        <v>-3.0181</v>
      </c>
      <c r="C259" s="11" t="n">
        <v>3.35</v>
      </c>
      <c r="D259" s="3" t="inlineStr">
        <is>
          <t>Servizi</t>
        </is>
      </c>
      <c r="E259" s="3" t="inlineStr">
        <is>
          <t>Informazione e comunicazione</t>
        </is>
      </c>
      <c r="F259" s="3" t="inlineStr">
        <is>
          <t>sotto 1,5%</t>
        </is>
      </c>
      <c r="G259" s="3" t="inlineStr">
        <is>
          <t>Mobile communication services</t>
        </is>
      </c>
      <c r="H259" s="3" t="inlineStr">
        <is>
          <t>si</t>
        </is>
      </c>
      <c r="I259" s="3" t="inlineStr">
        <is>
          <t>no</t>
        </is>
      </c>
    </row>
    <row r="260">
      <c r="A260" s="3" t="inlineStr">
        <is>
          <t>121300</t>
        </is>
      </c>
      <c r="B260" s="11" t="n">
        <v>-3.9594</v>
      </c>
      <c r="C260" s="11" t="n">
        <v>0.41</v>
      </c>
      <c r="D260" s="3" t="inlineStr">
        <is>
          <t>Servizi</t>
        </is>
      </c>
      <c r="E260" s="3" t="inlineStr">
        <is>
          <t>Assicurazioni e servizi finanziari</t>
        </is>
      </c>
      <c r="F260" s="3" t="inlineStr">
        <is>
          <t>sotto 1,5%</t>
        </is>
      </c>
      <c r="G260" s="3" t="inlineStr">
        <is>
          <t>Insurance connected with dwellings</t>
        </is>
      </c>
      <c r="H260" s="3" t="inlineStr">
        <is>
          <t>si</t>
        </is>
      </c>
      <c r="I260" s="3" t="inlineStr">
        <is>
          <t>no</t>
        </is>
      </c>
    </row>
    <row r="261">
      <c r="A261" s="3" t="inlineStr">
        <is>
          <t>081200</t>
        </is>
      </c>
      <c r="B261" s="11" t="n">
        <v>-4.6891</v>
      </c>
      <c r="C261" s="11" t="n">
        <v>4.81</v>
      </c>
      <c r="D261" s="3" t="inlineStr">
        <is>
          <t>Beni industriali</t>
        </is>
      </c>
      <c r="E261" s="3" t="inlineStr">
        <is>
          <t>Informazione e comunicazione</t>
        </is>
      </c>
      <c r="F261" s="3" t="inlineStr">
        <is>
          <t>sotto 1,5%</t>
        </is>
      </c>
      <c r="G261" s="3" t="inlineStr">
        <is>
          <t>Mobile telephone equipment</t>
        </is>
      </c>
      <c r="H261" s="3" t="inlineStr">
        <is>
          <t>no</t>
        </is>
      </c>
      <c r="I261" s="3" t="inlineStr">
        <is>
          <t>no</t>
        </is>
      </c>
    </row>
    <row r="262">
      <c r="A262" s="3" t="inlineStr">
        <is>
          <t>073300</t>
        </is>
      </c>
      <c r="B262" s="11" t="n">
        <v>-6.079</v>
      </c>
      <c r="C262" s="11" t="n">
        <v>9.07</v>
      </c>
      <c r="D262" s="3" t="inlineStr">
        <is>
          <t>Servizi</t>
        </is>
      </c>
      <c r="E262" s="3" t="inlineStr">
        <is>
          <t>Trasporti</t>
        </is>
      </c>
      <c r="F262" s="3" t="inlineStr">
        <is>
          <t>sotto 1,5%</t>
        </is>
      </c>
      <c r="G262" s="3" t="inlineStr">
        <is>
          <t>Passenger transport by air</t>
        </is>
      </c>
      <c r="H262" s="3" t="inlineStr">
        <is>
          <t>no</t>
        </is>
      </c>
      <c r="I262" s="3" t="inlineStr">
        <is>
          <t>no</t>
        </is>
      </c>
    </row>
    <row r="263">
      <c r="A263" s="3" t="inlineStr">
        <is>
          <t>011500</t>
        </is>
      </c>
      <c r="B263" s="11" t="n">
        <v>-6.8789</v>
      </c>
      <c r="C263" s="11" t="n">
        <v>6.56</v>
      </c>
      <c r="D263" s="3" t="inlineStr">
        <is>
          <t>Alimentari</t>
        </is>
      </c>
      <c r="E263" s="3" t="inlineStr">
        <is>
          <t>Alimentari e bevande analcoliche</t>
        </is>
      </c>
      <c r="F263" s="3" t="inlineStr">
        <is>
          <t>sotto 1,5%</t>
        </is>
      </c>
      <c r="G263" s="3" t="inlineStr"/>
      <c r="H263" s="3" t="inlineStr"/>
      <c r="I263" s="3" t="inlineStr"/>
    </row>
    <row r="266">
      <c r="A266" s="13" t="inlineStr">
        <is>
          <t>Germania - voci elementari a 2026-09, ordinate per inflazione annua</t>
        </is>
      </c>
    </row>
    <row r="267">
      <c r="A267" s="5" t="inlineStr">
        <is>
          <t>Voce</t>
        </is>
      </c>
      <c r="B267" s="5" t="inlineStr">
        <is>
          <t>a/a %</t>
        </is>
      </c>
      <c r="C267" s="5" t="inlineStr">
        <is>
          <t>peso per mille</t>
        </is>
      </c>
      <c r="D267" s="5" t="inlineStr">
        <is>
          <t>macro</t>
        </is>
      </c>
      <c r="E267" s="5" t="inlineStr">
        <is>
          <t>divisione</t>
        </is>
      </c>
      <c r="F267" s="5" t="inlineStr">
        <is>
          <t>fascia</t>
        </is>
      </c>
      <c r="G267" s="5" t="inlineStr">
        <is>
          <t>descrizione (BCE)</t>
        </is>
      </c>
      <c r="H267" s="5" t="inlineStr">
        <is>
          <t>domestica</t>
        </is>
      </c>
      <c r="I267" s="5" t="inlineStr">
        <is>
          <t>supercore</t>
        </is>
      </c>
    </row>
    <row r="268">
      <c r="A268" s="3" t="inlineStr">
        <is>
          <t>081500</t>
        </is>
      </c>
      <c r="B268" s="11" t="n">
        <v>42.8514</v>
      </c>
      <c r="C268" s="11" t="n">
        <v>0.29</v>
      </c>
      <c r="D268" s="3" t="inlineStr">
        <is>
          <t>Beni industriali</t>
        </is>
      </c>
      <c r="E268" s="3" t="inlineStr">
        <is>
          <t>Informazione e comunicazione</t>
        </is>
      </c>
      <c r="F268" s="3" t="inlineStr">
        <is>
          <t>oltre 5%</t>
        </is>
      </c>
      <c r="G268" s="3" t="inlineStr">
        <is>
          <t>Unrecorded recording media</t>
        </is>
      </c>
      <c r="H268" s="3" t="inlineStr">
        <is>
          <t>no</t>
        </is>
      </c>
      <c r="I268" s="3" t="inlineStr">
        <is>
          <t>no</t>
        </is>
      </c>
    </row>
    <row r="269">
      <c r="A269" s="3" t="inlineStr">
        <is>
          <t>045300</t>
        </is>
      </c>
      <c r="B269" s="11" t="n">
        <v>41.0731</v>
      </c>
      <c r="C269" s="11" t="n">
        <v>2.83</v>
      </c>
      <c r="D269" s="3" t="inlineStr">
        <is>
          <t>Energia</t>
        </is>
      </c>
      <c r="E269" s="3" t="inlineStr">
        <is>
          <t>Abitazione e utenze</t>
        </is>
      </c>
      <c r="F269" s="3" t="inlineStr">
        <is>
          <t>oltre 5%</t>
        </is>
      </c>
      <c r="G269" s="3" t="inlineStr"/>
      <c r="H269" s="3" t="inlineStr"/>
      <c r="I269" s="3" t="inlineStr"/>
    </row>
    <row r="270">
      <c r="A270" s="3" t="inlineStr">
        <is>
          <t>072200</t>
        </is>
      </c>
      <c r="B270" s="11" t="n">
        <v>36.7967</v>
      </c>
      <c r="C270" s="11" t="n">
        <v>34.98</v>
      </c>
      <c r="D270" s="3" t="inlineStr">
        <is>
          <t>Energia</t>
        </is>
      </c>
      <c r="E270" s="3" t="inlineStr">
        <is>
          <t>Trasporti</t>
        </is>
      </c>
      <c r="F270" s="3" t="inlineStr">
        <is>
          <t>oltre 5%</t>
        </is>
      </c>
      <c r="G270" s="3" t="inlineStr"/>
      <c r="H270" s="3" t="inlineStr"/>
      <c r="I270" s="3" t="inlineStr"/>
    </row>
    <row r="271">
      <c r="A271" s="3" t="inlineStr">
        <is>
          <t>061100</t>
        </is>
      </c>
      <c r="B271" s="11" t="n">
        <v>21.3095</v>
      </c>
      <c r="C271" s="11" t="n">
        <v>11.02</v>
      </c>
      <c r="D271" s="3" t="inlineStr">
        <is>
          <t>Beni industriali</t>
        </is>
      </c>
      <c r="E271" s="3" t="inlineStr">
        <is>
          <t>Salute</t>
        </is>
      </c>
      <c r="F271" s="3" t="inlineStr">
        <is>
          <t>oltre 5%</t>
        </is>
      </c>
      <c r="G271" s="3" t="inlineStr">
        <is>
          <t>Medicines</t>
        </is>
      </c>
      <c r="H271" s="3" t="inlineStr">
        <is>
          <t>no</t>
        </is>
      </c>
      <c r="I271" s="3" t="inlineStr">
        <is>
          <t>no</t>
        </is>
      </c>
    </row>
    <row r="272">
      <c r="A272" s="3" t="inlineStr">
        <is>
          <t>045400</t>
        </is>
      </c>
      <c r="B272" s="11" t="n">
        <v>10.3692</v>
      </c>
      <c r="C272" s="11" t="n">
        <v>0.79</v>
      </c>
      <c r="D272" s="3" t="inlineStr">
        <is>
          <t>Energia</t>
        </is>
      </c>
      <c r="E272" s="3" t="inlineStr">
        <is>
          <t>Abitazione e utenze</t>
        </is>
      </c>
      <c r="F272" s="3" t="inlineStr">
        <is>
          <t>oltre 5%</t>
        </is>
      </c>
      <c r="G272" s="3" t="inlineStr"/>
      <c r="H272" s="3" t="inlineStr"/>
      <c r="I272" s="3" t="inlineStr"/>
    </row>
    <row r="273">
      <c r="A273" s="3" t="inlineStr">
        <is>
          <t>081200</t>
        </is>
      </c>
      <c r="B273" s="11" t="n">
        <v>9.8842</v>
      </c>
      <c r="C273" s="11" t="n">
        <v>2.15</v>
      </c>
      <c r="D273" s="3" t="inlineStr">
        <is>
          <t>Beni industriali</t>
        </is>
      </c>
      <c r="E273" s="3" t="inlineStr">
        <is>
          <t>Informazione e comunicazione</t>
        </is>
      </c>
      <c r="F273" s="3" t="inlineStr">
        <is>
          <t>oltre 5%</t>
        </is>
      </c>
      <c r="G273" s="3" t="inlineStr">
        <is>
          <t>Mobile telephone equipment</t>
        </is>
      </c>
      <c r="H273" s="3" t="inlineStr">
        <is>
          <t>no</t>
        </is>
      </c>
      <c r="I273" s="3" t="inlineStr">
        <is>
          <t>no</t>
        </is>
      </c>
    </row>
    <row r="274">
      <c r="A274" s="3" t="inlineStr">
        <is>
          <t>081300</t>
        </is>
      </c>
      <c r="B274" s="11" t="n">
        <v>9.6387</v>
      </c>
      <c r="C274" s="11" t="n">
        <v>5.96</v>
      </c>
      <c r="D274" s="3" t="inlineStr">
        <is>
          <t>Beni industriali</t>
        </is>
      </c>
      <c r="E274" s="3" t="inlineStr">
        <is>
          <t>Informazione e comunicazione</t>
        </is>
      </c>
      <c r="F274" s="3" t="inlineStr">
        <is>
          <t>oltre 5%</t>
        </is>
      </c>
      <c r="G274" s="3" t="inlineStr">
        <is>
          <t>Information processing equipment</t>
        </is>
      </c>
      <c r="H274" s="3" t="inlineStr">
        <is>
          <t>no</t>
        </is>
      </c>
      <c r="I274" s="3" t="inlineStr">
        <is>
          <t>no</t>
        </is>
      </c>
    </row>
    <row r="275">
      <c r="A275" s="3" t="inlineStr">
        <is>
          <t>011700</t>
        </is>
      </c>
      <c r="B275" s="11" t="n">
        <v>9.029</v>
      </c>
      <c r="C275" s="11" t="n">
        <v>15.21</v>
      </c>
      <c r="D275" s="3" t="inlineStr">
        <is>
          <t>Alimentari</t>
        </is>
      </c>
      <c r="E275" s="3" t="inlineStr">
        <is>
          <t>Alimentari e bevande analcoliche</t>
        </is>
      </c>
      <c r="F275" s="3" t="inlineStr">
        <is>
          <t>oltre 5%</t>
        </is>
      </c>
      <c r="G275" s="3" t="inlineStr"/>
      <c r="H275" s="3" t="inlineStr"/>
      <c r="I275" s="3" t="inlineStr"/>
    </row>
    <row r="276">
      <c r="A276" s="3" t="inlineStr">
        <is>
          <t>132100</t>
        </is>
      </c>
      <c r="B276" s="11" t="n">
        <v>8.861000000000001</v>
      </c>
      <c r="C276" s="11" t="n">
        <v>3.91</v>
      </c>
      <c r="D276" s="3" t="inlineStr">
        <is>
          <t>Beni industriali</t>
        </is>
      </c>
      <c r="E276" s="3" t="inlineStr">
        <is>
          <t>Cura della persona e altri</t>
        </is>
      </c>
      <c r="F276" s="3" t="inlineStr">
        <is>
          <t>oltre 5%</t>
        </is>
      </c>
      <c r="G276" s="3" t="inlineStr">
        <is>
          <t>Jewellery and watches</t>
        </is>
      </c>
      <c r="H276" s="3" t="inlineStr">
        <is>
          <t>no</t>
        </is>
      </c>
      <c r="I276" s="3" t="inlineStr">
        <is>
          <t>si</t>
        </is>
      </c>
    </row>
    <row r="277">
      <c r="A277" s="3" t="inlineStr">
        <is>
          <t>121200</t>
        </is>
      </c>
      <c r="B277" s="11" t="n">
        <v>8.6957</v>
      </c>
      <c r="C277" s="11" t="n">
        <v>4.54</v>
      </c>
      <c r="D277" s="3" t="inlineStr">
        <is>
          <t>Servizi</t>
        </is>
      </c>
      <c r="E277" s="3" t="inlineStr">
        <is>
          <t>Assicurazioni e servizi finanziari</t>
        </is>
      </c>
      <c r="F277" s="3" t="inlineStr">
        <is>
          <t>oltre 5%</t>
        </is>
      </c>
      <c r="G277" s="3" t="inlineStr">
        <is>
          <t>Insurance connected with health</t>
        </is>
      </c>
      <c r="H277" s="3" t="inlineStr">
        <is>
          <t>si</t>
        </is>
      </c>
      <c r="I277" s="3" t="inlineStr">
        <is>
          <t>no</t>
        </is>
      </c>
    </row>
    <row r="278">
      <c r="A278" s="3" t="inlineStr">
        <is>
          <t>094300</t>
        </is>
      </c>
      <c r="B278" s="11" t="n">
        <v>8.1988</v>
      </c>
      <c r="C278" s="11" t="n">
        <v>0.24</v>
      </c>
      <c r="D278" s="3" t="inlineStr">
        <is>
          <t>Servizi</t>
        </is>
      </c>
      <c r="E278" s="3" t="inlineStr">
        <is>
          <t>Ricreazione, sport e cultura</t>
        </is>
      </c>
      <c r="F278" s="3" t="inlineStr">
        <is>
          <t>oltre 5%</t>
        </is>
      </c>
      <c r="G278" s="3" t="inlineStr">
        <is>
          <t>Hire and repair of games, toys and hobby-related articles</t>
        </is>
      </c>
      <c r="H278" s="3" t="inlineStr">
        <is>
          <t>no</t>
        </is>
      </c>
      <c r="I278" s="3" t="inlineStr">
        <is>
          <t>no</t>
        </is>
      </c>
    </row>
    <row r="279">
      <c r="A279" s="3" t="inlineStr">
        <is>
          <t>081900</t>
        </is>
      </c>
      <c r="B279" s="11" t="n">
        <v>7.0201</v>
      </c>
      <c r="C279" s="11" t="n">
        <v>2.43</v>
      </c>
      <c r="D279" s="3" t="inlineStr">
        <is>
          <t>Beni industriali</t>
        </is>
      </c>
      <c r="E279" s="3" t="inlineStr">
        <is>
          <t>Informazione e comunicazione</t>
        </is>
      </c>
      <c r="F279" s="3" t="inlineStr">
        <is>
          <t>oltre 5%</t>
        </is>
      </c>
      <c r="G279" s="3" t="inlineStr">
        <is>
          <t>Other information and communication equipment and accessories</t>
        </is>
      </c>
      <c r="H279" s="3" t="inlineStr">
        <is>
          <t>no</t>
        </is>
      </c>
      <c r="I279" s="3" t="inlineStr">
        <is>
          <t>no</t>
        </is>
      </c>
    </row>
    <row r="280">
      <c r="A280" s="3" t="inlineStr">
        <is>
          <t>063200</t>
        </is>
      </c>
      <c r="B280" s="11" t="n">
        <v>6.9864</v>
      </c>
      <c r="C280" s="11" t="n">
        <v>16.36</v>
      </c>
      <c r="D280" s="3" t="inlineStr">
        <is>
          <t>Servizi</t>
        </is>
      </c>
      <c r="E280" s="3" t="inlineStr">
        <is>
          <t>Salute</t>
        </is>
      </c>
      <c r="F280" s="3" t="inlineStr">
        <is>
          <t>oltre 5%</t>
        </is>
      </c>
      <c r="G280" s="3" t="inlineStr">
        <is>
          <t>Inpatient long-term care services</t>
        </is>
      </c>
      <c r="H280" s="3" t="inlineStr">
        <is>
          <t>si</t>
        </is>
      </c>
      <c r="I280" s="3" t="inlineStr">
        <is>
          <t>no</t>
        </is>
      </c>
    </row>
    <row r="281">
      <c r="A281" s="3" t="inlineStr">
        <is>
          <t>073300</t>
        </is>
      </c>
      <c r="B281" s="11" t="n">
        <v>6.9725</v>
      </c>
      <c r="C281" s="11" t="n">
        <v>8.460000000000001</v>
      </c>
      <c r="D281" s="3" t="inlineStr">
        <is>
          <t>Servizi</t>
        </is>
      </c>
      <c r="E281" s="3" t="inlineStr">
        <is>
          <t>Trasporti</t>
        </is>
      </c>
      <c r="F281" s="3" t="inlineStr">
        <is>
          <t>oltre 5%</t>
        </is>
      </c>
      <c r="G281" s="3" t="inlineStr">
        <is>
          <t>Passenger transport by air</t>
        </is>
      </c>
      <c r="H281" s="3" t="inlineStr">
        <is>
          <t>no</t>
        </is>
      </c>
      <c r="I281" s="3" t="inlineStr">
        <is>
          <t>no</t>
        </is>
      </c>
    </row>
    <row r="282">
      <c r="A282" s="3" t="inlineStr">
        <is>
          <t>073500</t>
        </is>
      </c>
      <c r="B282" s="11" t="n">
        <v>6.4159</v>
      </c>
      <c r="C282" s="11" t="n">
        <v>10.08</v>
      </c>
      <c r="D282" s="3" t="inlineStr">
        <is>
          <t>Servizi</t>
        </is>
      </c>
      <c r="E282" s="3" t="inlineStr">
        <is>
          <t>Trasporti</t>
        </is>
      </c>
      <c r="F282" s="3" t="inlineStr">
        <is>
          <t>oltre 5%</t>
        </is>
      </c>
      <c r="G282" s="3" t="inlineStr">
        <is>
          <t>Combined passenger transport</t>
        </is>
      </c>
      <c r="H282" s="3" t="inlineStr">
        <is>
          <t>no</t>
        </is>
      </c>
      <c r="I282" s="3" t="inlineStr">
        <is>
          <t>no</t>
        </is>
      </c>
    </row>
    <row r="283">
      <c r="A283" s="3" t="inlineStr">
        <is>
          <t>021900</t>
        </is>
      </c>
      <c r="B283" s="11" t="n">
        <v>5.7314</v>
      </c>
      <c r="C283" s="11" t="n">
        <v>0.53</v>
      </c>
      <c r="D283" s="3" t="inlineStr">
        <is>
          <t>Alimentari</t>
        </is>
      </c>
      <c r="E283" s="3" t="inlineStr">
        <is>
          <t>Alcolici e tabacchi</t>
        </is>
      </c>
      <c r="F283" s="3" t="inlineStr">
        <is>
          <t>oltre 5%</t>
        </is>
      </c>
      <c r="G283" s="3" t="inlineStr"/>
      <c r="H283" s="3" t="inlineStr"/>
      <c r="I283" s="3" t="inlineStr"/>
    </row>
    <row r="284">
      <c r="A284" s="3" t="inlineStr">
        <is>
          <t>023000</t>
        </is>
      </c>
      <c r="B284" s="11" t="n">
        <v>5.6138</v>
      </c>
      <c r="C284" s="11" t="n">
        <v>17.18</v>
      </c>
      <c r="D284" s="3" t="inlineStr">
        <is>
          <t>Alimentari</t>
        </is>
      </c>
      <c r="E284" s="3" t="inlineStr">
        <is>
          <t>Alcolici e tabacchi</t>
        </is>
      </c>
      <c r="F284" s="3" t="inlineStr">
        <is>
          <t>oltre 5%</t>
        </is>
      </c>
      <c r="G284" s="3" t="inlineStr"/>
      <c r="H284" s="3" t="inlineStr"/>
      <c r="I284" s="3" t="inlineStr"/>
    </row>
    <row r="285">
      <c r="A285" s="3" t="inlineStr">
        <is>
          <t>101000</t>
        </is>
      </c>
      <c r="B285" s="11" t="n">
        <v>5.5217</v>
      </c>
      <c r="C285" s="11" t="n">
        <v>4.81</v>
      </c>
      <c r="D285" s="3" t="inlineStr">
        <is>
          <t>Servizi</t>
        </is>
      </c>
      <c r="E285" s="3" t="inlineStr">
        <is>
          <t>Istruzione</t>
        </is>
      </c>
      <c r="F285" s="3" t="inlineStr">
        <is>
          <t>oltre 5%</t>
        </is>
      </c>
      <c r="G285" s="3" t="inlineStr">
        <is>
          <t>Early childhood and primary education</t>
        </is>
      </c>
      <c r="H285" s="3" t="inlineStr">
        <is>
          <t>si</t>
        </is>
      </c>
      <c r="I285" s="3" t="inlineStr">
        <is>
          <t>no</t>
        </is>
      </c>
    </row>
    <row r="286">
      <c r="A286" s="3" t="inlineStr">
        <is>
          <t>043200</t>
        </is>
      </c>
      <c r="B286" s="11" t="n">
        <v>5.1613</v>
      </c>
      <c r="C286" s="11" t="n">
        <v>4.17</v>
      </c>
      <c r="D286" s="3" t="inlineStr">
        <is>
          <t>Servizi</t>
        </is>
      </c>
      <c r="E286" s="3" t="inlineStr">
        <is>
          <t>Abitazione e utenze</t>
        </is>
      </c>
      <c r="F286" s="3" t="inlineStr">
        <is>
          <t>oltre 5%</t>
        </is>
      </c>
      <c r="G286" s="3" t="inlineStr">
        <is>
          <t>Services for the maintenance, repair and security of the dwelling</t>
        </is>
      </c>
      <c r="H286" s="3" t="inlineStr">
        <is>
          <t>si</t>
        </is>
      </c>
      <c r="I286" s="3" t="inlineStr">
        <is>
          <t>si</t>
        </is>
      </c>
    </row>
    <row r="287">
      <c r="A287" s="3" t="inlineStr">
        <is>
          <t>097200</t>
        </is>
      </c>
      <c r="B287" s="11" t="n">
        <v>5.0899</v>
      </c>
      <c r="C287" s="11" t="n">
        <v>5.37</v>
      </c>
      <c r="D287" s="3" t="inlineStr">
        <is>
          <t>Beni industriali</t>
        </is>
      </c>
      <c r="E287" s="3" t="inlineStr">
        <is>
          <t>Ricreazione, sport e cultura</t>
        </is>
      </c>
      <c r="F287" s="3" t="inlineStr">
        <is>
          <t>oltre 5%</t>
        </is>
      </c>
      <c r="G287" s="3" t="inlineStr">
        <is>
          <t>Newspapers and periodicals</t>
        </is>
      </c>
      <c r="H287" s="3" t="inlineStr">
        <is>
          <t>no</t>
        </is>
      </c>
      <c r="I287" s="3" t="inlineStr">
        <is>
          <t>no</t>
        </is>
      </c>
    </row>
    <row r="288">
      <c r="A288" s="3" t="inlineStr">
        <is>
          <t>044100</t>
        </is>
      </c>
      <c r="B288" s="11" t="n">
        <v>4.8022</v>
      </c>
      <c r="C288" s="11" t="n">
        <v>4.9</v>
      </c>
      <c r="D288" s="3" t="inlineStr">
        <is>
          <t>Beni industriali</t>
        </is>
      </c>
      <c r="E288" s="3" t="inlineStr">
        <is>
          <t>Abitazione e utenze</t>
        </is>
      </c>
      <c r="F288" s="3" t="inlineStr">
        <is>
          <t>3-5%</t>
        </is>
      </c>
      <c r="G288" s="3" t="inlineStr">
        <is>
          <t>Water supply</t>
        </is>
      </c>
      <c r="H288" s="3" t="inlineStr">
        <is>
          <t>si</t>
        </is>
      </c>
      <c r="I288" s="3" t="inlineStr">
        <is>
          <t>no</t>
        </is>
      </c>
    </row>
    <row r="289">
      <c r="A289" s="3" t="inlineStr">
        <is>
          <t>012500</t>
        </is>
      </c>
      <c r="B289" s="11" t="n">
        <v>4.7249</v>
      </c>
      <c r="C289" s="11" t="n">
        <v>3.74</v>
      </c>
      <c r="D289" s="3" t="inlineStr">
        <is>
          <t>Alimentari</t>
        </is>
      </c>
      <c r="E289" s="3" t="inlineStr">
        <is>
          <t>Alimentari e bevande analcoliche</t>
        </is>
      </c>
      <c r="F289" s="3" t="inlineStr">
        <is>
          <t>3-5%</t>
        </is>
      </c>
      <c r="G289" s="3" t="inlineStr"/>
      <c r="H289" s="3" t="inlineStr"/>
      <c r="I289" s="3" t="inlineStr"/>
    </row>
    <row r="290">
      <c r="A290" s="3" t="inlineStr">
        <is>
          <t>072300</t>
        </is>
      </c>
      <c r="B290" s="11" t="n">
        <v>4.6939</v>
      </c>
      <c r="C290" s="11" t="n">
        <v>20.38</v>
      </c>
      <c r="D290" s="3" t="inlineStr">
        <is>
          <t>Servizi</t>
        </is>
      </c>
      <c r="E290" s="3" t="inlineStr">
        <is>
          <t>Trasporti</t>
        </is>
      </c>
      <c r="F290" s="3" t="inlineStr">
        <is>
          <t>3-5%</t>
        </is>
      </c>
      <c r="G290" s="3" t="inlineStr">
        <is>
          <t>Maintenance and repair of personal transport equipment</t>
        </is>
      </c>
      <c r="H290" s="3" t="inlineStr">
        <is>
          <t>si</t>
        </is>
      </c>
      <c r="I290" s="3" t="inlineStr">
        <is>
          <t>si</t>
        </is>
      </c>
    </row>
    <row r="291">
      <c r="A291" s="3" t="inlineStr">
        <is>
          <t>133000</t>
        </is>
      </c>
      <c r="B291" s="11" t="n">
        <v>4.4319</v>
      </c>
      <c r="C291" s="11" t="n">
        <v>11.7</v>
      </c>
      <c r="D291" s="3" t="inlineStr">
        <is>
          <t>Servizi</t>
        </is>
      </c>
      <c r="E291" s="3" t="inlineStr">
        <is>
          <t>Cura della persona e altri</t>
        </is>
      </c>
      <c r="F291" s="3" t="inlineStr">
        <is>
          <t>3-5%</t>
        </is>
      </c>
      <c r="G291" s="3" t="inlineStr">
        <is>
          <t>Social protection</t>
        </is>
      </c>
      <c r="H291" s="3" t="inlineStr">
        <is>
          <t>si</t>
        </is>
      </c>
      <c r="I291" s="3" t="inlineStr">
        <is>
          <t>no</t>
        </is>
      </c>
    </row>
    <row r="292">
      <c r="A292" s="3" t="inlineStr">
        <is>
          <t>073400</t>
        </is>
      </c>
      <c r="B292" s="11" t="n">
        <v>4.3999</v>
      </c>
      <c r="C292" s="11" t="n">
        <v>1.11</v>
      </c>
      <c r="D292" s="3" t="inlineStr">
        <is>
          <t>Servizi</t>
        </is>
      </c>
      <c r="E292" s="3" t="inlineStr">
        <is>
          <t>Trasporti</t>
        </is>
      </c>
      <c r="F292" s="3" t="inlineStr">
        <is>
          <t>3-5%</t>
        </is>
      </c>
      <c r="G292" s="3" t="inlineStr">
        <is>
          <t>Passenger transport by sea and inland waterway</t>
        </is>
      </c>
      <c r="H292" s="3" t="inlineStr">
        <is>
          <t>no</t>
        </is>
      </c>
      <c r="I292" s="3" t="inlineStr">
        <is>
          <t>no</t>
        </is>
      </c>
    </row>
    <row r="293">
      <c r="A293" s="3" t="inlineStr">
        <is>
          <t>096200</t>
        </is>
      </c>
      <c r="B293" s="11" t="n">
        <v>4.3937</v>
      </c>
      <c r="C293" s="11" t="n">
        <v>2.57</v>
      </c>
      <c r="D293" s="3" t="inlineStr">
        <is>
          <t>Servizi</t>
        </is>
      </c>
      <c r="E293" s="3" t="inlineStr">
        <is>
          <t>Ricreazione, sport e cultura</t>
        </is>
      </c>
      <c r="F293" s="3" t="inlineStr">
        <is>
          <t>3-5%</t>
        </is>
      </c>
      <c r="G293" s="3" t="inlineStr">
        <is>
          <t>Services provided by museums, libraries and cultural sites</t>
        </is>
      </c>
      <c r="H293" s="3" t="inlineStr">
        <is>
          <t>no</t>
        </is>
      </c>
      <c r="I293" s="3" t="inlineStr">
        <is>
          <t>no</t>
        </is>
      </c>
    </row>
    <row r="294">
      <c r="A294" s="3" t="inlineStr">
        <is>
          <t>131300</t>
        </is>
      </c>
      <c r="B294" s="11" t="n">
        <v>4.3232</v>
      </c>
      <c r="C294" s="11" t="n">
        <v>11.74</v>
      </c>
      <c r="D294" s="3" t="inlineStr">
        <is>
          <t>Servizi</t>
        </is>
      </c>
      <c r="E294" s="3" t="inlineStr">
        <is>
          <t>Cura della persona e altri</t>
        </is>
      </c>
      <c r="F294" s="3" t="inlineStr">
        <is>
          <t>3-5%</t>
        </is>
      </c>
      <c r="G294" s="3" t="inlineStr">
        <is>
          <t>Hairdressing salons and personal grooming establishments</t>
        </is>
      </c>
      <c r="H294" s="3" t="inlineStr">
        <is>
          <t>si</t>
        </is>
      </c>
      <c r="I294" s="3" t="inlineStr">
        <is>
          <t>si</t>
        </is>
      </c>
    </row>
    <row r="295">
      <c r="A295" s="3" t="inlineStr">
        <is>
          <t>055300</t>
        </is>
      </c>
      <c r="B295" s="11" t="n">
        <v>4.2911</v>
      </c>
      <c r="C295" s="11" t="n">
        <v>0.15</v>
      </c>
      <c r="D295" s="3" t="inlineStr">
        <is>
          <t>Servizi</t>
        </is>
      </c>
      <c r="E295" s="3" t="inlineStr">
        <is>
          <t>Mobili e articoli per la casa</t>
        </is>
      </c>
      <c r="F295" s="3" t="inlineStr">
        <is>
          <t>3-5%</t>
        </is>
      </c>
      <c r="G295" s="3" t="inlineStr">
        <is>
          <t>Repair and hire of motorized and non-motorized tools and equipment</t>
        </is>
      </c>
      <c r="H295" s="3" t="inlineStr">
        <is>
          <t>si</t>
        </is>
      </c>
      <c r="I295" s="3" t="inlineStr">
        <is>
          <t>no</t>
        </is>
      </c>
    </row>
    <row r="296">
      <c r="A296" s="3" t="inlineStr">
        <is>
          <t>051200</t>
        </is>
      </c>
      <c r="B296" s="11" t="n">
        <v>4.17</v>
      </c>
      <c r="C296" s="11" t="n">
        <v>0.46</v>
      </c>
      <c r="D296" s="3" t="inlineStr">
        <is>
          <t>Servizi</t>
        </is>
      </c>
      <c r="E296" s="3" t="inlineStr">
        <is>
          <t>Mobili e articoli per la casa</t>
        </is>
      </c>
      <c r="F296" s="3" t="inlineStr">
        <is>
          <t>3-5%</t>
        </is>
      </c>
      <c r="G296" s="3" t="inlineStr">
        <is>
          <t>Repair, installation and hire of furniture, furnishings and loose carpets</t>
        </is>
      </c>
      <c r="H296" s="3" t="inlineStr">
        <is>
          <t>si</t>
        </is>
      </c>
      <c r="I296" s="3" t="inlineStr">
        <is>
          <t>si</t>
        </is>
      </c>
    </row>
    <row r="297">
      <c r="A297" s="3" t="inlineStr">
        <is>
          <t>121900</t>
        </is>
      </c>
      <c r="B297" s="11" t="n">
        <v>4.1683</v>
      </c>
      <c r="C297" s="11" t="n">
        <v>4.27</v>
      </c>
      <c r="D297" s="3" t="inlineStr">
        <is>
          <t>Servizi</t>
        </is>
      </c>
      <c r="E297" s="3" t="inlineStr">
        <is>
          <t>Assicurazioni e servizi finanziari</t>
        </is>
      </c>
      <c r="F297" s="3" t="inlineStr">
        <is>
          <t>3-5%</t>
        </is>
      </c>
      <c r="G297" s="3" t="inlineStr">
        <is>
          <t>Other insurance</t>
        </is>
      </c>
      <c r="H297" s="3" t="inlineStr">
        <is>
          <t>si</t>
        </is>
      </c>
      <c r="I297" s="3" t="inlineStr">
        <is>
          <t>no</t>
        </is>
      </c>
    </row>
    <row r="298">
      <c r="A298" s="3" t="inlineStr">
        <is>
          <t>011300</t>
        </is>
      </c>
      <c r="B298" s="11" t="n">
        <v>4.1571</v>
      </c>
      <c r="C298" s="11" t="n">
        <v>4.58</v>
      </c>
      <c r="D298" s="3" t="inlineStr">
        <is>
          <t>Alimentari</t>
        </is>
      </c>
      <c r="E298" s="3" t="inlineStr">
        <is>
          <t>Alimentari e bevande analcoliche</t>
        </is>
      </c>
      <c r="F298" s="3" t="inlineStr">
        <is>
          <t>3-5%</t>
        </is>
      </c>
      <c r="G298" s="3" t="inlineStr"/>
      <c r="H298" s="3" t="inlineStr"/>
      <c r="I298" s="3" t="inlineStr"/>
    </row>
    <row r="299">
      <c r="A299" s="3" t="inlineStr">
        <is>
          <t>074900</t>
        </is>
      </c>
      <c r="B299" s="11" t="n">
        <v>4.0837</v>
      </c>
      <c r="C299" s="11" t="n">
        <v>0.45</v>
      </c>
      <c r="D299" s="3" t="inlineStr">
        <is>
          <t>Servizi</t>
        </is>
      </c>
      <c r="E299" s="3" t="inlineStr">
        <is>
          <t>Trasporti</t>
        </is>
      </c>
      <c r="F299" s="3" t="inlineStr">
        <is>
          <t>3-5%</t>
        </is>
      </c>
      <c r="G299" s="3" t="inlineStr">
        <is>
          <t>Other transport of goods</t>
        </is>
      </c>
      <c r="H299" s="3" t="inlineStr">
        <is>
          <t>no</t>
        </is>
      </c>
      <c r="I299" s="3" t="inlineStr">
        <is>
          <t>si</t>
        </is>
      </c>
    </row>
    <row r="300">
      <c r="A300" s="3" t="inlineStr">
        <is>
          <t>096100</t>
        </is>
      </c>
      <c r="B300" s="11" t="n">
        <v>4.0658</v>
      </c>
      <c r="C300" s="11" t="n">
        <v>6.33</v>
      </c>
      <c r="D300" s="3" t="inlineStr">
        <is>
          <t>Servizi</t>
        </is>
      </c>
      <c r="E300" s="3" t="inlineStr">
        <is>
          <t>Ricreazione, sport e cultura</t>
        </is>
      </c>
      <c r="F300" s="3" t="inlineStr">
        <is>
          <t>3-5%</t>
        </is>
      </c>
      <c r="G300" s="3" t="inlineStr">
        <is>
          <t>Services provided by cinemas, theatres and concert venues</t>
        </is>
      </c>
      <c r="H300" s="3" t="inlineStr">
        <is>
          <t>no</t>
        </is>
      </c>
      <c r="I300" s="3" t="inlineStr">
        <is>
          <t>no</t>
        </is>
      </c>
    </row>
    <row r="301">
      <c r="A301" s="3" t="inlineStr">
        <is>
          <t>073200</t>
        </is>
      </c>
      <c r="B301" s="11" t="n">
        <v>3.9362</v>
      </c>
      <c r="C301" s="11" t="n">
        <v>3.17</v>
      </c>
      <c r="D301" s="3" t="inlineStr">
        <is>
          <t>Servizi</t>
        </is>
      </c>
      <c r="E301" s="3" t="inlineStr">
        <is>
          <t>Trasporti</t>
        </is>
      </c>
      <c r="F301" s="3" t="inlineStr">
        <is>
          <t>3-5%</t>
        </is>
      </c>
      <c r="G301" s="3" t="inlineStr">
        <is>
          <t>Passenger transport by road</t>
        </is>
      </c>
      <c r="H301" s="3" t="inlineStr">
        <is>
          <t>no</t>
        </is>
      </c>
      <c r="I301" s="3" t="inlineStr">
        <is>
          <t>no</t>
        </is>
      </c>
    </row>
    <row r="302">
      <c r="A302" s="3" t="inlineStr">
        <is>
          <t>044300</t>
        </is>
      </c>
      <c r="B302" s="11" t="n">
        <v>3.9251</v>
      </c>
      <c r="C302" s="11" t="n">
        <v>4.85</v>
      </c>
      <c r="D302" s="3" t="inlineStr">
        <is>
          <t>Servizi</t>
        </is>
      </c>
      <c r="E302" s="3" t="inlineStr">
        <is>
          <t>Abitazione e utenze</t>
        </is>
      </c>
      <c r="F302" s="3" t="inlineStr">
        <is>
          <t>3-5%</t>
        </is>
      </c>
      <c r="G302" s="3" t="inlineStr">
        <is>
          <t>Sewage collection</t>
        </is>
      </c>
      <c r="H302" s="3" t="inlineStr">
        <is>
          <t>si</t>
        </is>
      </c>
      <c r="I302" s="3" t="inlineStr">
        <is>
          <t>no</t>
        </is>
      </c>
    </row>
    <row r="303">
      <c r="A303" s="3" t="inlineStr">
        <is>
          <t>044200</t>
        </is>
      </c>
      <c r="B303" s="11" t="n">
        <v>3.8938</v>
      </c>
      <c r="C303" s="11" t="n">
        <v>4.02</v>
      </c>
      <c r="D303" s="3" t="inlineStr">
        <is>
          <t>Servizi</t>
        </is>
      </c>
      <c r="E303" s="3" t="inlineStr">
        <is>
          <t>Abitazione e utenze</t>
        </is>
      </c>
      <c r="F303" s="3" t="inlineStr">
        <is>
          <t>3-5%</t>
        </is>
      </c>
      <c r="G303" s="3" t="inlineStr">
        <is>
          <t>Refuse collection</t>
        </is>
      </c>
      <c r="H303" s="3" t="inlineStr">
        <is>
          <t>si</t>
        </is>
      </c>
      <c r="I303" s="3" t="inlineStr">
        <is>
          <t>no</t>
        </is>
      </c>
    </row>
    <row r="304">
      <c r="A304" s="3" t="inlineStr">
        <is>
          <t>063100</t>
        </is>
      </c>
      <c r="B304" s="11" t="n">
        <v>3.8696</v>
      </c>
      <c r="C304" s="11" t="n">
        <v>10.54</v>
      </c>
      <c r="D304" s="3" t="inlineStr">
        <is>
          <t>Servizi</t>
        </is>
      </c>
      <c r="E304" s="3" t="inlineStr">
        <is>
          <t>Salute</t>
        </is>
      </c>
      <c r="F304" s="3" t="inlineStr">
        <is>
          <t>3-5%</t>
        </is>
      </c>
      <c r="G304" s="3" t="inlineStr">
        <is>
          <t>Inpatient curative and rehabilitative services</t>
        </is>
      </c>
      <c r="H304" s="3" t="inlineStr">
        <is>
          <t>si</t>
        </is>
      </c>
      <c r="I304" s="3" t="inlineStr">
        <is>
          <t>no</t>
        </is>
      </c>
    </row>
    <row r="305">
      <c r="A305" s="3" t="inlineStr">
        <is>
          <t>098000</t>
        </is>
      </c>
      <c r="B305" s="11" t="n">
        <v>3.7497</v>
      </c>
      <c r="C305" s="11" t="n">
        <v>20.86</v>
      </c>
      <c r="D305" s="3" t="inlineStr">
        <is>
          <t>Servizi</t>
        </is>
      </c>
      <c r="E305" s="3" t="inlineStr">
        <is>
          <t>Ricreazione, sport e cultura</t>
        </is>
      </c>
      <c r="F305" s="3" t="inlineStr">
        <is>
          <t>3-5%</t>
        </is>
      </c>
      <c r="G305" s="3" t="inlineStr">
        <is>
          <t>Package holidays</t>
        </is>
      </c>
      <c r="H305" s="3" t="inlineStr">
        <is>
          <t>no</t>
        </is>
      </c>
      <c r="I305" s="3" t="inlineStr">
        <is>
          <t>no</t>
        </is>
      </c>
    </row>
    <row r="306">
      <c r="A306" s="3" t="inlineStr">
        <is>
          <t>032200</t>
        </is>
      </c>
      <c r="B306" s="11" t="n">
        <v>3.6989</v>
      </c>
      <c r="C306" s="11" t="n">
        <v>0.09</v>
      </c>
      <c r="D306" s="3" t="inlineStr">
        <is>
          <t>Servizi</t>
        </is>
      </c>
      <c r="E306" s="3" t="inlineStr">
        <is>
          <t>Abbigliamento e calzature</t>
        </is>
      </c>
      <c r="F306" s="3" t="inlineStr">
        <is>
          <t>3-5%</t>
        </is>
      </c>
      <c r="G306" s="3" t="inlineStr">
        <is>
          <t>Cleaning, repair and hire of footwear</t>
        </is>
      </c>
      <c r="H306" s="3" t="inlineStr">
        <is>
          <t>si</t>
        </is>
      </c>
      <c r="I306" s="3" t="inlineStr">
        <is>
          <t>si</t>
        </is>
      </c>
    </row>
    <row r="307">
      <c r="A307" s="3" t="inlineStr">
        <is>
          <t>031400</t>
        </is>
      </c>
      <c r="B307" s="11" t="n">
        <v>3.6266</v>
      </c>
      <c r="C307" s="11" t="n">
        <v>0.68</v>
      </c>
      <c r="D307" s="3" t="inlineStr">
        <is>
          <t>Servizi</t>
        </is>
      </c>
      <c r="E307" s="3" t="inlineStr">
        <is>
          <t>Abbigliamento e calzature</t>
        </is>
      </c>
      <c r="F307" s="3" t="inlineStr">
        <is>
          <t>3-5%</t>
        </is>
      </c>
      <c r="G307" s="3" t="inlineStr">
        <is>
          <t>Cleaning, repair, tailoring and hire of clothing</t>
        </is>
      </c>
      <c r="H307" s="3" t="inlineStr">
        <is>
          <t>si</t>
        </is>
      </c>
      <c r="I307" s="3" t="inlineStr">
        <is>
          <t>si</t>
        </is>
      </c>
    </row>
    <row r="308">
      <c r="A308" s="3" t="inlineStr">
        <is>
          <t>012900</t>
        </is>
      </c>
      <c r="B308" s="11" t="n">
        <v>3.5696</v>
      </c>
      <c r="C308" s="11" t="n">
        <v>0.27</v>
      </c>
      <c r="D308" s="3" t="inlineStr">
        <is>
          <t>Alimentari</t>
        </is>
      </c>
      <c r="E308" s="3" t="inlineStr">
        <is>
          <t>Alimentari e bevande analcoliche</t>
        </is>
      </c>
      <c r="F308" s="3" t="inlineStr">
        <is>
          <t>3-5%</t>
        </is>
      </c>
      <c r="G308" s="3" t="inlineStr"/>
      <c r="H308" s="3" t="inlineStr"/>
      <c r="I308" s="3" t="inlineStr"/>
    </row>
    <row r="309">
      <c r="A309" s="3" t="inlineStr">
        <is>
          <t>053300</t>
        </is>
      </c>
      <c r="B309" s="11" t="n">
        <v>3.5279</v>
      </c>
      <c r="C309" s="11" t="n">
        <v>0.38</v>
      </c>
      <c r="D309" s="3" t="inlineStr">
        <is>
          <t>Servizi</t>
        </is>
      </c>
      <c r="E309" s="3" t="inlineStr">
        <is>
          <t>Mobili e articoli per la casa</t>
        </is>
      </c>
      <c r="F309" s="3" t="inlineStr">
        <is>
          <t>3-5%</t>
        </is>
      </c>
      <c r="G309" s="3" t="inlineStr">
        <is>
          <t>Repair, installation and hire of household appliances</t>
        </is>
      </c>
      <c r="H309" s="3" t="inlineStr">
        <is>
          <t>si</t>
        </is>
      </c>
      <c r="I309" s="3" t="inlineStr">
        <is>
          <t>no</t>
        </is>
      </c>
    </row>
    <row r="310">
      <c r="A310" s="3" t="inlineStr">
        <is>
          <t>062300</t>
        </is>
      </c>
      <c r="B310" s="11" t="n">
        <v>3.3304</v>
      </c>
      <c r="C310" s="11" t="n">
        <v>13.83</v>
      </c>
      <c r="D310" s="3" t="inlineStr">
        <is>
          <t>Servizi</t>
        </is>
      </c>
      <c r="E310" s="3" t="inlineStr">
        <is>
          <t>Salute</t>
        </is>
      </c>
      <c r="F310" s="3" t="inlineStr">
        <is>
          <t>3-5%</t>
        </is>
      </c>
      <c r="G310" s="3" t="inlineStr">
        <is>
          <t>Other outpatient care services</t>
        </is>
      </c>
      <c r="H310" s="3" t="inlineStr">
        <is>
          <t>si</t>
        </is>
      </c>
      <c r="I310" s="3" t="inlineStr">
        <is>
          <t>no</t>
        </is>
      </c>
    </row>
    <row r="311">
      <c r="A311" s="3" t="inlineStr">
        <is>
          <t>062200</t>
        </is>
      </c>
      <c r="B311" s="11" t="n">
        <v>3.3018</v>
      </c>
      <c r="C311" s="11" t="n">
        <v>8.98</v>
      </c>
      <c r="D311" s="3" t="inlineStr">
        <is>
          <t>Servizi</t>
        </is>
      </c>
      <c r="E311" s="3" t="inlineStr">
        <is>
          <t>Salute</t>
        </is>
      </c>
      <c r="F311" s="3" t="inlineStr">
        <is>
          <t>3-5%</t>
        </is>
      </c>
      <c r="G311" s="3" t="inlineStr">
        <is>
          <t>Outpatient dental services</t>
        </is>
      </c>
      <c r="H311" s="3" t="inlineStr">
        <is>
          <t>si</t>
        </is>
      </c>
      <c r="I311" s="3" t="inlineStr">
        <is>
          <t>no</t>
        </is>
      </c>
    </row>
    <row r="312">
      <c r="A312" s="3" t="inlineStr">
        <is>
          <t>111200</t>
        </is>
      </c>
      <c r="B312" s="11" t="n">
        <v>3.2101</v>
      </c>
      <c r="C312" s="11" t="n">
        <v>6.26</v>
      </c>
      <c r="D312" s="3" t="inlineStr">
        <is>
          <t>Servizi</t>
        </is>
      </c>
      <c r="E312" s="3" t="inlineStr">
        <is>
          <t>Ristorazione e alloggio</t>
        </is>
      </c>
      <c r="F312" s="3" t="inlineStr">
        <is>
          <t>3-5%</t>
        </is>
      </c>
      <c r="G312" s="3" t="inlineStr">
        <is>
          <t>Canteens, cafeterias and refectories</t>
        </is>
      </c>
      <c r="H312" s="3" t="inlineStr">
        <is>
          <t>si</t>
        </is>
      </c>
      <c r="I312" s="3" t="inlineStr">
        <is>
          <t>si</t>
        </is>
      </c>
    </row>
    <row r="313">
      <c r="A313" s="3" t="inlineStr">
        <is>
          <t>056200</t>
        </is>
      </c>
      <c r="B313" s="11" t="n">
        <v>3.1404</v>
      </c>
      <c r="C313" s="11" t="n">
        <v>5.06</v>
      </c>
      <c r="D313" s="3" t="inlineStr">
        <is>
          <t>Servizi</t>
        </is>
      </c>
      <c r="E313" s="3" t="inlineStr">
        <is>
          <t>Mobili e articoli per la casa</t>
        </is>
      </c>
      <c r="F313" s="3" t="inlineStr">
        <is>
          <t>3-5%</t>
        </is>
      </c>
      <c r="G313" s="3" t="inlineStr">
        <is>
          <t>Domestic services and household services</t>
        </is>
      </c>
      <c r="H313" s="3" t="inlineStr">
        <is>
          <t>si</t>
        </is>
      </c>
      <c r="I313" s="3" t="inlineStr">
        <is>
          <t>si</t>
        </is>
      </c>
    </row>
    <row r="314">
      <c r="A314" s="3" t="inlineStr">
        <is>
          <t>111100</t>
        </is>
      </c>
      <c r="B314" s="11" t="n">
        <v>3.0752</v>
      </c>
      <c r="C314" s="11" t="n">
        <v>51.46</v>
      </c>
      <c r="D314" s="3" t="inlineStr">
        <is>
          <t>Servizi</t>
        </is>
      </c>
      <c r="E314" s="3" t="inlineStr">
        <is>
          <t>Ristorazione e alloggio</t>
        </is>
      </c>
      <c r="F314" s="3" t="inlineStr">
        <is>
          <t>3-5%</t>
        </is>
      </c>
      <c r="G314" s="3" t="inlineStr">
        <is>
          <t>Restaurants, cafés and the like</t>
        </is>
      </c>
      <c r="H314" s="3" t="inlineStr">
        <is>
          <t>si</t>
        </is>
      </c>
      <c r="I314" s="3" t="inlineStr">
        <is>
          <t>si</t>
        </is>
      </c>
    </row>
    <row r="315">
      <c r="A315" s="3" t="inlineStr">
        <is>
          <t>044400</t>
        </is>
      </c>
      <c r="B315" s="11" t="n">
        <v>2.9675</v>
      </c>
      <c r="C315" s="11" t="n">
        <v>12.33</v>
      </c>
      <c r="D315" s="3" t="inlineStr">
        <is>
          <t>Servizi</t>
        </is>
      </c>
      <c r="E315" s="3" t="inlineStr">
        <is>
          <t>Abitazione e utenze</t>
        </is>
      </c>
      <c r="F315" s="3" t="inlineStr">
        <is>
          <t>2-3%</t>
        </is>
      </c>
      <c r="G315" s="3" t="inlineStr">
        <is>
          <t>Other services related to the dwelling</t>
        </is>
      </c>
      <c r="H315" s="3" t="inlineStr">
        <is>
          <t>si</t>
        </is>
      </c>
      <c r="I315" s="3" t="inlineStr">
        <is>
          <t>no</t>
        </is>
      </c>
    </row>
    <row r="316">
      <c r="A316" s="3" t="inlineStr">
        <is>
          <t>112000</t>
        </is>
      </c>
      <c r="B316" s="11" t="n">
        <v>2.961</v>
      </c>
      <c r="C316" s="11" t="n">
        <v>17.17</v>
      </c>
      <c r="D316" s="3" t="inlineStr">
        <is>
          <t>Servizi</t>
        </is>
      </c>
      <c r="E316" s="3" t="inlineStr">
        <is>
          <t>Ristorazione e alloggio</t>
        </is>
      </c>
      <c r="F316" s="3" t="inlineStr">
        <is>
          <t>2-3%</t>
        </is>
      </c>
      <c r="G316" s="3" t="inlineStr">
        <is>
          <t>Accommodation services</t>
        </is>
      </c>
      <c r="H316" s="3" t="inlineStr">
        <is>
          <t>si</t>
        </is>
      </c>
      <c r="I316" s="3" t="inlineStr">
        <is>
          <t>no</t>
        </is>
      </c>
    </row>
    <row r="317">
      <c r="A317" s="3" t="inlineStr">
        <is>
          <t>083100</t>
        </is>
      </c>
      <c r="B317" s="11" t="n">
        <v>2.9548</v>
      </c>
      <c r="C317" s="11" t="n">
        <v>0.5600000000000001</v>
      </c>
      <c r="D317" s="3" t="inlineStr">
        <is>
          <t>Servizi</t>
        </is>
      </c>
      <c r="E317" s="3" t="inlineStr">
        <is>
          <t>Informazione e comunicazione</t>
        </is>
      </c>
      <c r="F317" s="3" t="inlineStr">
        <is>
          <t>2-3%</t>
        </is>
      </c>
      <c r="G317" s="3" t="inlineStr">
        <is>
          <t>Fixed communication services</t>
        </is>
      </c>
      <c r="H317" s="3" t="inlineStr">
        <is>
          <t>si</t>
        </is>
      </c>
      <c r="I317" s="3" t="inlineStr">
        <is>
          <t>no</t>
        </is>
      </c>
    </row>
    <row r="318">
      <c r="A318" s="3" t="inlineStr">
        <is>
          <t>021300</t>
        </is>
      </c>
      <c r="B318" s="11" t="n">
        <v>2.8447</v>
      </c>
      <c r="C318" s="11" t="n">
        <v>5.05</v>
      </c>
      <c r="D318" s="3" t="inlineStr">
        <is>
          <t>Alimentari</t>
        </is>
      </c>
      <c r="E318" s="3" t="inlineStr">
        <is>
          <t>Alcolici e tabacchi</t>
        </is>
      </c>
      <c r="F318" s="3" t="inlineStr">
        <is>
          <t>2-3%</t>
        </is>
      </c>
      <c r="G318" s="3" t="inlineStr"/>
      <c r="H318" s="3" t="inlineStr"/>
      <c r="I318" s="3" t="inlineStr"/>
    </row>
    <row r="319">
      <c r="A319" s="3" t="inlineStr">
        <is>
          <t>139000</t>
        </is>
      </c>
      <c r="B319" s="11" t="n">
        <v>2.7423</v>
      </c>
      <c r="C319" s="11" t="n">
        <v>19.95</v>
      </c>
      <c r="D319" s="3" t="inlineStr">
        <is>
          <t>Servizi</t>
        </is>
      </c>
      <c r="E319" s="3" t="inlineStr">
        <is>
          <t>Cura della persona e altri</t>
        </is>
      </c>
      <c r="F319" s="3" t="inlineStr">
        <is>
          <t>2-3%</t>
        </is>
      </c>
      <c r="G319" s="3" t="inlineStr">
        <is>
          <t>Other services</t>
        </is>
      </c>
      <c r="H319" s="3" t="inlineStr">
        <is>
          <t>si</t>
        </is>
      </c>
      <c r="I319" s="3" t="inlineStr">
        <is>
          <t>no</t>
        </is>
      </c>
    </row>
    <row r="320">
      <c r="A320" s="3" t="inlineStr">
        <is>
          <t>105000</t>
        </is>
      </c>
      <c r="B320" s="11" t="n">
        <v>2.6001</v>
      </c>
      <c r="C320" s="11" t="n">
        <v>2.51</v>
      </c>
      <c r="D320" s="3" t="inlineStr">
        <is>
          <t>Servizi</t>
        </is>
      </c>
      <c r="E320" s="3" t="inlineStr">
        <is>
          <t>Istruzione</t>
        </is>
      </c>
      <c r="F320" s="3" t="inlineStr">
        <is>
          <t>2-3%</t>
        </is>
      </c>
      <c r="G320" s="3" t="inlineStr">
        <is>
          <t>Education not defined by level</t>
        </is>
      </c>
      <c r="H320" s="3" t="inlineStr">
        <is>
          <t>si</t>
        </is>
      </c>
      <c r="I320" s="3" t="inlineStr">
        <is>
          <t>no</t>
        </is>
      </c>
    </row>
    <row r="321">
      <c r="A321" s="3" t="inlineStr">
        <is>
          <t>091200</t>
        </is>
      </c>
      <c r="B321" s="11" t="n">
        <v>2.4273</v>
      </c>
      <c r="C321" s="11" t="n">
        <v>2.29</v>
      </c>
      <c r="D321" s="3" t="inlineStr">
        <is>
          <t>Beni industriali</t>
        </is>
      </c>
      <c r="E321" s="3" t="inlineStr">
        <is>
          <t>Ricreazione, sport e cultura</t>
        </is>
      </c>
      <c r="F321" s="3" t="inlineStr">
        <is>
          <t>2-3%</t>
        </is>
      </c>
      <c r="G321" s="3" t="inlineStr">
        <is>
          <t>Major recreational durables</t>
        </is>
      </c>
      <c r="H321" s="3" t="inlineStr">
        <is>
          <t>no</t>
        </is>
      </c>
      <c r="I321" s="3" t="inlineStr">
        <is>
          <t>no</t>
        </is>
      </c>
    </row>
    <row r="322">
      <c r="A322" s="3" t="inlineStr">
        <is>
          <t>096900</t>
        </is>
      </c>
      <c r="B322" s="11" t="n">
        <v>2.4141</v>
      </c>
      <c r="C322" s="11" t="n">
        <v>2.94</v>
      </c>
      <c r="D322" s="3" t="inlineStr">
        <is>
          <t>Servizi</t>
        </is>
      </c>
      <c r="E322" s="3" t="inlineStr">
        <is>
          <t>Ricreazione, sport e cultura</t>
        </is>
      </c>
      <c r="F322" s="3" t="inlineStr">
        <is>
          <t>2-3%</t>
        </is>
      </c>
      <c r="G322" s="3" t="inlineStr">
        <is>
          <t>Other cultural services</t>
        </is>
      </c>
      <c r="H322" s="3" t="inlineStr">
        <is>
          <t>no</t>
        </is>
      </c>
      <c r="I322" s="3" t="inlineStr">
        <is>
          <t>no</t>
        </is>
      </c>
    </row>
    <row r="323">
      <c r="A323" s="3" t="inlineStr">
        <is>
          <t>071100</t>
        </is>
      </c>
      <c r="B323" s="11" t="n">
        <v>2.3926</v>
      </c>
      <c r="C323" s="11" t="n">
        <v>43.94</v>
      </c>
      <c r="D323" s="3" t="inlineStr">
        <is>
          <t>Beni industriali</t>
        </is>
      </c>
      <c r="E323" s="3" t="inlineStr">
        <is>
          <t>Trasporti</t>
        </is>
      </c>
      <c r="F323" s="3" t="inlineStr">
        <is>
          <t>2-3%</t>
        </is>
      </c>
      <c r="G323" s="3" t="inlineStr">
        <is>
          <t>Motor cars</t>
        </is>
      </c>
      <c r="H323" s="3" t="inlineStr">
        <is>
          <t>no</t>
        </is>
      </c>
      <c r="I323" s="3" t="inlineStr">
        <is>
          <t>no</t>
        </is>
      </c>
    </row>
    <row r="324">
      <c r="A324" s="3" t="inlineStr">
        <is>
          <t>083500</t>
        </is>
      </c>
      <c r="B324" s="11" t="n">
        <v>2.2621</v>
      </c>
      <c r="C324" s="11" t="n">
        <v>0.35</v>
      </c>
      <c r="D324" s="3" t="inlineStr">
        <is>
          <t>Servizi</t>
        </is>
      </c>
      <c r="E324" s="3" t="inlineStr">
        <is>
          <t>Informazione e comunicazione</t>
        </is>
      </c>
      <c r="F324" s="3" t="inlineStr">
        <is>
          <t>2-3%</t>
        </is>
      </c>
      <c r="G324" s="3" t="inlineStr">
        <is>
          <t>Repair and rental of information and communication equipment</t>
        </is>
      </c>
      <c r="H324" s="3" t="inlineStr">
        <is>
          <t>no</t>
        </is>
      </c>
      <c r="I324" s="3" t="inlineStr">
        <is>
          <t>no</t>
        </is>
      </c>
    </row>
    <row r="325">
      <c r="A325" s="3" t="inlineStr">
        <is>
          <t>041100</t>
        </is>
      </c>
      <c r="B325" s="11" t="n">
        <v>2.2505</v>
      </c>
      <c r="C325" s="11" t="n">
        <v>67.58</v>
      </c>
      <c r="D325" s="3" t="inlineStr">
        <is>
          <t>Servizi</t>
        </is>
      </c>
      <c r="E325" s="3" t="inlineStr">
        <is>
          <t>Abitazione e utenze</t>
        </is>
      </c>
      <c r="F325" s="3" t="inlineStr">
        <is>
          <t>2-3%</t>
        </is>
      </c>
      <c r="G325" s="3" t="inlineStr">
        <is>
          <t>Actual rental payments made by tenants for main residence</t>
        </is>
      </c>
      <c r="H325" s="3" t="inlineStr">
        <is>
          <t>si</t>
        </is>
      </c>
      <c r="I325" s="3" t="inlineStr">
        <is>
          <t>no</t>
        </is>
      </c>
    </row>
    <row r="326">
      <c r="A326" s="3" t="inlineStr">
        <is>
          <t>031300</t>
        </is>
      </c>
      <c r="B326" s="11" t="n">
        <v>2.2499</v>
      </c>
      <c r="C326" s="11" t="n">
        <v>0.72</v>
      </c>
      <c r="D326" s="3" t="inlineStr">
        <is>
          <t>Beni industriali</t>
        </is>
      </c>
      <c r="E326" s="3" t="inlineStr">
        <is>
          <t>Abbigliamento e calzature</t>
        </is>
      </c>
      <c r="F326" s="3" t="inlineStr">
        <is>
          <t>2-3%</t>
        </is>
      </c>
      <c r="G326" s="3" t="inlineStr">
        <is>
          <t>Other articles of clothing and clothing accessories</t>
        </is>
      </c>
      <c r="H326" s="3" t="inlineStr">
        <is>
          <t>no</t>
        </is>
      </c>
      <c r="I326" s="3" t="inlineStr">
        <is>
          <t>no</t>
        </is>
      </c>
    </row>
    <row r="327">
      <c r="A327" s="3" t="inlineStr">
        <is>
          <t>093100</t>
        </is>
      </c>
      <c r="B327" s="11" t="n">
        <v>2.0623</v>
      </c>
      <c r="C327" s="11" t="n">
        <v>9.6</v>
      </c>
      <c r="D327" s="3" t="inlineStr">
        <is>
          <t>Beni industriali</t>
        </is>
      </c>
      <c r="E327" s="3" t="inlineStr">
        <is>
          <t>Ricreazione, sport e cultura</t>
        </is>
      </c>
      <c r="F327" s="3" t="inlineStr">
        <is>
          <t>2-3%</t>
        </is>
      </c>
      <c r="G327" s="3" t="inlineStr">
        <is>
          <t>Garden products, plants and flowers</t>
        </is>
      </c>
      <c r="H327" s="3" t="inlineStr">
        <is>
          <t>no</t>
        </is>
      </c>
      <c r="I327" s="3" t="inlineStr">
        <is>
          <t>no</t>
        </is>
      </c>
    </row>
    <row r="328">
      <c r="A328" s="3" t="inlineStr">
        <is>
          <t>012600</t>
        </is>
      </c>
      <c r="B328" s="11" t="n">
        <v>2.0171</v>
      </c>
      <c r="C328" s="11" t="n">
        <v>3.48</v>
      </c>
      <c r="D328" s="3" t="inlineStr">
        <is>
          <t>Alimentari</t>
        </is>
      </c>
      <c r="E328" s="3" t="inlineStr">
        <is>
          <t>Alimentari e bevande analcoliche</t>
        </is>
      </c>
      <c r="F328" s="3" t="inlineStr">
        <is>
          <t>2-3%</t>
        </is>
      </c>
      <c r="G328" s="3" t="inlineStr"/>
      <c r="H328" s="3" t="inlineStr"/>
      <c r="I328" s="3" t="inlineStr"/>
    </row>
    <row r="329">
      <c r="A329" s="3" t="inlineStr">
        <is>
          <t>061200</t>
        </is>
      </c>
      <c r="B329" s="11" t="n">
        <v>2.012</v>
      </c>
      <c r="C329" s="11" t="n">
        <v>8.390000000000001</v>
      </c>
      <c r="D329" s="3" t="inlineStr">
        <is>
          <t>Beni industriali</t>
        </is>
      </c>
      <c r="E329" s="3" t="inlineStr">
        <is>
          <t>Salute</t>
        </is>
      </c>
      <c r="F329" s="3" t="inlineStr">
        <is>
          <t>2-3%</t>
        </is>
      </c>
      <c r="G329" s="3" t="inlineStr">
        <is>
          <t>Medical products</t>
        </is>
      </c>
      <c r="H329" s="3" t="inlineStr">
        <is>
          <t>no</t>
        </is>
      </c>
      <c r="I329" s="3" t="inlineStr">
        <is>
          <t>no</t>
        </is>
      </c>
    </row>
    <row r="330">
      <c r="A330" s="3" t="inlineStr">
        <is>
          <t>094600</t>
        </is>
      </c>
      <c r="B330" s="11" t="n">
        <v>1.856</v>
      </c>
      <c r="C330" s="11" t="n">
        <v>9.140000000000001</v>
      </c>
      <c r="D330" s="3" t="inlineStr">
        <is>
          <t>Servizi</t>
        </is>
      </c>
      <c r="E330" s="3" t="inlineStr">
        <is>
          <t>Ricreazione, sport e cultura</t>
        </is>
      </c>
      <c r="F330" s="3" t="inlineStr">
        <is>
          <t>1,5-2%</t>
        </is>
      </c>
      <c r="G330" s="3" t="inlineStr">
        <is>
          <t>Recreational and sporting services</t>
        </is>
      </c>
      <c r="H330" s="3" t="inlineStr">
        <is>
          <t>si</t>
        </is>
      </c>
      <c r="I330" s="3" t="inlineStr">
        <is>
          <t>si</t>
        </is>
      </c>
    </row>
    <row r="331">
      <c r="A331" s="3" t="inlineStr">
        <is>
          <t>052100</t>
        </is>
      </c>
      <c r="B331" s="11" t="n">
        <v>1.8215</v>
      </c>
      <c r="C331" s="11" t="n">
        <v>5.35</v>
      </c>
      <c r="D331" s="3" t="inlineStr">
        <is>
          <t>Beni industriali</t>
        </is>
      </c>
      <c r="E331" s="3" t="inlineStr">
        <is>
          <t>Mobili e articoli per la casa</t>
        </is>
      </c>
      <c r="F331" s="3" t="inlineStr">
        <is>
          <t>1,5-2%</t>
        </is>
      </c>
      <c r="G331" s="3" t="inlineStr">
        <is>
          <t>Household textiles</t>
        </is>
      </c>
      <c r="H331" s="3" t="inlineStr">
        <is>
          <t>no</t>
        </is>
      </c>
      <c r="I331" s="3" t="inlineStr">
        <is>
          <t>no</t>
        </is>
      </c>
    </row>
    <row r="332">
      <c r="A332" s="3" t="inlineStr">
        <is>
          <t>097300</t>
        </is>
      </c>
      <c r="B332" s="11" t="n">
        <v>1.7338</v>
      </c>
      <c r="C332" s="11" t="n">
        <v>3.13</v>
      </c>
      <c r="D332" s="3" t="inlineStr">
        <is>
          <t>Beni industriali</t>
        </is>
      </c>
      <c r="E332" s="3" t="inlineStr">
        <is>
          <t>Ricreazione, sport e cultura</t>
        </is>
      </c>
      <c r="F332" s="3" t="inlineStr">
        <is>
          <t>1,5-2%</t>
        </is>
      </c>
      <c r="G332" s="3" t="inlineStr">
        <is>
          <t>Miscellaneous printed matter</t>
        </is>
      </c>
      <c r="H332" s="3" t="inlineStr">
        <is>
          <t>no</t>
        </is>
      </c>
      <c r="I332" s="3" t="inlineStr">
        <is>
          <t>no</t>
        </is>
      </c>
    </row>
    <row r="333">
      <c r="A333" s="3" t="inlineStr">
        <is>
          <t>061300</t>
        </is>
      </c>
      <c r="B333" s="11" t="n">
        <v>1.7313</v>
      </c>
      <c r="C333" s="11" t="n">
        <v>6.68</v>
      </c>
      <c r="D333" s="3" t="inlineStr">
        <is>
          <t>Beni industriali</t>
        </is>
      </c>
      <c r="E333" s="3" t="inlineStr">
        <is>
          <t>Salute</t>
        </is>
      </c>
      <c r="F333" s="3" t="inlineStr">
        <is>
          <t>1,5-2%</t>
        </is>
      </c>
      <c r="G333" s="3" t="inlineStr">
        <is>
          <t>Assistive products</t>
        </is>
      </c>
      <c r="H333" s="3" t="inlineStr">
        <is>
          <t>no</t>
        </is>
      </c>
      <c r="I333" s="3" t="inlineStr">
        <is>
          <t>no</t>
        </is>
      </c>
    </row>
    <row r="334">
      <c r="A334" s="3" t="inlineStr">
        <is>
          <t>104000</t>
        </is>
      </c>
      <c r="B334" s="11" t="n">
        <v>1.5231</v>
      </c>
      <c r="C334" s="11" t="n">
        <v>1.53</v>
      </c>
      <c r="D334" s="3" t="inlineStr">
        <is>
          <t>Servizi</t>
        </is>
      </c>
      <c r="E334" s="3" t="inlineStr">
        <is>
          <t>Istruzione</t>
        </is>
      </c>
      <c r="F334" s="3" t="inlineStr">
        <is>
          <t>1,5-2%</t>
        </is>
      </c>
      <c r="G334" s="3" t="inlineStr">
        <is>
          <t>Tertiary education</t>
        </is>
      </c>
      <c r="H334" s="3" t="inlineStr">
        <is>
          <t>si</t>
        </is>
      </c>
      <c r="I334" s="3" t="inlineStr">
        <is>
          <t>si</t>
        </is>
      </c>
    </row>
    <row r="335">
      <c r="A335" s="3" t="inlineStr">
        <is>
          <t>097400</t>
        </is>
      </c>
      <c r="B335" s="11" t="n">
        <v>1.513</v>
      </c>
      <c r="C335" s="11" t="n">
        <v>1.5</v>
      </c>
      <c r="D335" s="3" t="inlineStr">
        <is>
          <t>Beni industriali</t>
        </is>
      </c>
      <c r="E335" s="3" t="inlineStr">
        <is>
          <t>Ricreazione, sport e cultura</t>
        </is>
      </c>
      <c r="F335" s="3" t="inlineStr">
        <is>
          <t>1,5-2%</t>
        </is>
      </c>
      <c r="G335" s="3" t="inlineStr">
        <is>
          <t>Stationery and drawing materials</t>
        </is>
      </c>
      <c r="H335" s="3" t="inlineStr">
        <is>
          <t>no</t>
        </is>
      </c>
      <c r="I335" s="3" t="inlineStr">
        <is>
          <t>si</t>
        </is>
      </c>
    </row>
    <row r="336">
      <c r="A336" s="3" t="inlineStr">
        <is>
          <t>093200</t>
        </is>
      </c>
      <c r="B336" s="11" t="n">
        <v>1.4688</v>
      </c>
      <c r="C336" s="11" t="n">
        <v>7.78</v>
      </c>
      <c r="D336" s="3" t="inlineStr">
        <is>
          <t>Beni industriali</t>
        </is>
      </c>
      <c r="E336" s="3" t="inlineStr">
        <is>
          <t>Ricreazione, sport e cultura</t>
        </is>
      </c>
      <c r="F336" s="3" t="inlineStr">
        <is>
          <t>sotto 1,5%</t>
        </is>
      </c>
      <c r="G336" s="3" t="inlineStr">
        <is>
          <t>Pets and pet products</t>
        </is>
      </c>
      <c r="H336" s="3" t="inlineStr">
        <is>
          <t>no</t>
        </is>
      </c>
      <c r="I336" s="3" t="inlineStr">
        <is>
          <t>si</t>
        </is>
      </c>
    </row>
    <row r="337">
      <c r="A337" s="3" t="inlineStr">
        <is>
          <t>011800</t>
        </is>
      </c>
      <c r="B337" s="11" t="n">
        <v>1.4353</v>
      </c>
      <c r="C337" s="11" t="n">
        <v>8.98</v>
      </c>
      <c r="D337" s="3" t="inlineStr">
        <is>
          <t>Alimentari</t>
        </is>
      </c>
      <c r="E337" s="3" t="inlineStr">
        <is>
          <t>Alimentari e bevande analcoliche</t>
        </is>
      </c>
      <c r="F337" s="3" t="inlineStr">
        <is>
          <t>sotto 1,5%</t>
        </is>
      </c>
      <c r="G337" s="3" t="inlineStr"/>
      <c r="H337" s="3" t="inlineStr"/>
      <c r="I337" s="3" t="inlineStr"/>
    </row>
    <row r="338">
      <c r="A338" s="3" t="inlineStr">
        <is>
          <t>102000</t>
        </is>
      </c>
      <c r="B338" s="11" t="n">
        <v>1.4197</v>
      </c>
      <c r="C338" s="11" t="n">
        <v>1.48</v>
      </c>
      <c r="D338" s="3" t="inlineStr">
        <is>
          <t>Servizi</t>
        </is>
      </c>
      <c r="E338" s="3" t="inlineStr">
        <is>
          <t>Istruzione</t>
        </is>
      </c>
      <c r="F338" s="3" t="inlineStr">
        <is>
          <t>sotto 1,5%</t>
        </is>
      </c>
      <c r="G338" s="3" t="inlineStr">
        <is>
          <t>Secondary education</t>
        </is>
      </c>
      <c r="H338" s="3" t="inlineStr">
        <is>
          <t>si</t>
        </is>
      </c>
      <c r="I338" s="3" t="inlineStr">
        <is>
          <t>si</t>
        </is>
      </c>
    </row>
    <row r="339">
      <c r="A339" s="3" t="inlineStr">
        <is>
          <t>031100</t>
        </is>
      </c>
      <c r="B339" s="11" t="n">
        <v>1.37</v>
      </c>
      <c r="C339" s="11" t="n">
        <v>0.4</v>
      </c>
      <c r="D339" s="3" t="inlineStr">
        <is>
          <t>Beni industriali</t>
        </is>
      </c>
      <c r="E339" s="3" t="inlineStr">
        <is>
          <t>Abbigliamento e calzature</t>
        </is>
      </c>
      <c r="F339" s="3" t="inlineStr">
        <is>
          <t>sotto 1,5%</t>
        </is>
      </c>
      <c r="G339" s="3" t="inlineStr">
        <is>
          <t>Clothing materials</t>
        </is>
      </c>
      <c r="H339" s="3" t="inlineStr">
        <is>
          <t>no</t>
        </is>
      </c>
      <c r="I339" s="3" t="inlineStr">
        <is>
          <t>no</t>
        </is>
      </c>
    </row>
    <row r="340">
      <c r="A340" s="3" t="inlineStr">
        <is>
          <t>041200</t>
        </is>
      </c>
      <c r="B340" s="11" t="n">
        <v>1.3553</v>
      </c>
      <c r="C340" s="11" t="n">
        <v>7.15</v>
      </c>
      <c r="D340" s="3" t="inlineStr">
        <is>
          <t>Servizi</t>
        </is>
      </c>
      <c r="E340" s="3" t="inlineStr">
        <is>
          <t>Abitazione e utenze</t>
        </is>
      </c>
      <c r="F340" s="3" t="inlineStr">
        <is>
          <t>sotto 1,5%</t>
        </is>
      </c>
      <c r="G340" s="3" t="inlineStr">
        <is>
          <t>Other actual rental payments</t>
        </is>
      </c>
      <c r="H340" s="3" t="inlineStr">
        <is>
          <t>si</t>
        </is>
      </c>
      <c r="I340" s="3" t="inlineStr">
        <is>
          <t>no</t>
        </is>
      </c>
    </row>
    <row r="341">
      <c r="A341" s="3" t="inlineStr">
        <is>
          <t>011100</t>
        </is>
      </c>
      <c r="B341" s="11" t="n">
        <v>1.2351</v>
      </c>
      <c r="C341" s="11" t="n">
        <v>17.99</v>
      </c>
      <c r="D341" s="3" t="inlineStr">
        <is>
          <t>Alimentari</t>
        </is>
      </c>
      <c r="E341" s="3" t="inlineStr">
        <is>
          <t>Alimentari e bevande analcoliche</t>
        </is>
      </c>
      <c r="F341" s="3" t="inlineStr">
        <is>
          <t>sotto 1,5%</t>
        </is>
      </c>
      <c r="G341" s="3" t="inlineStr"/>
      <c r="H341" s="3" t="inlineStr"/>
      <c r="I341" s="3" t="inlineStr"/>
    </row>
    <row r="342">
      <c r="A342" s="3" t="inlineStr">
        <is>
          <t>131200</t>
        </is>
      </c>
      <c r="B342" s="11" t="n">
        <v>1.2328</v>
      </c>
      <c r="C342" s="11" t="n">
        <v>11.98</v>
      </c>
      <c r="D342" s="3" t="inlineStr">
        <is>
          <t>Beni industriali</t>
        </is>
      </c>
      <c r="E342" s="3" t="inlineStr">
        <is>
          <t>Cura della persona e altri</t>
        </is>
      </c>
      <c r="F342" s="3" t="inlineStr">
        <is>
          <t>sotto 1,5%</t>
        </is>
      </c>
      <c r="G342" s="3" t="inlineStr">
        <is>
          <t>Other appliances, articles and products for personal care</t>
        </is>
      </c>
      <c r="H342" s="3" t="inlineStr">
        <is>
          <t>no</t>
        </is>
      </c>
      <c r="I342" s="3" t="inlineStr">
        <is>
          <t>si</t>
        </is>
      </c>
    </row>
    <row r="343">
      <c r="A343" s="3" t="inlineStr">
        <is>
          <t>043100</t>
        </is>
      </c>
      <c r="B343" s="11" t="n">
        <v>1.189</v>
      </c>
      <c r="C343" s="11" t="n">
        <v>6.54</v>
      </c>
      <c r="D343" s="3" t="inlineStr">
        <is>
          <t>Beni industriali</t>
        </is>
      </c>
      <c r="E343" s="3" t="inlineStr">
        <is>
          <t>Abitazione e utenze</t>
        </is>
      </c>
      <c r="F343" s="3" t="inlineStr">
        <is>
          <t>sotto 1,5%</t>
        </is>
      </c>
      <c r="G343" s="3" t="inlineStr">
        <is>
          <t>Security equipment and materials for dwelling maintenance and repair</t>
        </is>
      </c>
      <c r="H343" s="3" t="inlineStr">
        <is>
          <t>no</t>
        </is>
      </c>
      <c r="I343" s="3" t="inlineStr">
        <is>
          <t>si</t>
        </is>
      </c>
    </row>
    <row r="344">
      <c r="A344" s="3" t="inlineStr">
        <is>
          <t>097100</t>
        </is>
      </c>
      <c r="B344" s="11" t="n">
        <v>1.1038</v>
      </c>
      <c r="C344" s="11" t="n">
        <v>3.99</v>
      </c>
      <c r="D344" s="3" t="inlineStr">
        <is>
          <t>Beni industriali</t>
        </is>
      </c>
      <c r="E344" s="3" t="inlineStr">
        <is>
          <t>Ricreazione, sport e cultura</t>
        </is>
      </c>
      <c r="F344" s="3" t="inlineStr">
        <is>
          <t>sotto 1,5%</t>
        </is>
      </c>
      <c r="G344" s="3" t="inlineStr">
        <is>
          <t>Books</t>
        </is>
      </c>
      <c r="H344" s="3" t="inlineStr">
        <is>
          <t>no</t>
        </is>
      </c>
      <c r="I344" s="3" t="inlineStr">
        <is>
          <t>no</t>
        </is>
      </c>
    </row>
    <row r="345">
      <c r="A345" s="3" t="inlineStr">
        <is>
          <t>083400</t>
        </is>
      </c>
      <c r="B345" s="11" t="n">
        <v>1.0425</v>
      </c>
      <c r="C345" s="11" t="n">
        <v>7.88</v>
      </c>
      <c r="D345" s="3" t="inlineStr">
        <is>
          <t>Servizi</t>
        </is>
      </c>
      <c r="E345" s="3" t="inlineStr">
        <is>
          <t>Informazione e comunicazione</t>
        </is>
      </c>
      <c r="F345" s="3" t="inlineStr">
        <is>
          <t>sotto 1,5%</t>
        </is>
      </c>
      <c r="G345" s="3" t="inlineStr">
        <is>
          <t>Bundled telecommunication services</t>
        </is>
      </c>
      <c r="H345" s="3" t="inlineStr">
        <is>
          <t>si</t>
        </is>
      </c>
      <c r="I345" s="3" t="inlineStr">
        <is>
          <t>no</t>
        </is>
      </c>
    </row>
    <row r="346">
      <c r="A346" s="3" t="inlineStr">
        <is>
          <t>032100</t>
        </is>
      </c>
      <c r="B346" s="11" t="n">
        <v>0.9624</v>
      </c>
      <c r="C346" s="11" t="n">
        <v>5.8</v>
      </c>
      <c r="D346" s="3" t="inlineStr">
        <is>
          <t>Beni industriali</t>
        </is>
      </c>
      <c r="E346" s="3" t="inlineStr">
        <is>
          <t>Abbigliamento e calzature</t>
        </is>
      </c>
      <c r="F346" s="3" t="inlineStr">
        <is>
          <t>sotto 1,5%</t>
        </is>
      </c>
      <c r="G346" s="3" t="inlineStr">
        <is>
          <t>Shoes and other footwear</t>
        </is>
      </c>
      <c r="H346" s="3" t="inlineStr">
        <is>
          <t>no</t>
        </is>
      </c>
      <c r="I346" s="3" t="inlineStr">
        <is>
          <t>no</t>
        </is>
      </c>
    </row>
    <row r="347">
      <c r="A347" s="3" t="inlineStr">
        <is>
          <t>096300</t>
        </is>
      </c>
      <c r="B347" s="11" t="n">
        <v>0.9515</v>
      </c>
      <c r="C347" s="11" t="n">
        <v>1.22</v>
      </c>
      <c r="D347" s="3" t="inlineStr">
        <is>
          <t>Servizi</t>
        </is>
      </c>
      <c r="E347" s="3" t="inlineStr">
        <is>
          <t>Ricreazione, sport e cultura</t>
        </is>
      </c>
      <c r="F347" s="3" t="inlineStr">
        <is>
          <t>sotto 1,5%</t>
        </is>
      </c>
      <c r="G347" s="3" t="inlineStr">
        <is>
          <t>Photographic services</t>
        </is>
      </c>
      <c r="H347" s="3" t="inlineStr">
        <is>
          <t>no</t>
        </is>
      </c>
      <c r="I347" s="3" t="inlineStr">
        <is>
          <t>no</t>
        </is>
      </c>
    </row>
    <row r="348">
      <c r="A348" s="3" t="inlineStr">
        <is>
          <t>072400</t>
        </is>
      </c>
      <c r="B348" s="11" t="n">
        <v>0.9173</v>
      </c>
      <c r="C348" s="11" t="n">
        <v>14.67</v>
      </c>
      <c r="D348" s="3" t="inlineStr">
        <is>
          <t>Servizi</t>
        </is>
      </c>
      <c r="E348" s="3" t="inlineStr">
        <is>
          <t>Trasporti</t>
        </is>
      </c>
      <c r="F348" s="3" t="inlineStr">
        <is>
          <t>sotto 1,5%</t>
        </is>
      </c>
      <c r="G348" s="3" t="inlineStr">
        <is>
          <t>Other services related to personal transport equipment</t>
        </is>
      </c>
      <c r="H348" s="3" t="inlineStr">
        <is>
          <t>si</t>
        </is>
      </c>
      <c r="I348" s="3" t="inlineStr">
        <is>
          <t>si</t>
        </is>
      </c>
    </row>
    <row r="349">
      <c r="A349" s="3" t="inlineStr">
        <is>
          <t>054000</t>
        </is>
      </c>
      <c r="B349" s="11" t="n">
        <v>0.8467</v>
      </c>
      <c r="C349" s="11" t="n">
        <v>5.71</v>
      </c>
      <c r="D349" s="3" t="inlineStr">
        <is>
          <t>Beni industriali</t>
        </is>
      </c>
      <c r="E349" s="3" t="inlineStr">
        <is>
          <t>Mobili e articoli per la casa</t>
        </is>
      </c>
      <c r="F349" s="3" t="inlineStr">
        <is>
          <t>sotto 1,5%</t>
        </is>
      </c>
      <c r="G349" s="3" t="inlineStr">
        <is>
          <t>Glassware, tableware and household utensils</t>
        </is>
      </c>
      <c r="H349" s="3" t="inlineStr">
        <is>
          <t>no</t>
        </is>
      </c>
      <c r="I349" s="3" t="inlineStr">
        <is>
          <t>si</t>
        </is>
      </c>
    </row>
    <row r="350">
      <c r="A350" s="3" t="inlineStr">
        <is>
          <t>021100</t>
        </is>
      </c>
      <c r="B350" s="11" t="n">
        <v>0.7798</v>
      </c>
      <c r="C350" s="11" t="n">
        <v>3.16</v>
      </c>
      <c r="D350" s="3" t="inlineStr">
        <is>
          <t>Alimentari</t>
        </is>
      </c>
      <c r="E350" s="3" t="inlineStr">
        <is>
          <t>Alcolici e tabacchi</t>
        </is>
      </c>
      <c r="F350" s="3" t="inlineStr">
        <is>
          <t>sotto 1,5%</t>
        </is>
      </c>
      <c r="G350" s="3" t="inlineStr"/>
      <c r="H350" s="3" t="inlineStr"/>
      <c r="I350" s="3" t="inlineStr"/>
    </row>
    <row r="351">
      <c r="A351" s="3" t="inlineStr">
        <is>
          <t>122200</t>
        </is>
      </c>
      <c r="B351" s="11" t="n">
        <v>0.7489</v>
      </c>
      <c r="C351" s="11" t="n">
        <v>10.47</v>
      </c>
      <c r="D351" s="3" t="inlineStr">
        <is>
          <t>Servizi</t>
        </is>
      </c>
      <c r="E351" s="3" t="inlineStr">
        <is>
          <t>Assicurazioni e servizi finanziari</t>
        </is>
      </c>
      <c r="F351" s="3" t="inlineStr">
        <is>
          <t>sotto 1,5%</t>
        </is>
      </c>
      <c r="G351" s="3" t="inlineStr">
        <is>
          <t>Explicit charges by deposit-taking corporations</t>
        </is>
      </c>
      <c r="H351" s="3" t="inlineStr">
        <is>
          <t>no</t>
        </is>
      </c>
      <c r="I351" s="3" t="inlineStr">
        <is>
          <t>no</t>
        </is>
      </c>
    </row>
    <row r="352">
      <c r="A352" s="3" t="inlineStr">
        <is>
          <t>011900</t>
        </is>
      </c>
      <c r="B352" s="11" t="n">
        <v>0.7179</v>
      </c>
      <c r="C352" s="11" t="n">
        <v>8.25</v>
      </c>
      <c r="D352" s="3" t="inlineStr">
        <is>
          <t>Alimentari</t>
        </is>
      </c>
      <c r="E352" s="3" t="inlineStr">
        <is>
          <t>Alimentari e bevande analcoliche</t>
        </is>
      </c>
      <c r="F352" s="3" t="inlineStr">
        <is>
          <t>sotto 1,5%</t>
        </is>
      </c>
      <c r="G352" s="3" t="inlineStr"/>
      <c r="H352" s="3" t="inlineStr"/>
      <c r="I352" s="3" t="inlineStr"/>
    </row>
    <row r="353">
      <c r="A353" s="3" t="inlineStr">
        <is>
          <t>121100</t>
        </is>
      </c>
      <c r="B353" s="11" t="n">
        <v>0.6001</v>
      </c>
      <c r="C353" s="11" t="n">
        <v>3.99</v>
      </c>
      <c r="D353" s="3" t="inlineStr">
        <is>
          <t>Servizi</t>
        </is>
      </c>
      <c r="E353" s="3" t="inlineStr">
        <is>
          <t>Assicurazioni e servizi finanziari</t>
        </is>
      </c>
      <c r="F353" s="3" t="inlineStr">
        <is>
          <t>sotto 1,5%</t>
        </is>
      </c>
      <c r="G353" s="3" t="inlineStr">
        <is>
          <t>Life and accident insurance</t>
        </is>
      </c>
      <c r="H353" s="3" t="inlineStr">
        <is>
          <t>si</t>
        </is>
      </c>
      <c r="I353" s="3" t="inlineStr">
        <is>
          <t>no</t>
        </is>
      </c>
    </row>
    <row r="354">
      <c r="A354" s="3" t="inlineStr">
        <is>
          <t>073100</t>
        </is>
      </c>
      <c r="B354" s="11" t="n">
        <v>0.5372</v>
      </c>
      <c r="C354" s="11" t="n">
        <v>9.85</v>
      </c>
      <c r="D354" s="3" t="inlineStr">
        <is>
          <t>Servizi</t>
        </is>
      </c>
      <c r="E354" s="3" t="inlineStr">
        <is>
          <t>Trasporti</t>
        </is>
      </c>
      <c r="F354" s="3" t="inlineStr">
        <is>
          <t>sotto 1,5%</t>
        </is>
      </c>
      <c r="G354" s="3" t="inlineStr">
        <is>
          <t>Passenger transport by railway</t>
        </is>
      </c>
      <c r="H354" s="3" t="inlineStr">
        <is>
          <t>no</t>
        </is>
      </c>
      <c r="I354" s="3" t="inlineStr">
        <is>
          <t>no</t>
        </is>
      </c>
    </row>
    <row r="355">
      <c r="A355" s="3" t="inlineStr">
        <is>
          <t>094500</t>
        </is>
      </c>
      <c r="B355" s="11" t="n">
        <v>0.4298</v>
      </c>
      <c r="C355" s="11" t="n">
        <v>3.16</v>
      </c>
      <c r="D355" s="3" t="inlineStr">
        <is>
          <t>Servizi</t>
        </is>
      </c>
      <c r="E355" s="3" t="inlineStr">
        <is>
          <t>Ricreazione, sport e cultura</t>
        </is>
      </c>
      <c r="F355" s="3" t="inlineStr">
        <is>
          <t>sotto 1,5%</t>
        </is>
      </c>
      <c r="G355" s="3" t="inlineStr">
        <is>
          <t>Veterinary and other services for pets</t>
        </is>
      </c>
      <c r="H355" s="3" t="inlineStr">
        <is>
          <t>si</t>
        </is>
      </c>
      <c r="I355" s="3" t="inlineStr">
        <is>
          <t>si</t>
        </is>
      </c>
    </row>
    <row r="356">
      <c r="A356" s="3" t="inlineStr">
        <is>
          <t>074100</t>
        </is>
      </c>
      <c r="B356" s="11" t="n">
        <v>0.4274</v>
      </c>
      <c r="C356" s="11" t="n">
        <v>1.68</v>
      </c>
      <c r="D356" s="3" t="inlineStr">
        <is>
          <t>Servizi</t>
        </is>
      </c>
      <c r="E356" s="3" t="inlineStr">
        <is>
          <t>Trasporti</t>
        </is>
      </c>
      <c r="F356" s="3" t="inlineStr">
        <is>
          <t>sotto 1,5%</t>
        </is>
      </c>
      <c r="G356" s="3" t="inlineStr">
        <is>
          <t>Postal and courier services</t>
        </is>
      </c>
      <c r="H356" s="3" t="inlineStr">
        <is>
          <t>no</t>
        </is>
      </c>
      <c r="I356" s="3" t="inlineStr">
        <is>
          <t>no</t>
        </is>
      </c>
    </row>
    <row r="357">
      <c r="A357" s="3" t="inlineStr">
        <is>
          <t>011200</t>
        </is>
      </c>
      <c r="B357" s="11" t="n">
        <v>0.3659</v>
      </c>
      <c r="C357" s="11" t="n">
        <v>24.66</v>
      </c>
      <c r="D357" s="3" t="inlineStr">
        <is>
          <t>Alimentari</t>
        </is>
      </c>
      <c r="E357" s="3" t="inlineStr">
        <is>
          <t>Alimentari e bevande analcoliche</t>
        </is>
      </c>
      <c r="F357" s="3" t="inlineStr">
        <is>
          <t>sotto 1,5%</t>
        </is>
      </c>
      <c r="G357" s="3" t="inlineStr"/>
      <c r="H357" s="3" t="inlineStr"/>
      <c r="I357" s="3" t="inlineStr"/>
    </row>
    <row r="358">
      <c r="A358" s="3" t="inlineStr">
        <is>
          <t>012300</t>
        </is>
      </c>
      <c r="B358" s="11" t="n">
        <v>0.3259</v>
      </c>
      <c r="C358" s="11" t="n">
        <v>0.92</v>
      </c>
      <c r="D358" s="3" t="inlineStr">
        <is>
          <t>Alimentari</t>
        </is>
      </c>
      <c r="E358" s="3" t="inlineStr">
        <is>
          <t>Alimentari e bevande analcoliche</t>
        </is>
      </c>
      <c r="F358" s="3" t="inlineStr">
        <is>
          <t>sotto 1,5%</t>
        </is>
      </c>
      <c r="G358" s="3" t="inlineStr"/>
      <c r="H358" s="3" t="inlineStr"/>
      <c r="I358" s="3" t="inlineStr"/>
    </row>
    <row r="359">
      <c r="A359" s="3" t="inlineStr">
        <is>
          <t>056100</t>
        </is>
      </c>
      <c r="B359" s="11" t="n">
        <v>0.2999</v>
      </c>
      <c r="C359" s="11" t="n">
        <v>5.92</v>
      </c>
      <c r="D359" s="3" t="inlineStr">
        <is>
          <t>Beni industriali</t>
        </is>
      </c>
      <c r="E359" s="3" t="inlineStr">
        <is>
          <t>Mobili e articoli per la casa</t>
        </is>
      </c>
      <c r="F359" s="3" t="inlineStr">
        <is>
          <t>sotto 1,5%</t>
        </is>
      </c>
      <c r="G359" s="3" t="inlineStr">
        <is>
          <t>Non-durable household goods</t>
        </is>
      </c>
      <c r="H359" s="3" t="inlineStr">
        <is>
          <t>no</t>
        </is>
      </c>
      <c r="I359" s="3" t="inlineStr">
        <is>
          <t>si</t>
        </is>
      </c>
    </row>
    <row r="360">
      <c r="A360" s="3" t="inlineStr">
        <is>
          <t>031200</t>
        </is>
      </c>
      <c r="B360" s="11" t="n">
        <v>0.2952</v>
      </c>
      <c r="C360" s="11" t="n">
        <v>32.74</v>
      </c>
      <c r="D360" s="3" t="inlineStr">
        <is>
          <t>Beni industriali</t>
        </is>
      </c>
      <c r="E360" s="3" t="inlineStr">
        <is>
          <t>Abbigliamento e calzature</t>
        </is>
      </c>
      <c r="F360" s="3" t="inlineStr">
        <is>
          <t>sotto 1,5%</t>
        </is>
      </c>
      <c r="G360" s="3" t="inlineStr">
        <is>
          <t>Garments</t>
        </is>
      </c>
      <c r="H360" s="3" t="inlineStr">
        <is>
          <t>no</t>
        </is>
      </c>
      <c r="I360" s="3" t="inlineStr">
        <is>
          <t>no</t>
        </is>
      </c>
    </row>
    <row r="361">
      <c r="A361" s="3" t="inlineStr">
        <is>
          <t>132900</t>
        </is>
      </c>
      <c r="B361" s="11" t="n">
        <v>0.2599</v>
      </c>
      <c r="C361" s="11" t="n">
        <v>2.44</v>
      </c>
      <c r="D361" s="3" t="inlineStr">
        <is>
          <t>Beni industriali</t>
        </is>
      </c>
      <c r="E361" s="3" t="inlineStr">
        <is>
          <t>Cura della persona e altri</t>
        </is>
      </c>
      <c r="F361" s="3" t="inlineStr">
        <is>
          <t>sotto 1,5%</t>
        </is>
      </c>
      <c r="G361" s="3" t="inlineStr">
        <is>
          <t>Other personal effects n.e.c.</t>
        </is>
      </c>
      <c r="H361" s="3" t="inlineStr">
        <is>
          <t>no</t>
        </is>
      </c>
      <c r="I361" s="3" t="inlineStr">
        <is>
          <t>si</t>
        </is>
      </c>
    </row>
    <row r="362">
      <c r="A362" s="3" t="inlineStr">
        <is>
          <t>072100</t>
        </is>
      </c>
      <c r="B362" s="11" t="n">
        <v>0.0804</v>
      </c>
      <c r="C362" s="11" t="n">
        <v>9.81</v>
      </c>
      <c r="D362" s="3" t="inlineStr">
        <is>
          <t>Beni industriali</t>
        </is>
      </c>
      <c r="E362" s="3" t="inlineStr">
        <is>
          <t>Trasporti</t>
        </is>
      </c>
      <c r="F362" s="3" t="inlineStr">
        <is>
          <t>sotto 1,5%</t>
        </is>
      </c>
      <c r="G362" s="3" t="inlineStr">
        <is>
          <t>Parts and accessories for personal transport equipment</t>
        </is>
      </c>
      <c r="H362" s="3" t="inlineStr">
        <is>
          <t>no</t>
        </is>
      </c>
      <c r="I362" s="3" t="inlineStr">
        <is>
          <t>si</t>
        </is>
      </c>
    </row>
    <row r="363">
      <c r="A363" s="3" t="inlineStr">
        <is>
          <t>062100</t>
        </is>
      </c>
      <c r="B363" s="11" t="n">
        <v>0.01</v>
      </c>
      <c r="C363" s="11" t="n">
        <v>6.39</v>
      </c>
      <c r="D363" s="3" t="inlineStr">
        <is>
          <t>Servizi</t>
        </is>
      </c>
      <c r="E363" s="3" t="inlineStr">
        <is>
          <t>Salute</t>
        </is>
      </c>
      <c r="F363" s="3" t="inlineStr">
        <is>
          <t>sotto 1,5%</t>
        </is>
      </c>
      <c r="G363" s="3" t="inlineStr">
        <is>
          <t>Preventive care services</t>
        </is>
      </c>
      <c r="H363" s="3" t="inlineStr">
        <is>
          <t>si</t>
        </is>
      </c>
      <c r="I363" s="3" t="inlineStr">
        <is>
          <t>no</t>
        </is>
      </c>
    </row>
    <row r="364">
      <c r="A364" s="3" t="inlineStr">
        <is>
          <t>064100</t>
        </is>
      </c>
      <c r="B364" s="11" t="n">
        <v>0.01</v>
      </c>
      <c r="C364" s="11" t="n">
        <v>0.84</v>
      </c>
      <c r="D364" s="3" t="inlineStr">
        <is>
          <t>Servizi</t>
        </is>
      </c>
      <c r="E364" s="3" t="inlineStr">
        <is>
          <t>Salute</t>
        </is>
      </c>
      <c r="F364" s="3" t="inlineStr">
        <is>
          <t>sotto 1,5%</t>
        </is>
      </c>
      <c r="G364" s="3" t="inlineStr">
        <is>
          <t>Diagnostic imaging services and medical laboratory services</t>
        </is>
      </c>
      <c r="H364" s="3" t="inlineStr">
        <is>
          <t>si</t>
        </is>
      </c>
      <c r="I364" s="3" t="inlineStr">
        <is>
          <t>no</t>
        </is>
      </c>
    </row>
    <row r="365">
      <c r="A365" s="3" t="inlineStr">
        <is>
          <t>021200</t>
        </is>
      </c>
      <c r="B365" s="11" t="n">
        <v>0.01</v>
      </c>
      <c r="C365" s="11" t="n">
        <v>7.02</v>
      </c>
      <c r="D365" s="3" t="inlineStr">
        <is>
          <t>Alimentari</t>
        </is>
      </c>
      <c r="E365" s="3" t="inlineStr">
        <is>
          <t>Alcolici e tabacchi</t>
        </is>
      </c>
      <c r="F365" s="3" t="inlineStr">
        <is>
          <t>sotto 1,5%</t>
        </is>
      </c>
      <c r="G365" s="3" t="inlineStr"/>
      <c r="H365" s="3" t="inlineStr"/>
      <c r="I365" s="3" t="inlineStr"/>
    </row>
    <row r="366">
      <c r="A366" s="3" t="inlineStr">
        <is>
          <t>121400</t>
        </is>
      </c>
      <c r="B366" s="11" t="n">
        <v>-0.0489</v>
      </c>
      <c r="C366" s="11" t="n">
        <v>8.91</v>
      </c>
      <c r="D366" s="3" t="inlineStr">
        <is>
          <t>Servizi</t>
        </is>
      </c>
      <c r="E366" s="3" t="inlineStr">
        <is>
          <t>Assicurazioni e servizi finanziari</t>
        </is>
      </c>
      <c r="F366" s="3" t="inlineStr">
        <is>
          <t>sotto 1,5%</t>
        </is>
      </c>
      <c r="G366" s="3" t="inlineStr">
        <is>
          <t>Insurance connected with transport</t>
        </is>
      </c>
      <c r="H366" s="3" t="inlineStr">
        <is>
          <t>si</t>
        </is>
      </c>
      <c r="I366" s="3" t="inlineStr">
        <is>
          <t>no</t>
        </is>
      </c>
    </row>
    <row r="367">
      <c r="A367" s="3" t="inlineStr">
        <is>
          <t>083300</t>
        </is>
      </c>
      <c r="B367" s="11" t="n">
        <v>-0.1399</v>
      </c>
      <c r="C367" s="11" t="n">
        <v>0.3</v>
      </c>
      <c r="D367" s="3" t="inlineStr">
        <is>
          <t>Servizi</t>
        </is>
      </c>
      <c r="E367" s="3" t="inlineStr">
        <is>
          <t>Informazione e comunicazione</t>
        </is>
      </c>
      <c r="F367" s="3" t="inlineStr">
        <is>
          <t>sotto 1,5%</t>
        </is>
      </c>
      <c r="G367" s="3" t="inlineStr">
        <is>
          <t>Internet access provision services and online storage services</t>
        </is>
      </c>
      <c r="H367" s="3" t="inlineStr">
        <is>
          <t>si</t>
        </is>
      </c>
      <c r="I367" s="3" t="inlineStr">
        <is>
          <t>no</t>
        </is>
      </c>
    </row>
    <row r="368">
      <c r="A368" s="3" t="inlineStr">
        <is>
          <t>091100</t>
        </is>
      </c>
      <c r="B368" s="11" t="n">
        <v>-0.219</v>
      </c>
      <c r="C368" s="11" t="n">
        <v>2.92</v>
      </c>
      <c r="D368" s="3" t="inlineStr">
        <is>
          <t>Beni industriali</t>
        </is>
      </c>
      <c r="E368" s="3" t="inlineStr">
        <is>
          <t>Ricreazione, sport e cultura</t>
        </is>
      </c>
      <c r="F368" s="3" t="inlineStr">
        <is>
          <t>sotto 1,5%</t>
        </is>
      </c>
      <c r="G368" s="3" t="inlineStr">
        <is>
          <t>Photographic and cinematographic equipment and optical instruments</t>
        </is>
      </c>
      <c r="H368" s="3" t="inlineStr">
        <is>
          <t>no</t>
        </is>
      </c>
      <c r="I368" s="3" t="inlineStr">
        <is>
          <t>no</t>
        </is>
      </c>
    </row>
    <row r="369">
      <c r="A369" s="3" t="inlineStr">
        <is>
          <t>051100</t>
        </is>
      </c>
      <c r="B369" s="11" t="n">
        <v>-0.2592</v>
      </c>
      <c r="C369" s="11" t="n">
        <v>22.1</v>
      </c>
      <c r="D369" s="3" t="inlineStr">
        <is>
          <t>Beni industriali</t>
        </is>
      </c>
      <c r="E369" s="3" t="inlineStr">
        <is>
          <t>Mobili e articoli per la casa</t>
        </is>
      </c>
      <c r="F369" s="3" t="inlineStr">
        <is>
          <t>sotto 1,5%</t>
        </is>
      </c>
      <c r="G369" s="3" t="inlineStr">
        <is>
          <t>Furniture, furnishings and loose carpets</t>
        </is>
      </c>
      <c r="H369" s="3" t="inlineStr">
        <is>
          <t>no</t>
        </is>
      </c>
      <c r="I369" s="3" t="inlineStr">
        <is>
          <t>si</t>
        </is>
      </c>
    </row>
    <row r="370">
      <c r="A370" s="3" t="inlineStr">
        <is>
          <t>071200</t>
        </is>
      </c>
      <c r="B370" s="11" t="n">
        <v>-0.3396</v>
      </c>
      <c r="C370" s="11" t="n">
        <v>2.75</v>
      </c>
      <c r="D370" s="3" t="inlineStr">
        <is>
          <t>Beni industriali</t>
        </is>
      </c>
      <c r="E370" s="3" t="inlineStr">
        <is>
          <t>Trasporti</t>
        </is>
      </c>
      <c r="F370" s="3" t="inlineStr">
        <is>
          <t>sotto 1,5%</t>
        </is>
      </c>
      <c r="G370" s="3" t="inlineStr">
        <is>
          <t>Motorcycles</t>
        </is>
      </c>
      <c r="H370" s="3" t="inlineStr">
        <is>
          <t>no</t>
        </is>
      </c>
      <c r="I370" s="3" t="inlineStr">
        <is>
          <t>no</t>
        </is>
      </c>
    </row>
    <row r="371">
      <c r="A371" s="3" t="inlineStr">
        <is>
          <t>092100</t>
        </is>
      </c>
      <c r="B371" s="11" t="n">
        <v>-0.7274</v>
      </c>
      <c r="C371" s="11" t="n">
        <v>4.77</v>
      </c>
      <c r="D371" s="3" t="inlineStr">
        <is>
          <t>Beni industriali</t>
        </is>
      </c>
      <c r="E371" s="3" t="inlineStr">
        <is>
          <t>Ricreazione, sport e cultura</t>
        </is>
      </c>
      <c r="F371" s="3" t="inlineStr">
        <is>
          <t>sotto 1,5%</t>
        </is>
      </c>
      <c r="G371" s="3" t="inlineStr">
        <is>
          <t>Games, toys and hobby-related articles</t>
        </is>
      </c>
      <c r="H371" s="3" t="inlineStr">
        <is>
          <t>no</t>
        </is>
      </c>
      <c r="I371" s="3" t="inlineStr">
        <is>
          <t>no</t>
        </is>
      </c>
    </row>
    <row r="372">
      <c r="A372" s="3" t="inlineStr">
        <is>
          <t>045500</t>
        </is>
      </c>
      <c r="B372" s="11" t="n">
        <v>-0.987</v>
      </c>
      <c r="C372" s="11" t="n">
        <v>4.12</v>
      </c>
      <c r="D372" s="3" t="inlineStr">
        <is>
          <t>Energia</t>
        </is>
      </c>
      <c r="E372" s="3" t="inlineStr">
        <is>
          <t>Abitazione e utenze</t>
        </is>
      </c>
      <c r="F372" s="3" t="inlineStr">
        <is>
          <t>sotto 1,5%</t>
        </is>
      </c>
      <c r="G372" s="3" t="inlineStr"/>
      <c r="H372" s="3" t="inlineStr"/>
      <c r="I372" s="3" t="inlineStr"/>
    </row>
    <row r="373">
      <c r="A373" s="3" t="inlineStr">
        <is>
          <t>083200</t>
        </is>
      </c>
      <c r="B373" s="11" t="n">
        <v>-1.0251</v>
      </c>
      <c r="C373" s="11" t="n">
        <v>7.79</v>
      </c>
      <c r="D373" s="3" t="inlineStr">
        <is>
          <t>Servizi</t>
        </is>
      </c>
      <c r="E373" s="3" t="inlineStr">
        <is>
          <t>Informazione e comunicazione</t>
        </is>
      </c>
      <c r="F373" s="3" t="inlineStr">
        <is>
          <t>sotto 1,5%</t>
        </is>
      </c>
      <c r="G373" s="3" t="inlineStr">
        <is>
          <t>Mobile communication services</t>
        </is>
      </c>
      <c r="H373" s="3" t="inlineStr">
        <is>
          <t>si</t>
        </is>
      </c>
      <c r="I373" s="3" t="inlineStr">
        <is>
          <t>no</t>
        </is>
      </c>
    </row>
    <row r="374">
      <c r="A374" s="3" t="inlineStr">
        <is>
          <t>095100</t>
        </is>
      </c>
      <c r="B374" s="11" t="n">
        <v>-1.2302</v>
      </c>
      <c r="C374" s="11" t="n">
        <v>1.2</v>
      </c>
      <c r="D374" s="3" t="inlineStr">
        <is>
          <t>Beni industriali</t>
        </is>
      </c>
      <c r="E374" s="3" t="inlineStr">
        <is>
          <t>Ricreazione, sport e cultura</t>
        </is>
      </c>
      <c r="F374" s="3" t="inlineStr">
        <is>
          <t>sotto 1,5%</t>
        </is>
      </c>
      <c r="G374" s="3" t="inlineStr">
        <is>
          <t>Musical instruments</t>
        </is>
      </c>
      <c r="H374" s="3" t="inlineStr">
        <is>
          <t>no</t>
        </is>
      </c>
      <c r="I374" s="3" t="inlineStr">
        <is>
          <t>no</t>
        </is>
      </c>
    </row>
    <row r="375">
      <c r="A375" s="3" t="inlineStr">
        <is>
          <t>071300</t>
        </is>
      </c>
      <c r="B375" s="11" t="n">
        <v>-1.7307</v>
      </c>
      <c r="C375" s="11" t="n">
        <v>5.55</v>
      </c>
      <c r="D375" s="3" t="inlineStr">
        <is>
          <t>Beni industriali</t>
        </is>
      </c>
      <c r="E375" s="3" t="inlineStr">
        <is>
          <t>Trasporti</t>
        </is>
      </c>
      <c r="F375" s="3" t="inlineStr">
        <is>
          <t>sotto 1,5%</t>
        </is>
      </c>
      <c r="G375" s="3" t="inlineStr">
        <is>
          <t>Bicycles</t>
        </is>
      </c>
      <c r="H375" s="3" t="inlineStr">
        <is>
          <t>no</t>
        </is>
      </c>
      <c r="I375" s="3" t="inlineStr">
        <is>
          <t>no</t>
        </is>
      </c>
    </row>
    <row r="376">
      <c r="A376" s="3" t="inlineStr">
        <is>
          <t>055200</t>
        </is>
      </c>
      <c r="B376" s="11" t="n">
        <v>-1.8876</v>
      </c>
      <c r="C376" s="11" t="n">
        <v>2.7</v>
      </c>
      <c r="D376" s="3" t="inlineStr">
        <is>
          <t>Beni industriali</t>
        </is>
      </c>
      <c r="E376" s="3" t="inlineStr">
        <is>
          <t>Mobili e articoli per la casa</t>
        </is>
      </c>
      <c r="F376" s="3" t="inlineStr">
        <is>
          <t>sotto 1,5%</t>
        </is>
      </c>
      <c r="G376" s="3" t="inlineStr">
        <is>
          <t>Non-motorized tools and miscellaneous accessories</t>
        </is>
      </c>
      <c r="H376" s="3" t="inlineStr">
        <is>
          <t>no</t>
        </is>
      </c>
      <c r="I376" s="3" t="inlineStr">
        <is>
          <t>si</t>
        </is>
      </c>
    </row>
    <row r="377">
      <c r="A377" s="3" t="inlineStr">
        <is>
          <t>131100</t>
        </is>
      </c>
      <c r="B377" s="11" t="n">
        <v>-1.9306</v>
      </c>
      <c r="C377" s="11" t="n">
        <v>0.49</v>
      </c>
      <c r="D377" s="3" t="inlineStr">
        <is>
          <t>Beni industriali</t>
        </is>
      </c>
      <c r="E377" s="3" t="inlineStr">
        <is>
          <t>Cura della persona e altri</t>
        </is>
      </c>
      <c r="F377" s="3" t="inlineStr">
        <is>
          <t>sotto 1,5%</t>
        </is>
      </c>
      <c r="G377" s="3" t="inlineStr">
        <is>
          <t>Electric appliances for personal care</t>
        </is>
      </c>
      <c r="H377" s="3" t="inlineStr">
        <is>
          <t>no</t>
        </is>
      </c>
      <c r="I377" s="3" t="inlineStr">
        <is>
          <t>no</t>
        </is>
      </c>
    </row>
    <row r="378">
      <c r="A378" s="3" t="inlineStr">
        <is>
          <t>053200</t>
        </is>
      </c>
      <c r="B378" s="11" t="n">
        <v>-1.9515</v>
      </c>
      <c r="C378" s="11" t="n">
        <v>4.3</v>
      </c>
      <c r="D378" s="3" t="inlineStr">
        <is>
          <t>Beni industriali</t>
        </is>
      </c>
      <c r="E378" s="3" t="inlineStr">
        <is>
          <t>Mobili e articoli per la casa</t>
        </is>
      </c>
      <c r="F378" s="3" t="inlineStr">
        <is>
          <t>sotto 1,5%</t>
        </is>
      </c>
      <c r="G378" s="3" t="inlineStr">
        <is>
          <t>Small household appliances</t>
        </is>
      </c>
      <c r="H378" s="3" t="inlineStr">
        <is>
          <t>no</t>
        </is>
      </c>
      <c r="I378" s="3" t="inlineStr">
        <is>
          <t>si</t>
        </is>
      </c>
    </row>
    <row r="379">
      <c r="A379" s="3" t="inlineStr">
        <is>
          <t>055100</t>
        </is>
      </c>
      <c r="B379" s="11" t="n">
        <v>-2.0257</v>
      </c>
      <c r="C379" s="11" t="n">
        <v>1.69</v>
      </c>
      <c r="D379" s="3" t="inlineStr">
        <is>
          <t>Beni industriali</t>
        </is>
      </c>
      <c r="E379" s="3" t="inlineStr">
        <is>
          <t>Mobili e articoli per la casa</t>
        </is>
      </c>
      <c r="F379" s="3" t="inlineStr">
        <is>
          <t>sotto 1,5%</t>
        </is>
      </c>
      <c r="G379" s="3" t="inlineStr">
        <is>
          <t>Motorized tools and equipment</t>
        </is>
      </c>
      <c r="H379" s="3" t="inlineStr">
        <is>
          <t>no</t>
        </is>
      </c>
      <c r="I379" s="3" t="inlineStr">
        <is>
          <t>no</t>
        </is>
      </c>
    </row>
    <row r="380">
      <c r="A380" s="3" t="inlineStr">
        <is>
          <t>095200</t>
        </is>
      </c>
      <c r="B380" s="11" t="n">
        <v>-2.0849</v>
      </c>
      <c r="C380" s="11" t="n">
        <v>1.14</v>
      </c>
      <c r="D380" s="3" t="inlineStr">
        <is>
          <t>Beni industriali</t>
        </is>
      </c>
      <c r="E380" s="3" t="inlineStr">
        <is>
          <t>Ricreazione, sport e cultura</t>
        </is>
      </c>
      <c r="F380" s="3" t="inlineStr">
        <is>
          <t>sotto 1,5%</t>
        </is>
      </c>
      <c r="G380" s="3" t="inlineStr">
        <is>
          <t>Audiovisual media</t>
        </is>
      </c>
      <c r="H380" s="3" t="inlineStr">
        <is>
          <t>no</t>
        </is>
      </c>
      <c r="I380" s="3" t="inlineStr">
        <is>
          <t>no</t>
        </is>
      </c>
    </row>
    <row r="381">
      <c r="A381" s="3" t="inlineStr">
        <is>
          <t>081100</t>
        </is>
      </c>
      <c r="B381" s="11" t="n">
        <v>-2.3214</v>
      </c>
      <c r="C381" s="11" t="n">
        <v>0.28</v>
      </c>
      <c r="D381" s="3" t="inlineStr">
        <is>
          <t>Beni industriali</t>
        </is>
      </c>
      <c r="E381" s="3" t="inlineStr">
        <is>
          <t>Informazione e comunicazione</t>
        </is>
      </c>
      <c r="F381" s="3" t="inlineStr">
        <is>
          <t>sotto 1,5%</t>
        </is>
      </c>
      <c r="G381" s="3" t="inlineStr">
        <is>
          <t>Fixed telephone equipment</t>
        </is>
      </c>
      <c r="H381" s="3" t="inlineStr">
        <is>
          <t>no</t>
        </is>
      </c>
      <c r="I381" s="3" t="inlineStr">
        <is>
          <t>no</t>
        </is>
      </c>
    </row>
    <row r="382">
      <c r="A382" s="3" t="inlineStr">
        <is>
          <t>011600</t>
        </is>
      </c>
      <c r="B382" s="11" t="n">
        <v>-2.3866</v>
      </c>
      <c r="C382" s="11" t="n">
        <v>12.87</v>
      </c>
      <c r="D382" s="3" t="inlineStr">
        <is>
          <t>Alimentari</t>
        </is>
      </c>
      <c r="E382" s="3" t="inlineStr">
        <is>
          <t>Alimentari e bevande analcoliche</t>
        </is>
      </c>
      <c r="F382" s="3" t="inlineStr">
        <is>
          <t>sotto 1,5%</t>
        </is>
      </c>
      <c r="G382" s="3" t="inlineStr"/>
      <c r="H382" s="3" t="inlineStr"/>
      <c r="I382" s="3" t="inlineStr"/>
    </row>
    <row r="383">
      <c r="A383" s="3" t="inlineStr">
        <is>
          <t>092200</t>
        </is>
      </c>
      <c r="B383" s="11" t="n">
        <v>-2.5546</v>
      </c>
      <c r="C383" s="11" t="n">
        <v>4.41</v>
      </c>
      <c r="D383" s="3" t="inlineStr">
        <is>
          <t>Beni industriali</t>
        </is>
      </c>
      <c r="E383" s="3" t="inlineStr">
        <is>
          <t>Ricreazione, sport e cultura</t>
        </is>
      </c>
      <c r="F383" s="3" t="inlineStr">
        <is>
          <t>sotto 1,5%</t>
        </is>
      </c>
      <c r="G383" s="3" t="inlineStr">
        <is>
          <t>Sporting, camping and open-air recreation equipment</t>
        </is>
      </c>
      <c r="H383" s="3" t="inlineStr">
        <is>
          <t>no</t>
        </is>
      </c>
      <c r="I383" s="3" t="inlineStr">
        <is>
          <t>no</t>
        </is>
      </c>
    </row>
    <row r="384">
      <c r="A384" s="3" t="inlineStr">
        <is>
          <t>094200</t>
        </is>
      </c>
      <c r="B384" s="11" t="n">
        <v>-2.7199</v>
      </c>
      <c r="C384" s="11" t="n">
        <v>0.19</v>
      </c>
      <c r="D384" s="3" t="inlineStr">
        <is>
          <t>Servizi</t>
        </is>
      </c>
      <c r="E384" s="3" t="inlineStr">
        <is>
          <t>Ricreazione, sport e cultura</t>
        </is>
      </c>
      <c r="F384" s="3" t="inlineStr">
        <is>
          <t>sotto 1,5%</t>
        </is>
      </c>
      <c r="G384" s="3" t="inlineStr">
        <is>
          <t>Hire, maintenance and repair of major recreational durables</t>
        </is>
      </c>
      <c r="H384" s="3" t="inlineStr">
        <is>
          <t>si</t>
        </is>
      </c>
      <c r="I384" s="3" t="inlineStr">
        <is>
          <t>no</t>
        </is>
      </c>
    </row>
    <row r="385">
      <c r="A385" s="3" t="inlineStr">
        <is>
          <t>011400</t>
        </is>
      </c>
      <c r="B385" s="11" t="n">
        <v>-2.9144</v>
      </c>
      <c r="C385" s="11" t="n">
        <v>18.66</v>
      </c>
      <c r="D385" s="3" t="inlineStr">
        <is>
          <t>Alimentari</t>
        </is>
      </c>
      <c r="E385" s="3" t="inlineStr">
        <is>
          <t>Alimentari e bevande analcoliche</t>
        </is>
      </c>
      <c r="F385" s="3" t="inlineStr">
        <is>
          <t>sotto 1,5%</t>
        </is>
      </c>
      <c r="G385" s="3" t="inlineStr"/>
      <c r="H385" s="3" t="inlineStr"/>
      <c r="I385" s="3" t="inlineStr"/>
    </row>
    <row r="386">
      <c r="A386" s="3" t="inlineStr">
        <is>
          <t>053100</t>
        </is>
      </c>
      <c r="B386" s="11" t="n">
        <v>-3.1519</v>
      </c>
      <c r="C386" s="11" t="n">
        <v>5.73</v>
      </c>
      <c r="D386" s="3" t="inlineStr">
        <is>
          <t>Beni industriali</t>
        </is>
      </c>
      <c r="E386" s="3" t="inlineStr">
        <is>
          <t>Mobili e articoli per la casa</t>
        </is>
      </c>
      <c r="F386" s="3" t="inlineStr">
        <is>
          <t>sotto 1,5%</t>
        </is>
      </c>
      <c r="G386" s="3" t="inlineStr">
        <is>
          <t>Major electric and other household appliances</t>
        </is>
      </c>
      <c r="H386" s="3" t="inlineStr">
        <is>
          <t>no</t>
        </is>
      </c>
      <c r="I386" s="3" t="inlineStr">
        <is>
          <t>si</t>
        </is>
      </c>
    </row>
    <row r="387">
      <c r="A387" s="3" t="inlineStr">
        <is>
          <t>045200</t>
        </is>
      </c>
      <c r="B387" s="11" t="n">
        <v>-3.4124</v>
      </c>
      <c r="C387" s="11" t="n">
        <v>15.8</v>
      </c>
      <c r="D387" s="3" t="inlineStr">
        <is>
          <t>Energia</t>
        </is>
      </c>
      <c r="E387" s="3" t="inlineStr">
        <is>
          <t>Abitazione e utenze</t>
        </is>
      </c>
      <c r="F387" s="3" t="inlineStr">
        <is>
          <t>sotto 1,5%</t>
        </is>
      </c>
      <c r="G387" s="3" t="inlineStr"/>
      <c r="H387" s="3" t="inlineStr"/>
      <c r="I387" s="3" t="inlineStr"/>
    </row>
    <row r="388">
      <c r="A388" s="3" t="inlineStr">
        <is>
          <t>082000</t>
        </is>
      </c>
      <c r="B388" s="11" t="n">
        <v>-3.8886</v>
      </c>
      <c r="C388" s="11" t="n">
        <v>0.68</v>
      </c>
      <c r="D388" s="3" t="inlineStr">
        <is>
          <t>Servizi</t>
        </is>
      </c>
      <c r="E388" s="3" t="inlineStr">
        <is>
          <t>Informazione e comunicazione</t>
        </is>
      </c>
      <c r="F388" s="3" t="inlineStr">
        <is>
          <t>sotto 1,5%</t>
        </is>
      </c>
      <c r="G388" s="3" t="inlineStr">
        <is>
          <t>Software, excluding games</t>
        </is>
      </c>
      <c r="H388" s="3" t="inlineStr">
        <is>
          <t>no</t>
        </is>
      </c>
      <c r="I388" s="3" t="inlineStr">
        <is>
          <t>no</t>
        </is>
      </c>
    </row>
    <row r="389">
      <c r="A389" s="3" t="inlineStr">
        <is>
          <t>012200</t>
        </is>
      </c>
      <c r="B389" s="11" t="n">
        <v>-4.2187</v>
      </c>
      <c r="C389" s="11" t="n">
        <v>3.49</v>
      </c>
      <c r="D389" s="3" t="inlineStr">
        <is>
          <t>Alimentari</t>
        </is>
      </c>
      <c r="E389" s="3" t="inlineStr">
        <is>
          <t>Alimentari e bevande analcoliche</t>
        </is>
      </c>
      <c r="F389" s="3" t="inlineStr">
        <is>
          <t>sotto 1,5%</t>
        </is>
      </c>
      <c r="G389" s="3" t="inlineStr"/>
      <c r="H389" s="3" t="inlineStr"/>
      <c r="I389" s="3" t="inlineStr"/>
    </row>
    <row r="390">
      <c r="A390" s="3" t="inlineStr">
        <is>
          <t>012100</t>
        </is>
      </c>
      <c r="B390" s="11" t="n">
        <v>-5.0629</v>
      </c>
      <c r="C390" s="11" t="n">
        <v>2.62</v>
      </c>
      <c r="D390" s="3" t="inlineStr">
        <is>
          <t>Alimentari</t>
        </is>
      </c>
      <c r="E390" s="3" t="inlineStr">
        <is>
          <t>Alimentari e bevande analcoliche</t>
        </is>
      </c>
      <c r="F390" s="3" t="inlineStr">
        <is>
          <t>sotto 1,5%</t>
        </is>
      </c>
      <c r="G390" s="3" t="inlineStr"/>
      <c r="H390" s="3" t="inlineStr"/>
      <c r="I390" s="3" t="inlineStr"/>
    </row>
    <row r="391">
      <c r="A391" s="3" t="inlineStr">
        <is>
          <t>045100</t>
        </is>
      </c>
      <c r="B391" s="11" t="n">
        <v>-5.4589</v>
      </c>
      <c r="C391" s="11" t="n">
        <v>30.51</v>
      </c>
      <c r="D391" s="3" t="inlineStr">
        <is>
          <t>Energia</t>
        </is>
      </c>
      <c r="E391" s="3" t="inlineStr">
        <is>
          <t>Abitazione e utenze</t>
        </is>
      </c>
      <c r="F391" s="3" t="inlineStr">
        <is>
          <t>sotto 1,5%</t>
        </is>
      </c>
      <c r="G391" s="3" t="inlineStr"/>
      <c r="H391" s="3" t="inlineStr"/>
      <c r="I391" s="3" t="inlineStr"/>
    </row>
    <row r="392">
      <c r="A392" s="3" t="inlineStr">
        <is>
          <t>121300</t>
        </is>
      </c>
      <c r="B392" s="11" t="n">
        <v>-5.5163</v>
      </c>
      <c r="C392" s="11" t="n">
        <v>1.94</v>
      </c>
      <c r="D392" s="3" t="inlineStr">
        <is>
          <t>Servizi</t>
        </is>
      </c>
      <c r="E392" s="3" t="inlineStr">
        <is>
          <t>Assicurazioni e servizi finanziari</t>
        </is>
      </c>
      <c r="F392" s="3" t="inlineStr">
        <is>
          <t>sotto 1,5%</t>
        </is>
      </c>
      <c r="G392" s="3" t="inlineStr">
        <is>
          <t>Insurance connected with dwellings</t>
        </is>
      </c>
      <c r="H392" s="3" t="inlineStr">
        <is>
          <t>si</t>
        </is>
      </c>
      <c r="I392" s="3" t="inlineStr">
        <is>
          <t>no</t>
        </is>
      </c>
    </row>
    <row r="393">
      <c r="A393" s="3" t="inlineStr">
        <is>
          <t>081400</t>
        </is>
      </c>
      <c r="B393" s="11" t="n">
        <v>-6.6323</v>
      </c>
      <c r="C393" s="11" t="n">
        <v>4.72</v>
      </c>
      <c r="D393" s="3" t="inlineStr">
        <is>
          <t>Beni industriali</t>
        </is>
      </c>
      <c r="E393" s="3" t="inlineStr">
        <is>
          <t>Informazione e comunicazione</t>
        </is>
      </c>
      <c r="F393" s="3" t="inlineStr">
        <is>
          <t>sotto 1,5%</t>
        </is>
      </c>
      <c r="G393" s="3" t="inlineStr">
        <is>
          <t>Equipment for the reception, recording and reproduction of sound and vision</t>
        </is>
      </c>
      <c r="H393" s="3" t="inlineStr">
        <is>
          <t>no</t>
        </is>
      </c>
      <c r="I393" s="3" t="inlineStr">
        <is>
          <t>no</t>
        </is>
      </c>
    </row>
    <row r="394">
      <c r="A394" s="3" t="inlineStr">
        <is>
          <t>083900</t>
        </is>
      </c>
      <c r="B394" s="11" t="n">
        <v>-6.7805</v>
      </c>
      <c r="C394" s="11" t="n">
        <v>2.87</v>
      </c>
      <c r="D394" s="3" t="inlineStr">
        <is>
          <t>Servizi</t>
        </is>
      </c>
      <c r="E394" s="3" t="inlineStr">
        <is>
          <t>Informazione e comunicazione</t>
        </is>
      </c>
      <c r="F394" s="3" t="inlineStr">
        <is>
          <t>sotto 1,5%</t>
        </is>
      </c>
      <c r="G394" s="3" t="inlineStr">
        <is>
          <t>Other information and communication services</t>
        </is>
      </c>
      <c r="H394" s="3" t="inlineStr">
        <is>
          <t>si</t>
        </is>
      </c>
      <c r="I394" s="3" t="inlineStr">
        <is>
          <t>no</t>
        </is>
      </c>
    </row>
    <row r="395">
      <c r="A395" s="3" t="inlineStr">
        <is>
          <t>011500</t>
        </is>
      </c>
      <c r="B395" s="11" t="n">
        <v>-14.5041</v>
      </c>
      <c r="C395" s="11" t="n">
        <v>3.15</v>
      </c>
      <c r="D395" s="3" t="inlineStr">
        <is>
          <t>Alimentari</t>
        </is>
      </c>
      <c r="E395" s="3" t="inlineStr">
        <is>
          <t>Alimentari e bevande analcoliche</t>
        </is>
      </c>
      <c r="F395" s="3" t="inlineStr">
        <is>
          <t>sotto 1,5%</t>
        </is>
      </c>
      <c r="G395" s="3" t="inlineStr"/>
      <c r="H395" s="3" t="inlineStr"/>
      <c r="I395" s="3" t="inlineStr"/>
    </row>
    <row r="398">
      <c r="A398" s="13" t="inlineStr">
        <is>
          <t>Francia - voci elementari a 2026-09, ordinate per inflazione annua</t>
        </is>
      </c>
    </row>
    <row r="399">
      <c r="A399" s="5" t="inlineStr">
        <is>
          <t>Voce</t>
        </is>
      </c>
      <c r="B399" s="5" t="inlineStr">
        <is>
          <t>a/a %</t>
        </is>
      </c>
      <c r="C399" s="5" t="inlineStr">
        <is>
          <t>peso per mille</t>
        </is>
      </c>
      <c r="D399" s="5" t="inlineStr">
        <is>
          <t>macro</t>
        </is>
      </c>
      <c r="E399" s="5" t="inlineStr">
        <is>
          <t>divisione</t>
        </is>
      </c>
      <c r="F399" s="5" t="inlineStr">
        <is>
          <t>fascia</t>
        </is>
      </c>
      <c r="G399" s="5" t="inlineStr">
        <is>
          <t>descrizione (BCE)</t>
        </is>
      </c>
      <c r="H399" s="5" t="inlineStr">
        <is>
          <t>domestica</t>
        </is>
      </c>
      <c r="I399" s="5" t="inlineStr">
        <is>
          <t>supercore</t>
        </is>
      </c>
    </row>
    <row r="400">
      <c r="A400" s="3" t="inlineStr">
        <is>
          <t>045300</t>
        </is>
      </c>
      <c r="B400" s="11" t="n">
        <v>64.5442</v>
      </c>
      <c r="C400" s="11" t="n">
        <v>2.4</v>
      </c>
      <c r="D400" s="3" t="inlineStr">
        <is>
          <t>Energia</t>
        </is>
      </c>
      <c r="E400" s="3" t="inlineStr">
        <is>
          <t>Abitazione e utenze</t>
        </is>
      </c>
      <c r="F400" s="3" t="inlineStr">
        <is>
          <t>oltre 5%</t>
        </is>
      </c>
      <c r="G400" s="3" t="inlineStr"/>
      <c r="H400" s="3" t="inlineStr"/>
      <c r="I400" s="3" t="inlineStr"/>
    </row>
    <row r="401">
      <c r="A401" s="3" t="inlineStr">
        <is>
          <t>072200</t>
        </is>
      </c>
      <c r="B401" s="11" t="n">
        <v>34.3228</v>
      </c>
      <c r="C401" s="11" t="n">
        <v>39.1</v>
      </c>
      <c r="D401" s="3" t="inlineStr">
        <is>
          <t>Energia</t>
        </is>
      </c>
      <c r="E401" s="3" t="inlineStr">
        <is>
          <t>Trasporti</t>
        </is>
      </c>
      <c r="F401" s="3" t="inlineStr">
        <is>
          <t>oltre 5%</t>
        </is>
      </c>
      <c r="G401" s="3" t="inlineStr"/>
      <c r="H401" s="3" t="inlineStr"/>
      <c r="I401" s="3" t="inlineStr"/>
    </row>
    <row r="402">
      <c r="A402" s="3" t="inlineStr">
        <is>
          <t>081500</t>
        </is>
      </c>
      <c r="B402" s="11" t="n">
        <v>22.7772</v>
      </c>
      <c r="C402" s="11" t="n">
        <v>0.46</v>
      </c>
      <c r="D402" s="3" t="inlineStr">
        <is>
          <t>Beni industriali</t>
        </is>
      </c>
      <c r="E402" s="3" t="inlineStr">
        <is>
          <t>Informazione e comunicazione</t>
        </is>
      </c>
      <c r="F402" s="3" t="inlineStr">
        <is>
          <t>oltre 5%</t>
        </is>
      </c>
      <c r="G402" s="3" t="inlineStr">
        <is>
          <t>Unrecorded recording media</t>
        </is>
      </c>
      <c r="H402" s="3" t="inlineStr">
        <is>
          <t>no</t>
        </is>
      </c>
      <c r="I402" s="3" t="inlineStr">
        <is>
          <t>no</t>
        </is>
      </c>
    </row>
    <row r="403">
      <c r="A403" s="3" t="inlineStr">
        <is>
          <t>045200</t>
        </is>
      </c>
      <c r="B403" s="11" t="n">
        <v>18.9425</v>
      </c>
      <c r="C403" s="11" t="n">
        <v>13.89</v>
      </c>
      <c r="D403" s="3" t="inlineStr">
        <is>
          <t>Energia</t>
        </is>
      </c>
      <c r="E403" s="3" t="inlineStr">
        <is>
          <t>Abitazione e utenze</t>
        </is>
      </c>
      <c r="F403" s="3" t="inlineStr">
        <is>
          <t>oltre 5%</t>
        </is>
      </c>
      <c r="G403" s="3" t="inlineStr"/>
      <c r="H403" s="3" t="inlineStr"/>
      <c r="I403" s="3" t="inlineStr"/>
    </row>
    <row r="404">
      <c r="A404" s="3" t="inlineStr">
        <is>
          <t>083200</t>
        </is>
      </c>
      <c r="B404" s="11" t="n">
        <v>16.819</v>
      </c>
      <c r="C404" s="11" t="n">
        <v>7.2</v>
      </c>
      <c r="D404" s="3" t="inlineStr">
        <is>
          <t>Servizi</t>
        </is>
      </c>
      <c r="E404" s="3" t="inlineStr">
        <is>
          <t>Informazione e comunicazione</t>
        </is>
      </c>
      <c r="F404" s="3" t="inlineStr">
        <is>
          <t>oltre 5%</t>
        </is>
      </c>
      <c r="G404" s="3" t="inlineStr">
        <is>
          <t>Mobile communication services</t>
        </is>
      </c>
      <c r="H404" s="3" t="inlineStr">
        <is>
          <t>si</t>
        </is>
      </c>
      <c r="I404" s="3" t="inlineStr">
        <is>
          <t>no</t>
        </is>
      </c>
    </row>
    <row r="405">
      <c r="A405" s="3" t="inlineStr">
        <is>
          <t>132100</t>
        </is>
      </c>
      <c r="B405" s="11" t="n">
        <v>11.9207</v>
      </c>
      <c r="C405" s="11" t="n">
        <v>7.82</v>
      </c>
      <c r="D405" s="3" t="inlineStr">
        <is>
          <t>Beni industriali</t>
        </is>
      </c>
      <c r="E405" s="3" t="inlineStr">
        <is>
          <t>Cura della persona e altri</t>
        </is>
      </c>
      <c r="F405" s="3" t="inlineStr">
        <is>
          <t>oltre 5%</t>
        </is>
      </c>
      <c r="G405" s="3" t="inlineStr">
        <is>
          <t>Jewellery and watches</t>
        </is>
      </c>
      <c r="H405" s="3" t="inlineStr">
        <is>
          <t>no</t>
        </is>
      </c>
      <c r="I405" s="3" t="inlineStr">
        <is>
          <t>si</t>
        </is>
      </c>
    </row>
    <row r="406">
      <c r="A406" s="3" t="inlineStr">
        <is>
          <t>073400</t>
        </is>
      </c>
      <c r="B406" s="11" t="n">
        <v>10.7136</v>
      </c>
      <c r="C406" s="11" t="n">
        <v>0.45</v>
      </c>
      <c r="D406" s="3" t="inlineStr">
        <is>
          <t>Servizi</t>
        </is>
      </c>
      <c r="E406" s="3" t="inlineStr">
        <is>
          <t>Trasporti</t>
        </is>
      </c>
      <c r="F406" s="3" t="inlineStr">
        <is>
          <t>oltre 5%</t>
        </is>
      </c>
      <c r="G406" s="3" t="inlineStr">
        <is>
          <t>Passenger transport by sea and inland waterway</t>
        </is>
      </c>
      <c r="H406" s="3" t="inlineStr">
        <is>
          <t>no</t>
        </is>
      </c>
      <c r="I406" s="3" t="inlineStr">
        <is>
          <t>no</t>
        </is>
      </c>
    </row>
    <row r="407">
      <c r="A407" s="3" t="inlineStr">
        <is>
          <t>073300</t>
        </is>
      </c>
      <c r="B407" s="11" t="n">
        <v>9.960699999999999</v>
      </c>
      <c r="C407" s="11" t="n">
        <v>13.4</v>
      </c>
      <c r="D407" s="3" t="inlineStr">
        <is>
          <t>Servizi</t>
        </is>
      </c>
      <c r="E407" s="3" t="inlineStr">
        <is>
          <t>Trasporti</t>
        </is>
      </c>
      <c r="F407" s="3" t="inlineStr">
        <is>
          <t>oltre 5%</t>
        </is>
      </c>
      <c r="G407" s="3" t="inlineStr">
        <is>
          <t>Passenger transport by air</t>
        </is>
      </c>
      <c r="H407" s="3" t="inlineStr">
        <is>
          <t>no</t>
        </is>
      </c>
      <c r="I407" s="3" t="inlineStr">
        <is>
          <t>no</t>
        </is>
      </c>
    </row>
    <row r="408">
      <c r="A408" s="3" t="inlineStr">
        <is>
          <t>096200</t>
        </is>
      </c>
      <c r="B408" s="11" t="n">
        <v>9.2874</v>
      </c>
      <c r="C408" s="11" t="n">
        <v>1.11</v>
      </c>
      <c r="D408" s="3" t="inlineStr">
        <is>
          <t>Servizi</t>
        </is>
      </c>
      <c r="E408" s="3" t="inlineStr">
        <is>
          <t>Ricreazione, sport e cultura</t>
        </is>
      </c>
      <c r="F408" s="3" t="inlineStr">
        <is>
          <t>oltre 5%</t>
        </is>
      </c>
      <c r="G408" s="3" t="inlineStr">
        <is>
          <t>Services provided by museums, libraries and cultural sites</t>
        </is>
      </c>
      <c r="H408" s="3" t="inlineStr">
        <is>
          <t>no</t>
        </is>
      </c>
      <c r="I408" s="3" t="inlineStr">
        <is>
          <t>no</t>
        </is>
      </c>
    </row>
    <row r="409">
      <c r="A409" s="3" t="inlineStr">
        <is>
          <t>045500</t>
        </is>
      </c>
      <c r="B409" s="11" t="n">
        <v>9.2395</v>
      </c>
      <c r="C409" s="11" t="n">
        <v>2.23</v>
      </c>
      <c r="D409" s="3" t="inlineStr">
        <is>
          <t>Energia</t>
        </is>
      </c>
      <c r="E409" s="3" t="inlineStr">
        <is>
          <t>Abitazione e utenze</t>
        </is>
      </c>
      <c r="F409" s="3" t="inlineStr">
        <is>
          <t>oltre 5%</t>
        </is>
      </c>
      <c r="G409" s="3" t="inlineStr"/>
      <c r="H409" s="3" t="inlineStr"/>
      <c r="I409" s="3" t="inlineStr"/>
    </row>
    <row r="410">
      <c r="A410" s="3" t="inlineStr">
        <is>
          <t>011700</t>
        </is>
      </c>
      <c r="B410" s="11" t="n">
        <v>9.0299</v>
      </c>
      <c r="C410" s="11" t="n">
        <v>13.99</v>
      </c>
      <c r="D410" s="3" t="inlineStr">
        <is>
          <t>Alimentari</t>
        </is>
      </c>
      <c r="E410" s="3" t="inlineStr">
        <is>
          <t>Alimentari e bevande analcoliche</t>
        </is>
      </c>
      <c r="F410" s="3" t="inlineStr">
        <is>
          <t>oltre 5%</t>
        </is>
      </c>
      <c r="G410" s="3" t="inlineStr"/>
      <c r="H410" s="3" t="inlineStr"/>
      <c r="I410" s="3" t="inlineStr"/>
    </row>
    <row r="411">
      <c r="A411" s="3" t="inlineStr">
        <is>
          <t>121400</t>
        </is>
      </c>
      <c r="B411" s="11" t="n">
        <v>7.3937</v>
      </c>
      <c r="C411" s="11" t="n">
        <v>8.960000000000001</v>
      </c>
      <c r="D411" s="3" t="inlineStr">
        <is>
          <t>Servizi</t>
        </is>
      </c>
      <c r="E411" s="3" t="inlineStr">
        <is>
          <t>Assicurazioni e servizi finanziari</t>
        </is>
      </c>
      <c r="F411" s="3" t="inlineStr">
        <is>
          <t>oltre 5%</t>
        </is>
      </c>
      <c r="G411" s="3" t="inlineStr">
        <is>
          <t>Insurance connected with transport</t>
        </is>
      </c>
      <c r="H411" s="3" t="inlineStr">
        <is>
          <t>si</t>
        </is>
      </c>
      <c r="I411" s="3" t="inlineStr">
        <is>
          <t>no</t>
        </is>
      </c>
    </row>
    <row r="412">
      <c r="A412" s="3" t="inlineStr">
        <is>
          <t>045400</t>
        </is>
      </c>
      <c r="B412" s="11" t="n">
        <v>6.9246</v>
      </c>
      <c r="C412" s="11" t="n">
        <v>1.4</v>
      </c>
      <c r="D412" s="3" t="inlineStr">
        <is>
          <t>Energia</t>
        </is>
      </c>
      <c r="E412" s="3" t="inlineStr">
        <is>
          <t>Abitazione e utenze</t>
        </is>
      </c>
      <c r="F412" s="3" t="inlineStr">
        <is>
          <t>oltre 5%</t>
        </is>
      </c>
      <c r="G412" s="3" t="inlineStr"/>
      <c r="H412" s="3" t="inlineStr"/>
      <c r="I412" s="3" t="inlineStr"/>
    </row>
    <row r="413">
      <c r="A413" s="3" t="inlineStr">
        <is>
          <t>074100</t>
        </is>
      </c>
      <c r="B413" s="11" t="n">
        <v>6.32</v>
      </c>
      <c r="C413" s="11" t="n">
        <v>1.32</v>
      </c>
      <c r="D413" s="3" t="inlineStr">
        <is>
          <t>Servizi</t>
        </is>
      </c>
      <c r="E413" s="3" t="inlineStr">
        <is>
          <t>Trasporti</t>
        </is>
      </c>
      <c r="F413" s="3" t="inlineStr">
        <is>
          <t>oltre 5%</t>
        </is>
      </c>
      <c r="G413" s="3" t="inlineStr">
        <is>
          <t>Postal and courier services</t>
        </is>
      </c>
      <c r="H413" s="3" t="inlineStr">
        <is>
          <t>no</t>
        </is>
      </c>
      <c r="I413" s="3" t="inlineStr">
        <is>
          <t>no</t>
        </is>
      </c>
    </row>
    <row r="414">
      <c r="A414" s="3" t="inlineStr">
        <is>
          <t>098000</t>
        </is>
      </c>
      <c r="B414" s="11" t="n">
        <v>5.746</v>
      </c>
      <c r="C414" s="11" t="n">
        <v>4.89</v>
      </c>
      <c r="D414" s="3" t="inlineStr">
        <is>
          <t>Servizi</t>
        </is>
      </c>
      <c r="E414" s="3" t="inlineStr">
        <is>
          <t>Ricreazione, sport e cultura</t>
        </is>
      </c>
      <c r="F414" s="3" t="inlineStr">
        <is>
          <t>oltre 5%</t>
        </is>
      </c>
      <c r="G414" s="3" t="inlineStr">
        <is>
          <t>Package holidays</t>
        </is>
      </c>
      <c r="H414" s="3" t="inlineStr">
        <is>
          <t>no</t>
        </is>
      </c>
      <c r="I414" s="3" t="inlineStr">
        <is>
          <t>no</t>
        </is>
      </c>
    </row>
    <row r="415">
      <c r="A415" s="3" t="inlineStr">
        <is>
          <t>097200</t>
        </is>
      </c>
      <c r="B415" s="11" t="n">
        <v>5.6109</v>
      </c>
      <c r="C415" s="11" t="n">
        <v>3.21</v>
      </c>
      <c r="D415" s="3" t="inlineStr">
        <is>
          <t>Beni industriali</t>
        </is>
      </c>
      <c r="E415" s="3" t="inlineStr">
        <is>
          <t>Ricreazione, sport e cultura</t>
        </is>
      </c>
      <c r="F415" s="3" t="inlineStr">
        <is>
          <t>oltre 5%</t>
        </is>
      </c>
      <c r="G415" s="3" t="inlineStr">
        <is>
          <t>Newspapers and periodicals</t>
        </is>
      </c>
      <c r="H415" s="3" t="inlineStr">
        <is>
          <t>no</t>
        </is>
      </c>
      <c r="I415" s="3" t="inlineStr">
        <is>
          <t>no</t>
        </is>
      </c>
    </row>
    <row r="416">
      <c r="A416" s="3" t="inlineStr">
        <is>
          <t>044200</t>
        </is>
      </c>
      <c r="B416" s="11" t="n">
        <v>5.1864</v>
      </c>
      <c r="C416" s="11" t="n">
        <v>5.24</v>
      </c>
      <c r="D416" s="3" t="inlineStr">
        <is>
          <t>Servizi</t>
        </is>
      </c>
      <c r="E416" s="3" t="inlineStr">
        <is>
          <t>Abitazione e utenze</t>
        </is>
      </c>
      <c r="F416" s="3" t="inlineStr">
        <is>
          <t>oltre 5%</t>
        </is>
      </c>
      <c r="G416" s="3" t="inlineStr">
        <is>
          <t>Refuse collection</t>
        </is>
      </c>
      <c r="H416" s="3" t="inlineStr">
        <is>
          <t>si</t>
        </is>
      </c>
      <c r="I416" s="3" t="inlineStr">
        <is>
          <t>no</t>
        </is>
      </c>
    </row>
    <row r="417">
      <c r="A417" s="3" t="inlineStr">
        <is>
          <t>112000</t>
        </is>
      </c>
      <c r="B417" s="11" t="n">
        <v>4.9209</v>
      </c>
      <c r="C417" s="11" t="n">
        <v>22.51</v>
      </c>
      <c r="D417" s="3" t="inlineStr">
        <is>
          <t>Servizi</t>
        </is>
      </c>
      <c r="E417" s="3" t="inlineStr">
        <is>
          <t>Ristorazione e alloggio</t>
        </is>
      </c>
      <c r="F417" s="3" t="inlineStr">
        <is>
          <t>3-5%</t>
        </is>
      </c>
      <c r="G417" s="3" t="inlineStr">
        <is>
          <t>Accommodation services</t>
        </is>
      </c>
      <c r="H417" s="3" t="inlineStr">
        <is>
          <t>si</t>
        </is>
      </c>
      <c r="I417" s="3" t="inlineStr">
        <is>
          <t>no</t>
        </is>
      </c>
    </row>
    <row r="418">
      <c r="A418" s="3" t="inlineStr">
        <is>
          <t>102000</t>
        </is>
      </c>
      <c r="B418" s="11" t="n">
        <v>4.7347</v>
      </c>
      <c r="C418" s="11" t="n">
        <v>0.76</v>
      </c>
      <c r="D418" s="3" t="inlineStr">
        <is>
          <t>Servizi</t>
        </is>
      </c>
      <c r="E418" s="3" t="inlineStr">
        <is>
          <t>Istruzione</t>
        </is>
      </c>
      <c r="F418" s="3" t="inlineStr">
        <is>
          <t>3-5%</t>
        </is>
      </c>
      <c r="G418" s="3" t="inlineStr">
        <is>
          <t>Secondary education</t>
        </is>
      </c>
      <c r="H418" s="3" t="inlineStr">
        <is>
          <t>si</t>
        </is>
      </c>
      <c r="I418" s="3" t="inlineStr">
        <is>
          <t>si</t>
        </is>
      </c>
    </row>
    <row r="419">
      <c r="A419" s="3" t="inlineStr">
        <is>
          <t>073100</t>
        </is>
      </c>
      <c r="B419" s="11" t="n">
        <v>4.6822</v>
      </c>
      <c r="C419" s="11" t="n">
        <v>6.96</v>
      </c>
      <c r="D419" s="3" t="inlineStr">
        <is>
          <t>Servizi</t>
        </is>
      </c>
      <c r="E419" s="3" t="inlineStr">
        <is>
          <t>Trasporti</t>
        </is>
      </c>
      <c r="F419" s="3" t="inlineStr">
        <is>
          <t>3-5%</t>
        </is>
      </c>
      <c r="G419" s="3" t="inlineStr">
        <is>
          <t>Passenger transport by railway</t>
        </is>
      </c>
      <c r="H419" s="3" t="inlineStr">
        <is>
          <t>no</t>
        </is>
      </c>
      <c r="I419" s="3" t="inlineStr">
        <is>
          <t>no</t>
        </is>
      </c>
    </row>
    <row r="420">
      <c r="A420" s="3" t="inlineStr">
        <is>
          <t>081300</t>
        </is>
      </c>
      <c r="B420" s="11" t="n">
        <v>4.6555</v>
      </c>
      <c r="C420" s="11" t="n">
        <v>3.49</v>
      </c>
      <c r="D420" s="3" t="inlineStr">
        <is>
          <t>Beni industriali</t>
        </is>
      </c>
      <c r="E420" s="3" t="inlineStr">
        <is>
          <t>Informazione e comunicazione</t>
        </is>
      </c>
      <c r="F420" s="3" t="inlineStr">
        <is>
          <t>3-5%</t>
        </is>
      </c>
      <c r="G420" s="3" t="inlineStr">
        <is>
          <t>Information processing equipment</t>
        </is>
      </c>
      <c r="H420" s="3" t="inlineStr">
        <is>
          <t>no</t>
        </is>
      </c>
      <c r="I420" s="3" t="inlineStr">
        <is>
          <t>no</t>
        </is>
      </c>
    </row>
    <row r="421">
      <c r="A421" s="3" t="inlineStr">
        <is>
          <t>083300</t>
        </is>
      </c>
      <c r="B421" s="11" t="n">
        <v>4.5948</v>
      </c>
      <c r="C421" s="11" t="n">
        <v>6.1</v>
      </c>
      <c r="D421" s="3" t="inlineStr">
        <is>
          <t>Servizi</t>
        </is>
      </c>
      <c r="E421" s="3" t="inlineStr">
        <is>
          <t>Informazione e comunicazione</t>
        </is>
      </c>
      <c r="F421" s="3" t="inlineStr">
        <is>
          <t>3-5%</t>
        </is>
      </c>
      <c r="G421" s="3" t="inlineStr">
        <is>
          <t>Internet access provision services and online storage services</t>
        </is>
      </c>
      <c r="H421" s="3" t="inlineStr">
        <is>
          <t>si</t>
        </is>
      </c>
      <c r="I421" s="3" t="inlineStr">
        <is>
          <t>no</t>
        </is>
      </c>
    </row>
    <row r="422">
      <c r="A422" s="3" t="inlineStr">
        <is>
          <t>121300</t>
        </is>
      </c>
      <c r="B422" s="11" t="n">
        <v>3.8991</v>
      </c>
      <c r="C422" s="11" t="n">
        <v>7.47</v>
      </c>
      <c r="D422" s="3" t="inlineStr">
        <is>
          <t>Servizi</t>
        </is>
      </c>
      <c r="E422" s="3" t="inlineStr">
        <is>
          <t>Assicurazioni e servizi finanziari</t>
        </is>
      </c>
      <c r="F422" s="3" t="inlineStr">
        <is>
          <t>3-5%</t>
        </is>
      </c>
      <c r="G422" s="3" t="inlineStr">
        <is>
          <t>Insurance connected with dwellings</t>
        </is>
      </c>
      <c r="H422" s="3" t="inlineStr">
        <is>
          <t>si</t>
        </is>
      </c>
      <c r="I422" s="3" t="inlineStr">
        <is>
          <t>no</t>
        </is>
      </c>
    </row>
    <row r="423">
      <c r="A423" s="3" t="inlineStr">
        <is>
          <t>121900</t>
        </is>
      </c>
      <c r="B423" s="11" t="n">
        <v>3.84</v>
      </c>
      <c r="C423" s="11" t="n">
        <v>2.61</v>
      </c>
      <c r="D423" s="3" t="inlineStr">
        <is>
          <t>Servizi</t>
        </is>
      </c>
      <c r="E423" s="3" t="inlineStr">
        <is>
          <t>Assicurazioni e servizi finanziari</t>
        </is>
      </c>
      <c r="F423" s="3" t="inlineStr">
        <is>
          <t>3-5%</t>
        </is>
      </c>
      <c r="G423" s="3" t="inlineStr">
        <is>
          <t>Other insurance</t>
        </is>
      </c>
      <c r="H423" s="3" t="inlineStr">
        <is>
          <t>si</t>
        </is>
      </c>
      <c r="I423" s="3" t="inlineStr">
        <is>
          <t>no</t>
        </is>
      </c>
    </row>
    <row r="424">
      <c r="A424" s="3" t="inlineStr">
        <is>
          <t>044300</t>
        </is>
      </c>
      <c r="B424" s="11" t="n">
        <v>3.7873</v>
      </c>
      <c r="C424" s="11" t="n">
        <v>5.87</v>
      </c>
      <c r="D424" s="3" t="inlineStr">
        <is>
          <t>Servizi</t>
        </is>
      </c>
      <c r="E424" s="3" t="inlineStr">
        <is>
          <t>Abitazione e utenze</t>
        </is>
      </c>
      <c r="F424" s="3" t="inlineStr">
        <is>
          <t>3-5%</t>
        </is>
      </c>
      <c r="G424" s="3" t="inlineStr">
        <is>
          <t>Sewage collection</t>
        </is>
      </c>
      <c r="H424" s="3" t="inlineStr">
        <is>
          <t>si</t>
        </is>
      </c>
      <c r="I424" s="3" t="inlineStr">
        <is>
          <t>no</t>
        </is>
      </c>
    </row>
    <row r="425">
      <c r="A425" s="3" t="inlineStr">
        <is>
          <t>122900</t>
        </is>
      </c>
      <c r="B425" s="11" t="n">
        <v>3.6514</v>
      </c>
      <c r="C425" s="11" t="n">
        <v>1.75</v>
      </c>
      <c r="D425" s="3" t="inlineStr">
        <is>
          <t>Servizi</t>
        </is>
      </c>
      <c r="E425" s="3" t="inlineStr">
        <is>
          <t>Assicurazioni e servizi finanziari</t>
        </is>
      </c>
      <c r="F425" s="3" t="inlineStr">
        <is>
          <t>3-5%</t>
        </is>
      </c>
      <c r="G425" s="3" t="inlineStr">
        <is>
          <t>Other financial services</t>
        </is>
      </c>
      <c r="H425" s="3" t="inlineStr">
        <is>
          <t>no</t>
        </is>
      </c>
      <c r="I425" s="3" t="inlineStr">
        <is>
          <t>no</t>
        </is>
      </c>
    </row>
    <row r="426">
      <c r="A426" s="3" t="inlineStr">
        <is>
          <t>023000</t>
        </is>
      </c>
      <c r="B426" s="11" t="n">
        <v>3.2797</v>
      </c>
      <c r="C426" s="11" t="n">
        <v>18.61</v>
      </c>
      <c r="D426" s="3" t="inlineStr">
        <is>
          <t>Alimentari</t>
        </is>
      </c>
      <c r="E426" s="3" t="inlineStr">
        <is>
          <t>Alcolici e tabacchi</t>
        </is>
      </c>
      <c r="F426" s="3" t="inlineStr">
        <is>
          <t>3-5%</t>
        </is>
      </c>
      <c r="G426" s="3" t="inlineStr"/>
      <c r="H426" s="3" t="inlineStr"/>
      <c r="I426" s="3" t="inlineStr"/>
    </row>
    <row r="427">
      <c r="A427" s="3" t="inlineStr">
        <is>
          <t>121100</t>
        </is>
      </c>
      <c r="B427" s="11" t="n">
        <v>3.2639</v>
      </c>
      <c r="C427" s="11" t="n">
        <v>1.07</v>
      </c>
      <c r="D427" s="3" t="inlineStr">
        <is>
          <t>Servizi</t>
        </is>
      </c>
      <c r="E427" s="3" t="inlineStr">
        <is>
          <t>Assicurazioni e servizi finanziari</t>
        </is>
      </c>
      <c r="F427" s="3" t="inlineStr">
        <is>
          <t>3-5%</t>
        </is>
      </c>
      <c r="G427" s="3" t="inlineStr">
        <is>
          <t>Life and accident insurance</t>
        </is>
      </c>
      <c r="H427" s="3" t="inlineStr">
        <is>
          <t>si</t>
        </is>
      </c>
      <c r="I427" s="3" t="inlineStr">
        <is>
          <t>no</t>
        </is>
      </c>
    </row>
    <row r="428">
      <c r="A428" s="3" t="inlineStr">
        <is>
          <t>051200</t>
        </is>
      </c>
      <c r="B428" s="11" t="n">
        <v>3.2637</v>
      </c>
      <c r="C428" s="11" t="n">
        <v>1.19</v>
      </c>
      <c r="D428" s="3" t="inlineStr">
        <is>
          <t>Servizi</t>
        </is>
      </c>
      <c r="E428" s="3" t="inlineStr">
        <is>
          <t>Mobili e articoli per la casa</t>
        </is>
      </c>
      <c r="F428" s="3" t="inlineStr">
        <is>
          <t>3-5%</t>
        </is>
      </c>
      <c r="G428" s="3" t="inlineStr">
        <is>
          <t>Repair, installation and hire of furniture, furnishings and loose carpets</t>
        </is>
      </c>
      <c r="H428" s="3" t="inlineStr">
        <is>
          <t>si</t>
        </is>
      </c>
      <c r="I428" s="3" t="inlineStr">
        <is>
          <t>si</t>
        </is>
      </c>
    </row>
    <row r="429">
      <c r="A429" s="3" t="inlineStr">
        <is>
          <t>011600</t>
        </is>
      </c>
      <c r="B429" s="11" t="n">
        <v>3.1682</v>
      </c>
      <c r="C429" s="11" t="n">
        <v>9.08</v>
      </c>
      <c r="D429" s="3" t="inlineStr">
        <is>
          <t>Alimentari</t>
        </is>
      </c>
      <c r="E429" s="3" t="inlineStr">
        <is>
          <t>Alimentari e bevande analcoliche</t>
        </is>
      </c>
      <c r="F429" s="3" t="inlineStr">
        <is>
          <t>3-5%</t>
        </is>
      </c>
      <c r="G429" s="3" t="inlineStr"/>
      <c r="H429" s="3" t="inlineStr"/>
      <c r="I429" s="3" t="inlineStr"/>
    </row>
    <row r="430">
      <c r="A430" s="3" t="inlineStr">
        <is>
          <t>056200</t>
        </is>
      </c>
      <c r="B430" s="11" t="n">
        <v>3.0351</v>
      </c>
      <c r="C430" s="11" t="n">
        <v>3</v>
      </c>
      <c r="D430" s="3" t="inlineStr">
        <is>
          <t>Servizi</t>
        </is>
      </c>
      <c r="E430" s="3" t="inlineStr">
        <is>
          <t>Mobili e articoli per la casa</t>
        </is>
      </c>
      <c r="F430" s="3" t="inlineStr">
        <is>
          <t>3-5%</t>
        </is>
      </c>
      <c r="G430" s="3" t="inlineStr">
        <is>
          <t>Domestic services and household services</t>
        </is>
      </c>
      <c r="H430" s="3" t="inlineStr">
        <is>
          <t>si</t>
        </is>
      </c>
      <c r="I430" s="3" t="inlineStr">
        <is>
          <t>si</t>
        </is>
      </c>
    </row>
    <row r="431">
      <c r="A431" s="3" t="inlineStr">
        <is>
          <t>094400</t>
        </is>
      </c>
      <c r="B431" s="11" t="n">
        <v>3.0303</v>
      </c>
      <c r="C431" s="11" t="n">
        <v>0.71</v>
      </c>
      <c r="D431" s="3" t="inlineStr">
        <is>
          <t>Servizi</t>
        </is>
      </c>
      <c r="E431" s="3" t="inlineStr">
        <is>
          <t>Ricreazione, sport e cultura</t>
        </is>
      </c>
      <c r="F431" s="3" t="inlineStr">
        <is>
          <t>3-5%</t>
        </is>
      </c>
      <c r="G431" s="3" t="inlineStr">
        <is>
          <t>Hire and repair of sporting, camping and open-air recreational equipment</t>
        </is>
      </c>
      <c r="H431" s="3" t="inlineStr">
        <is>
          <t>no</t>
        </is>
      </c>
      <c r="I431" s="3" t="inlineStr">
        <is>
          <t>no</t>
        </is>
      </c>
    </row>
    <row r="432">
      <c r="A432" s="3" t="inlineStr">
        <is>
          <t>105000</t>
        </is>
      </c>
      <c r="B432" s="11" t="n">
        <v>2.9403</v>
      </c>
      <c r="C432" s="11" t="n">
        <v>4.25</v>
      </c>
      <c r="D432" s="3" t="inlineStr">
        <is>
          <t>Servizi</t>
        </is>
      </c>
      <c r="E432" s="3" t="inlineStr">
        <is>
          <t>Istruzione</t>
        </is>
      </c>
      <c r="F432" s="3" t="inlineStr">
        <is>
          <t>2-3%</t>
        </is>
      </c>
      <c r="G432" s="3" t="inlineStr">
        <is>
          <t>Education not defined by level</t>
        </is>
      </c>
      <c r="H432" s="3" t="inlineStr">
        <is>
          <t>si</t>
        </is>
      </c>
      <c r="I432" s="3" t="inlineStr">
        <is>
          <t>no</t>
        </is>
      </c>
    </row>
    <row r="433">
      <c r="A433" s="3" t="inlineStr">
        <is>
          <t>062200</t>
        </is>
      </c>
      <c r="B433" s="11" t="n">
        <v>2.9034</v>
      </c>
      <c r="C433" s="11" t="n">
        <v>8.26</v>
      </c>
      <c r="D433" s="3" t="inlineStr">
        <is>
          <t>Servizi</t>
        </is>
      </c>
      <c r="E433" s="3" t="inlineStr">
        <is>
          <t>Salute</t>
        </is>
      </c>
      <c r="F433" s="3" t="inlineStr">
        <is>
          <t>2-3%</t>
        </is>
      </c>
      <c r="G433" s="3" t="inlineStr">
        <is>
          <t>Outpatient dental services</t>
        </is>
      </c>
      <c r="H433" s="3" t="inlineStr">
        <is>
          <t>si</t>
        </is>
      </c>
      <c r="I433" s="3" t="inlineStr">
        <is>
          <t>no</t>
        </is>
      </c>
    </row>
    <row r="434">
      <c r="A434" s="3" t="inlineStr">
        <is>
          <t>031400</t>
        </is>
      </c>
      <c r="B434" s="11" t="n">
        <v>2.8924</v>
      </c>
      <c r="C434" s="11" t="n">
        <v>0.49</v>
      </c>
      <c r="D434" s="3" t="inlineStr">
        <is>
          <t>Servizi</t>
        </is>
      </c>
      <c r="E434" s="3" t="inlineStr">
        <is>
          <t>Abbigliamento e calzature</t>
        </is>
      </c>
      <c r="F434" s="3" t="inlineStr">
        <is>
          <t>2-3%</t>
        </is>
      </c>
      <c r="G434" s="3" t="inlineStr">
        <is>
          <t>Cleaning, repair, tailoring and hire of clothing</t>
        </is>
      </c>
      <c r="H434" s="3" t="inlineStr">
        <is>
          <t>si</t>
        </is>
      </c>
      <c r="I434" s="3" t="inlineStr">
        <is>
          <t>si</t>
        </is>
      </c>
    </row>
    <row r="435">
      <c r="A435" s="3" t="inlineStr">
        <is>
          <t>053300</t>
        </is>
      </c>
      <c r="B435" s="11" t="n">
        <v>2.7847</v>
      </c>
      <c r="C435" s="11" t="n">
        <v>0.74</v>
      </c>
      <c r="D435" s="3" t="inlineStr">
        <is>
          <t>Servizi</t>
        </is>
      </c>
      <c r="E435" s="3" t="inlineStr">
        <is>
          <t>Mobili e articoli per la casa</t>
        </is>
      </c>
      <c r="F435" s="3" t="inlineStr">
        <is>
          <t>2-3%</t>
        </is>
      </c>
      <c r="G435" s="3" t="inlineStr">
        <is>
          <t>Repair, installation and hire of household appliances</t>
        </is>
      </c>
      <c r="H435" s="3" t="inlineStr">
        <is>
          <t>si</t>
        </is>
      </c>
      <c r="I435" s="3" t="inlineStr">
        <is>
          <t>no</t>
        </is>
      </c>
    </row>
    <row r="436">
      <c r="A436" s="3" t="inlineStr">
        <is>
          <t>111100</t>
        </is>
      </c>
      <c r="B436" s="11" t="n">
        <v>2.757</v>
      </c>
      <c r="C436" s="11" t="n">
        <v>76.62</v>
      </c>
      <c r="D436" s="3" t="inlineStr">
        <is>
          <t>Servizi</t>
        </is>
      </c>
      <c r="E436" s="3" t="inlineStr">
        <is>
          <t>Ristorazione e alloggio</t>
        </is>
      </c>
      <c r="F436" s="3" t="inlineStr">
        <is>
          <t>2-3%</t>
        </is>
      </c>
      <c r="G436" s="3" t="inlineStr">
        <is>
          <t>Restaurants, cafés and the like</t>
        </is>
      </c>
      <c r="H436" s="3" t="inlineStr">
        <is>
          <t>si</t>
        </is>
      </c>
      <c r="I436" s="3" t="inlineStr">
        <is>
          <t>si</t>
        </is>
      </c>
    </row>
    <row r="437">
      <c r="A437" s="3" t="inlineStr">
        <is>
          <t>073500</t>
        </is>
      </c>
      <c r="B437" s="11" t="n">
        <v>2.7194</v>
      </c>
      <c r="C437" s="11" t="n">
        <v>2.24</v>
      </c>
      <c r="D437" s="3" t="inlineStr">
        <is>
          <t>Servizi</t>
        </is>
      </c>
      <c r="E437" s="3" t="inlineStr">
        <is>
          <t>Trasporti</t>
        </is>
      </c>
      <c r="F437" s="3" t="inlineStr">
        <is>
          <t>2-3%</t>
        </is>
      </c>
      <c r="G437" s="3" t="inlineStr">
        <is>
          <t>Combined passenger transport</t>
        </is>
      </c>
      <c r="H437" s="3" t="inlineStr">
        <is>
          <t>no</t>
        </is>
      </c>
      <c r="I437" s="3" t="inlineStr">
        <is>
          <t>no</t>
        </is>
      </c>
    </row>
    <row r="438">
      <c r="A438" s="3" t="inlineStr">
        <is>
          <t>133000</t>
        </is>
      </c>
      <c r="B438" s="11" t="n">
        <v>2.6959</v>
      </c>
      <c r="C438" s="11" t="n">
        <v>18.54</v>
      </c>
      <c r="D438" s="3" t="inlineStr">
        <is>
          <t>Servizi</t>
        </is>
      </c>
      <c r="E438" s="3" t="inlineStr">
        <is>
          <t>Cura della persona e altri</t>
        </is>
      </c>
      <c r="F438" s="3" t="inlineStr">
        <is>
          <t>2-3%</t>
        </is>
      </c>
      <c r="G438" s="3" t="inlineStr">
        <is>
          <t>Social protection</t>
        </is>
      </c>
      <c r="H438" s="3" t="inlineStr">
        <is>
          <t>si</t>
        </is>
      </c>
      <c r="I438" s="3" t="inlineStr">
        <is>
          <t>no</t>
        </is>
      </c>
    </row>
    <row r="439">
      <c r="A439" s="3" t="inlineStr">
        <is>
          <t>012500</t>
        </is>
      </c>
      <c r="B439" s="11" t="n">
        <v>2.6633</v>
      </c>
      <c r="C439" s="11" t="n">
        <v>2.09</v>
      </c>
      <c r="D439" s="3" t="inlineStr">
        <is>
          <t>Alimentari</t>
        </is>
      </c>
      <c r="E439" s="3" t="inlineStr">
        <is>
          <t>Alimentari e bevande analcoliche</t>
        </is>
      </c>
      <c r="F439" s="3" t="inlineStr">
        <is>
          <t>2-3%</t>
        </is>
      </c>
      <c r="G439" s="3" t="inlineStr"/>
      <c r="H439" s="3" t="inlineStr"/>
      <c r="I439" s="3" t="inlineStr"/>
    </row>
    <row r="440">
      <c r="A440" s="3" t="inlineStr">
        <is>
          <t>121200</t>
        </is>
      </c>
      <c r="B440" s="11" t="n">
        <v>2.5061</v>
      </c>
      <c r="C440" s="11" t="n">
        <v>14.13</v>
      </c>
      <c r="D440" s="3" t="inlineStr">
        <is>
          <t>Servizi</t>
        </is>
      </c>
      <c r="E440" s="3" t="inlineStr">
        <is>
          <t>Assicurazioni e servizi finanziari</t>
        </is>
      </c>
      <c r="F440" s="3" t="inlineStr">
        <is>
          <t>2-3%</t>
        </is>
      </c>
      <c r="G440" s="3" t="inlineStr">
        <is>
          <t>Insurance connected with health</t>
        </is>
      </c>
      <c r="H440" s="3" t="inlineStr">
        <is>
          <t>si</t>
        </is>
      </c>
      <c r="I440" s="3" t="inlineStr">
        <is>
          <t>no</t>
        </is>
      </c>
    </row>
    <row r="441">
      <c r="A441" s="3" t="inlineStr">
        <is>
          <t>032200</t>
        </is>
      </c>
      <c r="B441" s="11" t="n">
        <v>2.4968</v>
      </c>
      <c r="C441" s="11" t="n">
        <v>0.15</v>
      </c>
      <c r="D441" s="3" t="inlineStr">
        <is>
          <t>Servizi</t>
        </is>
      </c>
      <c r="E441" s="3" t="inlineStr">
        <is>
          <t>Abbigliamento e calzature</t>
        </is>
      </c>
      <c r="F441" s="3" t="inlineStr">
        <is>
          <t>2-3%</t>
        </is>
      </c>
      <c r="G441" s="3" t="inlineStr">
        <is>
          <t>Cleaning, repair and hire of footwear</t>
        </is>
      </c>
      <c r="H441" s="3" t="inlineStr">
        <is>
          <t>si</t>
        </is>
      </c>
      <c r="I441" s="3" t="inlineStr">
        <is>
          <t>si</t>
        </is>
      </c>
    </row>
    <row r="442">
      <c r="A442" s="3" t="inlineStr">
        <is>
          <t>055300</t>
        </is>
      </c>
      <c r="B442" s="11" t="n">
        <v>2.3898</v>
      </c>
      <c r="C442" s="11" t="n">
        <v>0.71</v>
      </c>
      <c r="D442" s="3" t="inlineStr">
        <is>
          <t>Servizi</t>
        </is>
      </c>
      <c r="E442" s="3" t="inlineStr">
        <is>
          <t>Mobili e articoli per la casa</t>
        </is>
      </c>
      <c r="F442" s="3" t="inlineStr">
        <is>
          <t>2-3%</t>
        </is>
      </c>
      <c r="G442" s="3" t="inlineStr">
        <is>
          <t>Repair and hire of motorized and non-motorized tools and equipment</t>
        </is>
      </c>
      <c r="H442" s="3" t="inlineStr">
        <is>
          <t>si</t>
        </is>
      </c>
      <c r="I442" s="3" t="inlineStr">
        <is>
          <t>no</t>
        </is>
      </c>
    </row>
    <row r="443">
      <c r="A443" s="3" t="inlineStr">
        <is>
          <t>043200</t>
        </is>
      </c>
      <c r="B443" s="11" t="n">
        <v>2.3105</v>
      </c>
      <c r="C443" s="11" t="n">
        <v>24.73</v>
      </c>
      <c r="D443" s="3" t="inlineStr">
        <is>
          <t>Servizi</t>
        </is>
      </c>
      <c r="E443" s="3" t="inlineStr">
        <is>
          <t>Abitazione e utenze</t>
        </is>
      </c>
      <c r="F443" s="3" t="inlineStr">
        <is>
          <t>2-3%</t>
        </is>
      </c>
      <c r="G443" s="3" t="inlineStr">
        <is>
          <t>Services for the maintenance, repair and security of the dwelling</t>
        </is>
      </c>
      <c r="H443" s="3" t="inlineStr">
        <is>
          <t>si</t>
        </is>
      </c>
      <c r="I443" s="3" t="inlineStr">
        <is>
          <t>si</t>
        </is>
      </c>
    </row>
    <row r="444">
      <c r="A444" s="3" t="inlineStr">
        <is>
          <t>101000</t>
        </is>
      </c>
      <c r="B444" s="11" t="n">
        <v>2.2604</v>
      </c>
      <c r="C444" s="11" t="n">
        <v>0.6</v>
      </c>
      <c r="D444" s="3" t="inlineStr">
        <is>
          <t>Servizi</t>
        </is>
      </c>
      <c r="E444" s="3" t="inlineStr">
        <is>
          <t>Istruzione</t>
        </is>
      </c>
      <c r="F444" s="3" t="inlineStr">
        <is>
          <t>2-3%</t>
        </is>
      </c>
      <c r="G444" s="3" t="inlineStr">
        <is>
          <t>Early childhood and primary education</t>
        </is>
      </c>
      <c r="H444" s="3" t="inlineStr">
        <is>
          <t>si</t>
        </is>
      </c>
      <c r="I444" s="3" t="inlineStr">
        <is>
          <t>no</t>
        </is>
      </c>
    </row>
    <row r="445">
      <c r="A445" s="3" t="inlineStr">
        <is>
          <t>044400</t>
        </is>
      </c>
      <c r="B445" s="11" t="n">
        <v>2.2211</v>
      </c>
      <c r="C445" s="11" t="n">
        <v>5.41</v>
      </c>
      <c r="D445" s="3" t="inlineStr">
        <is>
          <t>Servizi</t>
        </is>
      </c>
      <c r="E445" s="3" t="inlineStr">
        <is>
          <t>Abitazione e utenze</t>
        </is>
      </c>
      <c r="F445" s="3" t="inlineStr">
        <is>
          <t>2-3%</t>
        </is>
      </c>
      <c r="G445" s="3" t="inlineStr">
        <is>
          <t>Other services related to the dwelling</t>
        </is>
      </c>
      <c r="H445" s="3" t="inlineStr">
        <is>
          <t>si</t>
        </is>
      </c>
      <c r="I445" s="3" t="inlineStr">
        <is>
          <t>no</t>
        </is>
      </c>
    </row>
    <row r="446">
      <c r="A446" s="3" t="inlineStr">
        <is>
          <t>094500</t>
        </is>
      </c>
      <c r="B446" s="11" t="n">
        <v>2.1698</v>
      </c>
      <c r="C446" s="11" t="n">
        <v>5.07</v>
      </c>
      <c r="D446" s="3" t="inlineStr">
        <is>
          <t>Servizi</t>
        </is>
      </c>
      <c r="E446" s="3" t="inlineStr">
        <is>
          <t>Ricreazione, sport e cultura</t>
        </is>
      </c>
      <c r="F446" s="3" t="inlineStr">
        <is>
          <t>2-3%</t>
        </is>
      </c>
      <c r="G446" s="3" t="inlineStr">
        <is>
          <t>Veterinary and other services for pets</t>
        </is>
      </c>
      <c r="H446" s="3" t="inlineStr">
        <is>
          <t>si</t>
        </is>
      </c>
      <c r="I446" s="3" t="inlineStr">
        <is>
          <t>si</t>
        </is>
      </c>
    </row>
    <row r="447">
      <c r="A447" s="3" t="inlineStr">
        <is>
          <t>096900</t>
        </is>
      </c>
      <c r="B447" s="11" t="n">
        <v>2.1157</v>
      </c>
      <c r="C447" s="11" t="n">
        <v>0.36</v>
      </c>
      <c r="D447" s="3" t="inlineStr">
        <is>
          <t>Servizi</t>
        </is>
      </c>
      <c r="E447" s="3" t="inlineStr">
        <is>
          <t>Ricreazione, sport e cultura</t>
        </is>
      </c>
      <c r="F447" s="3" t="inlineStr">
        <is>
          <t>2-3%</t>
        </is>
      </c>
      <c r="G447" s="3" t="inlineStr">
        <is>
          <t>Other cultural services</t>
        </is>
      </c>
      <c r="H447" s="3" t="inlineStr">
        <is>
          <t>no</t>
        </is>
      </c>
      <c r="I447" s="3" t="inlineStr">
        <is>
          <t>no</t>
        </is>
      </c>
    </row>
    <row r="448">
      <c r="A448" s="3" t="inlineStr">
        <is>
          <t>131300</t>
        </is>
      </c>
      <c r="B448" s="11" t="n">
        <v>2.1014</v>
      </c>
      <c r="C448" s="11" t="n">
        <v>11.96</v>
      </c>
      <c r="D448" s="3" t="inlineStr">
        <is>
          <t>Servizi</t>
        </is>
      </c>
      <c r="E448" s="3" t="inlineStr">
        <is>
          <t>Cura della persona e altri</t>
        </is>
      </c>
      <c r="F448" s="3" t="inlineStr">
        <is>
          <t>2-3%</t>
        </is>
      </c>
      <c r="G448" s="3" t="inlineStr">
        <is>
          <t>Hairdressing salons and personal grooming establishments</t>
        </is>
      </c>
      <c r="H448" s="3" t="inlineStr">
        <is>
          <t>si</t>
        </is>
      </c>
      <c r="I448" s="3" t="inlineStr">
        <is>
          <t>si</t>
        </is>
      </c>
    </row>
    <row r="449">
      <c r="A449" s="3" t="inlineStr">
        <is>
          <t>011300</t>
        </is>
      </c>
      <c r="B449" s="11" t="n">
        <v>2.0804</v>
      </c>
      <c r="C449" s="11" t="n">
        <v>5.73</v>
      </c>
      <c r="D449" s="3" t="inlineStr">
        <is>
          <t>Alimentari</t>
        </is>
      </c>
      <c r="E449" s="3" t="inlineStr">
        <is>
          <t>Alimentari e bevande analcoliche</t>
        </is>
      </c>
      <c r="F449" s="3" t="inlineStr">
        <is>
          <t>2-3%</t>
        </is>
      </c>
      <c r="G449" s="3" t="inlineStr"/>
      <c r="H449" s="3" t="inlineStr"/>
      <c r="I449" s="3" t="inlineStr"/>
    </row>
    <row r="450">
      <c r="A450" s="3" t="inlineStr">
        <is>
          <t>062300</t>
        </is>
      </c>
      <c r="B450" s="11" t="n">
        <v>1.9338</v>
      </c>
      <c r="C450" s="11" t="n">
        <v>10.67</v>
      </c>
      <c r="D450" s="3" t="inlineStr">
        <is>
          <t>Servizi</t>
        </is>
      </c>
      <c r="E450" s="3" t="inlineStr">
        <is>
          <t>Salute</t>
        </is>
      </c>
      <c r="F450" s="3" t="inlineStr">
        <is>
          <t>1,5-2%</t>
        </is>
      </c>
      <c r="G450" s="3" t="inlineStr">
        <is>
          <t>Other outpatient care services</t>
        </is>
      </c>
      <c r="H450" s="3" t="inlineStr">
        <is>
          <t>si</t>
        </is>
      </c>
      <c r="I450" s="3" t="inlineStr">
        <is>
          <t>no</t>
        </is>
      </c>
    </row>
    <row r="451">
      <c r="A451" s="3" t="inlineStr">
        <is>
          <t>011200</t>
        </is>
      </c>
      <c r="B451" s="11" t="n">
        <v>1.9175</v>
      </c>
      <c r="C451" s="11" t="n">
        <v>26.9</v>
      </c>
      <c r="D451" s="3" t="inlineStr">
        <is>
          <t>Alimentari</t>
        </is>
      </c>
      <c r="E451" s="3" t="inlineStr">
        <is>
          <t>Alimentari e bevande analcoliche</t>
        </is>
      </c>
      <c r="F451" s="3" t="inlineStr">
        <is>
          <t>1,5-2%</t>
        </is>
      </c>
      <c r="G451" s="3" t="inlineStr"/>
      <c r="H451" s="3" t="inlineStr"/>
      <c r="I451" s="3" t="inlineStr"/>
    </row>
    <row r="452">
      <c r="A452" s="3" t="inlineStr">
        <is>
          <t>093100</t>
        </is>
      </c>
      <c r="B452" s="11" t="n">
        <v>1.8997</v>
      </c>
      <c r="C452" s="11" t="n">
        <v>4.12</v>
      </c>
      <c r="D452" s="3" t="inlineStr">
        <is>
          <t>Beni industriali</t>
        </is>
      </c>
      <c r="E452" s="3" t="inlineStr">
        <is>
          <t>Ricreazione, sport e cultura</t>
        </is>
      </c>
      <c r="F452" s="3" t="inlineStr">
        <is>
          <t>1,5-2%</t>
        </is>
      </c>
      <c r="G452" s="3" t="inlineStr">
        <is>
          <t>Garden products, plants and flowers</t>
        </is>
      </c>
      <c r="H452" s="3" t="inlineStr">
        <is>
          <t>no</t>
        </is>
      </c>
      <c r="I452" s="3" t="inlineStr">
        <is>
          <t>no</t>
        </is>
      </c>
    </row>
    <row r="453">
      <c r="A453" s="3" t="inlineStr">
        <is>
          <t>094600</t>
        </is>
      </c>
      <c r="B453" s="11" t="n">
        <v>1.8726</v>
      </c>
      <c r="C453" s="11" t="n">
        <v>11.94</v>
      </c>
      <c r="D453" s="3" t="inlineStr">
        <is>
          <t>Servizi</t>
        </is>
      </c>
      <c r="E453" s="3" t="inlineStr">
        <is>
          <t>Ricreazione, sport e cultura</t>
        </is>
      </c>
      <c r="F453" s="3" t="inlineStr">
        <is>
          <t>1,5-2%</t>
        </is>
      </c>
      <c r="G453" s="3" t="inlineStr">
        <is>
          <t>Recreational and sporting services</t>
        </is>
      </c>
      <c r="H453" s="3" t="inlineStr">
        <is>
          <t>si</t>
        </is>
      </c>
      <c r="I453" s="3" t="inlineStr">
        <is>
          <t>si</t>
        </is>
      </c>
    </row>
    <row r="454">
      <c r="A454" s="3" t="inlineStr">
        <is>
          <t>072300</t>
        </is>
      </c>
      <c r="B454" s="11" t="n">
        <v>1.7789</v>
      </c>
      <c r="C454" s="11" t="n">
        <v>5.38</v>
      </c>
      <c r="D454" s="3" t="inlineStr">
        <is>
          <t>Servizi</t>
        </is>
      </c>
      <c r="E454" s="3" t="inlineStr">
        <is>
          <t>Trasporti</t>
        </is>
      </c>
      <c r="F454" s="3" t="inlineStr">
        <is>
          <t>1,5-2%</t>
        </is>
      </c>
      <c r="G454" s="3" t="inlineStr">
        <is>
          <t>Maintenance and repair of personal transport equipment</t>
        </is>
      </c>
      <c r="H454" s="3" t="inlineStr">
        <is>
          <t>si</t>
        </is>
      </c>
      <c r="I454" s="3" t="inlineStr">
        <is>
          <t>si</t>
        </is>
      </c>
    </row>
    <row r="455">
      <c r="A455" s="3" t="inlineStr">
        <is>
          <t>104000</t>
        </is>
      </c>
      <c r="B455" s="11" t="n">
        <v>1.7308</v>
      </c>
      <c r="C455" s="11" t="n">
        <v>3.45</v>
      </c>
      <c r="D455" s="3" t="inlineStr">
        <is>
          <t>Servizi</t>
        </is>
      </c>
      <c r="E455" s="3" t="inlineStr">
        <is>
          <t>Istruzione</t>
        </is>
      </c>
      <c r="F455" s="3" t="inlineStr">
        <is>
          <t>1,5-2%</t>
        </is>
      </c>
      <c r="G455" s="3" t="inlineStr">
        <is>
          <t>Tertiary education</t>
        </is>
      </c>
      <c r="H455" s="3" t="inlineStr">
        <is>
          <t>si</t>
        </is>
      </c>
      <c r="I455" s="3" t="inlineStr">
        <is>
          <t>si</t>
        </is>
      </c>
    </row>
    <row r="456">
      <c r="A456" s="3" t="inlineStr">
        <is>
          <t>051100</t>
        </is>
      </c>
      <c r="B456" s="11" t="n">
        <v>1.6963</v>
      </c>
      <c r="C456" s="11" t="n">
        <v>13.05</v>
      </c>
      <c r="D456" s="3" t="inlineStr">
        <is>
          <t>Beni industriali</t>
        </is>
      </c>
      <c r="E456" s="3" t="inlineStr">
        <is>
          <t>Mobili e articoli per la casa</t>
        </is>
      </c>
      <c r="F456" s="3" t="inlineStr">
        <is>
          <t>1,5-2%</t>
        </is>
      </c>
      <c r="G456" s="3" t="inlineStr">
        <is>
          <t>Furniture, furnishings and loose carpets</t>
        </is>
      </c>
      <c r="H456" s="3" t="inlineStr">
        <is>
          <t>no</t>
        </is>
      </c>
      <c r="I456" s="3" t="inlineStr">
        <is>
          <t>si</t>
        </is>
      </c>
    </row>
    <row r="457">
      <c r="A457" s="3" t="inlineStr">
        <is>
          <t>041100</t>
        </is>
      </c>
      <c r="B457" s="11" t="n">
        <v>1.6372</v>
      </c>
      <c r="C457" s="11" t="n">
        <v>74.78</v>
      </c>
      <c r="D457" s="3" t="inlineStr">
        <is>
          <t>Servizi</t>
        </is>
      </c>
      <c r="E457" s="3" t="inlineStr">
        <is>
          <t>Abitazione e utenze</t>
        </is>
      </c>
      <c r="F457" s="3" t="inlineStr">
        <is>
          <t>1,5-2%</t>
        </is>
      </c>
      <c r="G457" s="3" t="inlineStr">
        <is>
          <t>Actual rental payments made by tenants for main residence</t>
        </is>
      </c>
      <c r="H457" s="3" t="inlineStr">
        <is>
          <t>si</t>
        </is>
      </c>
      <c r="I457" s="3" t="inlineStr">
        <is>
          <t>no</t>
        </is>
      </c>
    </row>
    <row r="458">
      <c r="A458" s="3" t="inlineStr">
        <is>
          <t>062100</t>
        </is>
      </c>
      <c r="B458" s="11" t="n">
        <v>1.5945</v>
      </c>
      <c r="C458" s="11" t="n">
        <v>2.56</v>
      </c>
      <c r="D458" s="3" t="inlineStr">
        <is>
          <t>Servizi</t>
        </is>
      </c>
      <c r="E458" s="3" t="inlineStr">
        <is>
          <t>Salute</t>
        </is>
      </c>
      <c r="F458" s="3" t="inlineStr">
        <is>
          <t>1,5-2%</t>
        </is>
      </c>
      <c r="G458" s="3" t="inlineStr">
        <is>
          <t>Preventive care services</t>
        </is>
      </c>
      <c r="H458" s="3" t="inlineStr">
        <is>
          <t>si</t>
        </is>
      </c>
      <c r="I458" s="3" t="inlineStr">
        <is>
          <t>no</t>
        </is>
      </c>
    </row>
    <row r="459">
      <c r="A459" s="3" t="inlineStr">
        <is>
          <t>122200</t>
        </is>
      </c>
      <c r="B459" s="11" t="n">
        <v>1.4452</v>
      </c>
      <c r="C459" s="11" t="n">
        <v>6.69</v>
      </c>
      <c r="D459" s="3" t="inlineStr">
        <is>
          <t>Servizi</t>
        </is>
      </c>
      <c r="E459" s="3" t="inlineStr">
        <is>
          <t>Assicurazioni e servizi finanziari</t>
        </is>
      </c>
      <c r="F459" s="3" t="inlineStr">
        <is>
          <t>sotto 1,5%</t>
        </is>
      </c>
      <c r="G459" s="3" t="inlineStr">
        <is>
          <t>Explicit charges by deposit-taking corporations</t>
        </is>
      </c>
      <c r="H459" s="3" t="inlineStr">
        <is>
          <t>no</t>
        </is>
      </c>
      <c r="I459" s="3" t="inlineStr">
        <is>
          <t>no</t>
        </is>
      </c>
    </row>
    <row r="460">
      <c r="A460" s="3" t="inlineStr">
        <is>
          <t>045100</t>
        </is>
      </c>
      <c r="B460" s="11" t="n">
        <v>1.4421</v>
      </c>
      <c r="C460" s="11" t="n">
        <v>29.07</v>
      </c>
      <c r="D460" s="3" t="inlineStr">
        <is>
          <t>Energia</t>
        </is>
      </c>
      <c r="E460" s="3" t="inlineStr">
        <is>
          <t>Abitazione e utenze</t>
        </is>
      </c>
      <c r="F460" s="3" t="inlineStr">
        <is>
          <t>sotto 1,5%</t>
        </is>
      </c>
      <c r="G460" s="3" t="inlineStr"/>
      <c r="H460" s="3" t="inlineStr"/>
      <c r="I460" s="3" t="inlineStr"/>
    </row>
    <row r="461">
      <c r="A461" s="3" t="inlineStr">
        <is>
          <t>083900</t>
        </is>
      </c>
      <c r="B461" s="11" t="n">
        <v>1.2893</v>
      </c>
      <c r="C461" s="11" t="n">
        <v>10.51</v>
      </c>
      <c r="D461" s="3" t="inlineStr">
        <is>
          <t>Servizi</t>
        </is>
      </c>
      <c r="E461" s="3" t="inlineStr">
        <is>
          <t>Informazione e comunicazione</t>
        </is>
      </c>
      <c r="F461" s="3" t="inlineStr">
        <is>
          <t>sotto 1,5%</t>
        </is>
      </c>
      <c r="G461" s="3" t="inlineStr">
        <is>
          <t>Other information and communication services</t>
        </is>
      </c>
      <c r="H461" s="3" t="inlineStr">
        <is>
          <t>si</t>
        </is>
      </c>
      <c r="I461" s="3" t="inlineStr">
        <is>
          <t>no</t>
        </is>
      </c>
    </row>
    <row r="462">
      <c r="A462" s="3" t="inlineStr">
        <is>
          <t>097100</t>
        </is>
      </c>
      <c r="B462" s="11" t="n">
        <v>1.2188</v>
      </c>
      <c r="C462" s="11" t="n">
        <v>3.49</v>
      </c>
      <c r="D462" s="3" t="inlineStr">
        <is>
          <t>Beni industriali</t>
        </is>
      </c>
      <c r="E462" s="3" t="inlineStr">
        <is>
          <t>Ricreazione, sport e cultura</t>
        </is>
      </c>
      <c r="F462" s="3" t="inlineStr">
        <is>
          <t>sotto 1,5%</t>
        </is>
      </c>
      <c r="G462" s="3" t="inlineStr">
        <is>
          <t>Books</t>
        </is>
      </c>
      <c r="H462" s="3" t="inlineStr">
        <is>
          <t>no</t>
        </is>
      </c>
      <c r="I462" s="3" t="inlineStr">
        <is>
          <t>no</t>
        </is>
      </c>
    </row>
    <row r="463">
      <c r="A463" s="3" t="inlineStr">
        <is>
          <t>012200</t>
        </is>
      </c>
      <c r="B463" s="11" t="n">
        <v>1.1044</v>
      </c>
      <c r="C463" s="11" t="n">
        <v>4.67</v>
      </c>
      <c r="D463" s="3" t="inlineStr">
        <is>
          <t>Alimentari</t>
        </is>
      </c>
      <c r="E463" s="3" t="inlineStr">
        <is>
          <t>Alimentari e bevande analcoliche</t>
        </is>
      </c>
      <c r="F463" s="3" t="inlineStr">
        <is>
          <t>sotto 1,5%</t>
        </is>
      </c>
      <c r="G463" s="3" t="inlineStr"/>
      <c r="H463" s="3" t="inlineStr"/>
      <c r="I463" s="3" t="inlineStr"/>
    </row>
    <row r="464">
      <c r="A464" s="3" t="inlineStr">
        <is>
          <t>064100</t>
        </is>
      </c>
      <c r="B464" s="11" t="n">
        <v>1.0532</v>
      </c>
      <c r="C464" s="11" t="n">
        <v>3.61</v>
      </c>
      <c r="D464" s="3" t="inlineStr">
        <is>
          <t>Servizi</t>
        </is>
      </c>
      <c r="E464" s="3" t="inlineStr">
        <is>
          <t>Salute</t>
        </is>
      </c>
      <c r="F464" s="3" t="inlineStr">
        <is>
          <t>sotto 1,5%</t>
        </is>
      </c>
      <c r="G464" s="3" t="inlineStr">
        <is>
          <t>Diagnostic imaging services and medical laboratory services</t>
        </is>
      </c>
      <c r="H464" s="3" t="inlineStr">
        <is>
          <t>si</t>
        </is>
      </c>
      <c r="I464" s="3" t="inlineStr">
        <is>
          <t>no</t>
        </is>
      </c>
    </row>
    <row r="465">
      <c r="A465" s="3" t="inlineStr">
        <is>
          <t>072400</t>
        </is>
      </c>
      <c r="B465" s="11" t="n">
        <v>1.0102</v>
      </c>
      <c r="C465" s="11" t="n">
        <v>17.83</v>
      </c>
      <c r="D465" s="3" t="inlineStr">
        <is>
          <t>Servizi</t>
        </is>
      </c>
      <c r="E465" s="3" t="inlineStr">
        <is>
          <t>Trasporti</t>
        </is>
      </c>
      <c r="F465" s="3" t="inlineStr">
        <is>
          <t>sotto 1,5%</t>
        </is>
      </c>
      <c r="G465" s="3" t="inlineStr">
        <is>
          <t>Other services related to personal transport equipment</t>
        </is>
      </c>
      <c r="H465" s="3" t="inlineStr">
        <is>
          <t>si</t>
        </is>
      </c>
      <c r="I465" s="3" t="inlineStr">
        <is>
          <t>si</t>
        </is>
      </c>
    </row>
    <row r="466">
      <c r="A466" s="3" t="inlineStr">
        <is>
          <t>097400</t>
        </is>
      </c>
      <c r="B466" s="11" t="n">
        <v>0.9643</v>
      </c>
      <c r="C466" s="11" t="n">
        <v>1.35</v>
      </c>
      <c r="D466" s="3" t="inlineStr">
        <is>
          <t>Beni industriali</t>
        </is>
      </c>
      <c r="E466" s="3" t="inlineStr">
        <is>
          <t>Ricreazione, sport e cultura</t>
        </is>
      </c>
      <c r="F466" s="3" t="inlineStr">
        <is>
          <t>sotto 1,5%</t>
        </is>
      </c>
      <c r="G466" s="3" t="inlineStr">
        <is>
          <t>Stationery and drawing materials</t>
        </is>
      </c>
      <c r="H466" s="3" t="inlineStr">
        <is>
          <t>no</t>
        </is>
      </c>
      <c r="I466" s="3" t="inlineStr">
        <is>
          <t>si</t>
        </is>
      </c>
    </row>
    <row r="467">
      <c r="A467" s="3" t="inlineStr">
        <is>
          <t>061300</t>
        </is>
      </c>
      <c r="B467" s="11" t="n">
        <v>0.9579</v>
      </c>
      <c r="C467" s="11" t="n">
        <v>8.9</v>
      </c>
      <c r="D467" s="3" t="inlineStr">
        <is>
          <t>Beni industriali</t>
        </is>
      </c>
      <c r="E467" s="3" t="inlineStr">
        <is>
          <t>Salute</t>
        </is>
      </c>
      <c r="F467" s="3" t="inlineStr">
        <is>
          <t>sotto 1,5%</t>
        </is>
      </c>
      <c r="G467" s="3" t="inlineStr">
        <is>
          <t>Assistive products</t>
        </is>
      </c>
      <c r="H467" s="3" t="inlineStr">
        <is>
          <t>no</t>
        </is>
      </c>
      <c r="I467" s="3" t="inlineStr">
        <is>
          <t>no</t>
        </is>
      </c>
    </row>
    <row r="468">
      <c r="A468" s="3" t="inlineStr">
        <is>
          <t>011800</t>
        </is>
      </c>
      <c r="B468" s="11" t="n">
        <v>0.9297</v>
      </c>
      <c r="C468" s="11" t="n">
        <v>12.13</v>
      </c>
      <c r="D468" s="3" t="inlineStr">
        <is>
          <t>Alimentari</t>
        </is>
      </c>
      <c r="E468" s="3" t="inlineStr">
        <is>
          <t>Alimentari e bevande analcoliche</t>
        </is>
      </c>
      <c r="F468" s="3" t="inlineStr">
        <is>
          <t>sotto 1,5%</t>
        </is>
      </c>
      <c r="G468" s="3" t="inlineStr"/>
      <c r="H468" s="3" t="inlineStr"/>
      <c r="I468" s="3" t="inlineStr"/>
    </row>
    <row r="469">
      <c r="A469" s="3" t="inlineStr">
        <is>
          <t>083100</t>
        </is>
      </c>
      <c r="B469" s="11" t="n">
        <v>0.8493000000000001</v>
      </c>
      <c r="C469" s="11" t="n">
        <v>0.9399999999999999</v>
      </c>
      <c r="D469" s="3" t="inlineStr">
        <is>
          <t>Servizi</t>
        </is>
      </c>
      <c r="E469" s="3" t="inlineStr">
        <is>
          <t>Informazione e comunicazione</t>
        </is>
      </c>
      <c r="F469" s="3" t="inlineStr">
        <is>
          <t>sotto 1,5%</t>
        </is>
      </c>
      <c r="G469" s="3" t="inlineStr">
        <is>
          <t>Fixed communication services</t>
        </is>
      </c>
      <c r="H469" s="3" t="inlineStr">
        <is>
          <t>si</t>
        </is>
      </c>
      <c r="I469" s="3" t="inlineStr">
        <is>
          <t>no</t>
        </is>
      </c>
    </row>
    <row r="470">
      <c r="A470" s="3" t="inlineStr">
        <is>
          <t>043100</t>
        </is>
      </c>
      <c r="B470" s="11" t="n">
        <v>0.801</v>
      </c>
      <c r="C470" s="11" t="n">
        <v>2.25</v>
      </c>
      <c r="D470" s="3" t="inlineStr">
        <is>
          <t>Beni industriali</t>
        </is>
      </c>
      <c r="E470" s="3" t="inlineStr">
        <is>
          <t>Abitazione e utenze</t>
        </is>
      </c>
      <c r="F470" s="3" t="inlineStr">
        <is>
          <t>sotto 1,5%</t>
        </is>
      </c>
      <c r="G470" s="3" t="inlineStr">
        <is>
          <t>Security equipment and materials for dwelling maintenance and repair</t>
        </is>
      </c>
      <c r="H470" s="3" t="inlineStr">
        <is>
          <t>no</t>
        </is>
      </c>
      <c r="I470" s="3" t="inlineStr">
        <is>
          <t>si</t>
        </is>
      </c>
    </row>
    <row r="471">
      <c r="A471" s="3" t="inlineStr">
        <is>
          <t>139000</t>
        </is>
      </c>
      <c r="B471" s="11" t="n">
        <v>0.6887</v>
      </c>
      <c r="C471" s="11" t="n">
        <v>15.09</v>
      </c>
      <c r="D471" s="3" t="inlineStr">
        <is>
          <t>Servizi</t>
        </is>
      </c>
      <c r="E471" s="3" t="inlineStr">
        <is>
          <t>Cura della persona e altri</t>
        </is>
      </c>
      <c r="F471" s="3" t="inlineStr">
        <is>
          <t>sotto 1,5%</t>
        </is>
      </c>
      <c r="G471" s="3" t="inlineStr">
        <is>
          <t>Other services</t>
        </is>
      </c>
      <c r="H471" s="3" t="inlineStr">
        <is>
          <t>si</t>
        </is>
      </c>
      <c r="I471" s="3" t="inlineStr">
        <is>
          <t>no</t>
        </is>
      </c>
    </row>
    <row r="472">
      <c r="A472" s="3" t="inlineStr">
        <is>
          <t>021300</t>
        </is>
      </c>
      <c r="B472" s="11" t="n">
        <v>0.5788</v>
      </c>
      <c r="C472" s="11" t="n">
        <v>4.2</v>
      </c>
      <c r="D472" s="3" t="inlineStr">
        <is>
          <t>Alimentari</t>
        </is>
      </c>
      <c r="E472" s="3" t="inlineStr">
        <is>
          <t>Alcolici e tabacchi</t>
        </is>
      </c>
      <c r="F472" s="3" t="inlineStr">
        <is>
          <t>sotto 1,5%</t>
        </is>
      </c>
      <c r="G472" s="3" t="inlineStr"/>
      <c r="H472" s="3" t="inlineStr"/>
      <c r="I472" s="3" t="inlineStr"/>
    </row>
    <row r="473">
      <c r="A473" s="3" t="inlineStr">
        <is>
          <t>012600</t>
        </is>
      </c>
      <c r="B473" s="11" t="n">
        <v>0.5534</v>
      </c>
      <c r="C473" s="11" t="n">
        <v>2.67</v>
      </c>
      <c r="D473" s="3" t="inlineStr">
        <is>
          <t>Alimentari</t>
        </is>
      </c>
      <c r="E473" s="3" t="inlineStr">
        <is>
          <t>Alimentari e bevande analcoliche</t>
        </is>
      </c>
      <c r="F473" s="3" t="inlineStr">
        <is>
          <t>sotto 1,5%</t>
        </is>
      </c>
      <c r="G473" s="3" t="inlineStr"/>
      <c r="H473" s="3" t="inlineStr"/>
      <c r="I473" s="3" t="inlineStr"/>
    </row>
    <row r="474">
      <c r="A474" s="3" t="inlineStr">
        <is>
          <t>044100</t>
        </is>
      </c>
      <c r="B474" s="11" t="n">
        <v>0.5322</v>
      </c>
      <c r="C474" s="11" t="n">
        <v>4.36</v>
      </c>
      <c r="D474" s="3" t="inlineStr">
        <is>
          <t>Beni industriali</t>
        </is>
      </c>
      <c r="E474" s="3" t="inlineStr">
        <is>
          <t>Abitazione e utenze</t>
        </is>
      </c>
      <c r="F474" s="3" t="inlineStr">
        <is>
          <t>sotto 1,5%</t>
        </is>
      </c>
      <c r="G474" s="3" t="inlineStr">
        <is>
          <t>Water supply</t>
        </is>
      </c>
      <c r="H474" s="3" t="inlineStr">
        <is>
          <t>si</t>
        </is>
      </c>
      <c r="I474" s="3" t="inlineStr">
        <is>
          <t>no</t>
        </is>
      </c>
    </row>
    <row r="475">
      <c r="A475" s="3" t="inlineStr">
        <is>
          <t>071100</t>
        </is>
      </c>
      <c r="B475" s="11" t="n">
        <v>0.4202</v>
      </c>
      <c r="C475" s="11" t="n">
        <v>27.08</v>
      </c>
      <c r="D475" s="3" t="inlineStr">
        <is>
          <t>Beni industriali</t>
        </is>
      </c>
      <c r="E475" s="3" t="inlineStr">
        <is>
          <t>Trasporti</t>
        </is>
      </c>
      <c r="F475" s="3" t="inlineStr">
        <is>
          <t>sotto 1,5%</t>
        </is>
      </c>
      <c r="G475" s="3" t="inlineStr">
        <is>
          <t>Motor cars</t>
        </is>
      </c>
      <c r="H475" s="3" t="inlineStr">
        <is>
          <t>no</t>
        </is>
      </c>
      <c r="I475" s="3" t="inlineStr">
        <is>
          <t>no</t>
        </is>
      </c>
    </row>
    <row r="476">
      <c r="A476" s="3" t="inlineStr">
        <is>
          <t>081900</t>
        </is>
      </c>
      <c r="B476" s="11" t="n">
        <v>0.3684</v>
      </c>
      <c r="C476" s="11" t="n">
        <v>0.17</v>
      </c>
      <c r="D476" s="3" t="inlineStr">
        <is>
          <t>Beni industriali</t>
        </is>
      </c>
      <c r="E476" s="3" t="inlineStr">
        <is>
          <t>Informazione e comunicazione</t>
        </is>
      </c>
      <c r="F476" s="3" t="inlineStr">
        <is>
          <t>sotto 1,5%</t>
        </is>
      </c>
      <c r="G476" s="3" t="inlineStr">
        <is>
          <t>Other information and communication equipment and accessories</t>
        </is>
      </c>
      <c r="H476" s="3" t="inlineStr">
        <is>
          <t>no</t>
        </is>
      </c>
      <c r="I476" s="3" t="inlineStr">
        <is>
          <t>no</t>
        </is>
      </c>
    </row>
    <row r="477">
      <c r="A477" s="3" t="inlineStr">
        <is>
          <t>074900</t>
        </is>
      </c>
      <c r="B477" s="11" t="n">
        <v>0.3129</v>
      </c>
      <c r="C477" s="11" t="n">
        <v>1.25</v>
      </c>
      <c r="D477" s="3" t="inlineStr">
        <is>
          <t>Servizi</t>
        </is>
      </c>
      <c r="E477" s="3" t="inlineStr">
        <is>
          <t>Trasporti</t>
        </is>
      </c>
      <c r="F477" s="3" t="inlineStr">
        <is>
          <t>sotto 1,5%</t>
        </is>
      </c>
      <c r="G477" s="3" t="inlineStr">
        <is>
          <t>Other transport of goods</t>
        </is>
      </c>
      <c r="H477" s="3" t="inlineStr">
        <is>
          <t>no</t>
        </is>
      </c>
      <c r="I477" s="3" t="inlineStr">
        <is>
          <t>si</t>
        </is>
      </c>
    </row>
    <row r="478">
      <c r="A478" s="3" t="inlineStr">
        <is>
          <t>096300</t>
        </is>
      </c>
      <c r="B478" s="11" t="n">
        <v>0.2899</v>
      </c>
      <c r="C478" s="11" t="n">
        <v>1.25</v>
      </c>
      <c r="D478" s="3" t="inlineStr">
        <is>
          <t>Servizi</t>
        </is>
      </c>
      <c r="E478" s="3" t="inlineStr">
        <is>
          <t>Ricreazione, sport e cultura</t>
        </is>
      </c>
      <c r="F478" s="3" t="inlineStr">
        <is>
          <t>sotto 1,5%</t>
        </is>
      </c>
      <c r="G478" s="3" t="inlineStr">
        <is>
          <t>Photographic services</t>
        </is>
      </c>
      <c r="H478" s="3" t="inlineStr">
        <is>
          <t>no</t>
        </is>
      </c>
      <c r="I478" s="3" t="inlineStr">
        <is>
          <t>no</t>
        </is>
      </c>
    </row>
    <row r="479">
      <c r="A479" s="3" t="inlineStr">
        <is>
          <t>021100</t>
        </is>
      </c>
      <c r="B479" s="11" t="n">
        <v>0.2792</v>
      </c>
      <c r="C479" s="11" t="n">
        <v>4.29</v>
      </c>
      <c r="D479" s="3" t="inlineStr">
        <is>
          <t>Alimentari</t>
        </is>
      </c>
      <c r="E479" s="3" t="inlineStr">
        <is>
          <t>Alcolici e tabacchi</t>
        </is>
      </c>
      <c r="F479" s="3" t="inlineStr">
        <is>
          <t>sotto 1,5%</t>
        </is>
      </c>
      <c r="G479" s="3" t="inlineStr"/>
      <c r="H479" s="3" t="inlineStr"/>
      <c r="I479" s="3" t="inlineStr"/>
    </row>
    <row r="480">
      <c r="A480" s="3" t="inlineStr">
        <is>
          <t>011400</t>
        </is>
      </c>
      <c r="B480" s="11" t="n">
        <v>0.2294</v>
      </c>
      <c r="C480" s="11" t="n">
        <v>19.81</v>
      </c>
      <c r="D480" s="3" t="inlineStr">
        <is>
          <t>Alimentari</t>
        </is>
      </c>
      <c r="E480" s="3" t="inlineStr">
        <is>
          <t>Alimentari e bevande analcoliche</t>
        </is>
      </c>
      <c r="F480" s="3" t="inlineStr">
        <is>
          <t>sotto 1,5%</t>
        </is>
      </c>
      <c r="G480" s="3" t="inlineStr"/>
      <c r="H480" s="3" t="inlineStr"/>
      <c r="I480" s="3" t="inlineStr"/>
    </row>
    <row r="481">
      <c r="A481" s="3" t="inlineStr">
        <is>
          <t>073200</t>
        </is>
      </c>
      <c r="B481" s="11" t="n">
        <v>0.1914</v>
      </c>
      <c r="C481" s="11" t="n">
        <v>6.52</v>
      </c>
      <c r="D481" s="3" t="inlineStr">
        <is>
          <t>Servizi</t>
        </is>
      </c>
      <c r="E481" s="3" t="inlineStr">
        <is>
          <t>Trasporti</t>
        </is>
      </c>
      <c r="F481" s="3" t="inlineStr">
        <is>
          <t>sotto 1,5%</t>
        </is>
      </c>
      <c r="G481" s="3" t="inlineStr">
        <is>
          <t>Passenger transport by road</t>
        </is>
      </c>
      <c r="H481" s="3" t="inlineStr">
        <is>
          <t>no</t>
        </is>
      </c>
      <c r="I481" s="3" t="inlineStr">
        <is>
          <t>no</t>
        </is>
      </c>
    </row>
    <row r="482">
      <c r="A482" s="3" t="inlineStr">
        <is>
          <t>021200</t>
        </is>
      </c>
      <c r="B482" s="11" t="n">
        <v>0.13</v>
      </c>
      <c r="C482" s="11" t="n">
        <v>7.8</v>
      </c>
      <c r="D482" s="3" t="inlineStr">
        <is>
          <t>Alimentari</t>
        </is>
      </c>
      <c r="E482" s="3" t="inlineStr">
        <is>
          <t>Alcolici e tabacchi</t>
        </is>
      </c>
      <c r="F482" s="3" t="inlineStr">
        <is>
          <t>sotto 1,5%</t>
        </is>
      </c>
      <c r="G482" s="3" t="inlineStr"/>
      <c r="H482" s="3" t="inlineStr"/>
      <c r="I482" s="3" t="inlineStr"/>
    </row>
    <row r="483">
      <c r="A483" s="3" t="inlineStr">
        <is>
          <t>131200</t>
        </is>
      </c>
      <c r="B483" s="11" t="n">
        <v>0.1299</v>
      </c>
      <c r="C483" s="11" t="n">
        <v>15.51</v>
      </c>
      <c r="D483" s="3" t="inlineStr">
        <is>
          <t>Beni industriali</t>
        </is>
      </c>
      <c r="E483" s="3" t="inlineStr">
        <is>
          <t>Cura della persona e altri</t>
        </is>
      </c>
      <c r="F483" s="3" t="inlineStr">
        <is>
          <t>sotto 1,5%</t>
        </is>
      </c>
      <c r="G483" s="3" t="inlineStr">
        <is>
          <t>Other appliances, articles and products for personal care</t>
        </is>
      </c>
      <c r="H483" s="3" t="inlineStr">
        <is>
          <t>no</t>
        </is>
      </c>
      <c r="I483" s="3" t="inlineStr">
        <is>
          <t>si</t>
        </is>
      </c>
    </row>
    <row r="484">
      <c r="A484" s="3" t="inlineStr">
        <is>
          <t>063100</t>
        </is>
      </c>
      <c r="B484" s="11" t="n">
        <v>0</v>
      </c>
      <c r="C484" s="11" t="n">
        <v>3.85</v>
      </c>
      <c r="D484" s="3" t="inlineStr">
        <is>
          <t>Servizi</t>
        </is>
      </c>
      <c r="E484" s="3" t="inlineStr">
        <is>
          <t>Salute</t>
        </is>
      </c>
      <c r="F484" s="3" t="inlineStr">
        <is>
          <t>sotto 1,5%</t>
        </is>
      </c>
      <c r="G484" s="3" t="inlineStr">
        <is>
          <t>Inpatient curative and rehabilitative services</t>
        </is>
      </c>
      <c r="H484" s="3" t="inlineStr">
        <is>
          <t>si</t>
        </is>
      </c>
      <c r="I484" s="3" t="inlineStr">
        <is>
          <t>no</t>
        </is>
      </c>
    </row>
    <row r="485">
      <c r="A485" s="3" t="inlineStr">
        <is>
          <t>064200</t>
        </is>
      </c>
      <c r="B485" s="11" t="n">
        <v>0</v>
      </c>
      <c r="C485" s="11" t="n">
        <v>0.3</v>
      </c>
      <c r="D485" s="3" t="inlineStr">
        <is>
          <t>Servizi</t>
        </is>
      </c>
      <c r="E485" s="3" t="inlineStr">
        <is>
          <t>Salute</t>
        </is>
      </c>
      <c r="F485" s="3" t="inlineStr">
        <is>
          <t>sotto 1,5%</t>
        </is>
      </c>
      <c r="G485" s="3" t="inlineStr">
        <is>
          <t>Patient emergency transportation and emergency rescue services</t>
        </is>
      </c>
      <c r="H485" s="3" t="inlineStr">
        <is>
          <t>si</t>
        </is>
      </c>
      <c r="I485" s="3" t="inlineStr">
        <is>
          <t>no</t>
        </is>
      </c>
    </row>
    <row r="486">
      <c r="A486" s="3" t="inlineStr">
        <is>
          <t>063200</t>
        </is>
      </c>
      <c r="B486" s="11" t="n">
        <v>0</v>
      </c>
      <c r="C486" s="11" t="n">
        <v>1.19</v>
      </c>
      <c r="D486" s="3" t="inlineStr">
        <is>
          <t>Servizi</t>
        </is>
      </c>
      <c r="E486" s="3" t="inlineStr">
        <is>
          <t>Salute</t>
        </is>
      </c>
      <c r="F486" s="3" t="inlineStr">
        <is>
          <t>sotto 1,5%</t>
        </is>
      </c>
      <c r="G486" s="3" t="inlineStr">
        <is>
          <t>Inpatient long-term care services</t>
        </is>
      </c>
      <c r="H486" s="3" t="inlineStr">
        <is>
          <t>si</t>
        </is>
      </c>
      <c r="I486" s="3" t="inlineStr">
        <is>
          <t>no</t>
        </is>
      </c>
    </row>
    <row r="487">
      <c r="A487" s="3" t="inlineStr">
        <is>
          <t>031300</t>
        </is>
      </c>
      <c r="B487" s="11" t="n">
        <v>-0.009900000000000001</v>
      </c>
      <c r="C487" s="11" t="n">
        <v>3.05</v>
      </c>
      <c r="D487" s="3" t="inlineStr">
        <is>
          <t>Beni industriali</t>
        </is>
      </c>
      <c r="E487" s="3" t="inlineStr">
        <is>
          <t>Abbigliamento e calzature</t>
        </is>
      </c>
      <c r="F487" s="3" t="inlineStr">
        <is>
          <t>sotto 1,5%</t>
        </is>
      </c>
      <c r="G487" s="3" t="inlineStr">
        <is>
          <t>Other articles of clothing and clothing accessories</t>
        </is>
      </c>
      <c r="H487" s="3" t="inlineStr">
        <is>
          <t>no</t>
        </is>
      </c>
      <c r="I487" s="3" t="inlineStr">
        <is>
          <t>no</t>
        </is>
      </c>
    </row>
    <row r="488">
      <c r="A488" s="3" t="inlineStr">
        <is>
          <t>132900</t>
        </is>
      </c>
      <c r="B488" s="11" t="n">
        <v>-0.02</v>
      </c>
      <c r="C488" s="11" t="n">
        <v>5.2</v>
      </c>
      <c r="D488" s="3" t="inlineStr">
        <is>
          <t>Beni industriali</t>
        </is>
      </c>
      <c r="E488" s="3" t="inlineStr">
        <is>
          <t>Cura della persona e altri</t>
        </is>
      </c>
      <c r="F488" s="3" t="inlineStr">
        <is>
          <t>sotto 1,5%</t>
        </is>
      </c>
      <c r="G488" s="3" t="inlineStr">
        <is>
          <t>Other personal effects n.e.c.</t>
        </is>
      </c>
      <c r="H488" s="3" t="inlineStr">
        <is>
          <t>no</t>
        </is>
      </c>
      <c r="I488" s="3" t="inlineStr">
        <is>
          <t>si</t>
        </is>
      </c>
    </row>
    <row r="489">
      <c r="A489" s="3" t="inlineStr">
        <is>
          <t>083500</t>
        </is>
      </c>
      <c r="B489" s="11" t="n">
        <v>-0.03</v>
      </c>
      <c r="C489" s="11" t="n">
        <v>0.42</v>
      </c>
      <c r="D489" s="3" t="inlineStr">
        <is>
          <t>Servizi</t>
        </is>
      </c>
      <c r="E489" s="3" t="inlineStr">
        <is>
          <t>Informazione e comunicazione</t>
        </is>
      </c>
      <c r="F489" s="3" t="inlineStr">
        <is>
          <t>sotto 1,5%</t>
        </is>
      </c>
      <c r="G489" s="3" t="inlineStr">
        <is>
          <t>Repair and rental of information and communication equipment</t>
        </is>
      </c>
      <c r="H489" s="3" t="inlineStr">
        <is>
          <t>no</t>
        </is>
      </c>
      <c r="I489" s="3" t="inlineStr">
        <is>
          <t>no</t>
        </is>
      </c>
    </row>
    <row r="490">
      <c r="A490" s="3" t="inlineStr">
        <is>
          <t>095100</t>
        </is>
      </c>
      <c r="B490" s="11" t="n">
        <v>-0.0603</v>
      </c>
      <c r="C490" s="11" t="n">
        <v>0.21</v>
      </c>
      <c r="D490" s="3" t="inlineStr">
        <is>
          <t>Beni industriali</t>
        </is>
      </c>
      <c r="E490" s="3" t="inlineStr">
        <is>
          <t>Ricreazione, sport e cultura</t>
        </is>
      </c>
      <c r="F490" s="3" t="inlineStr">
        <is>
          <t>sotto 1,5%</t>
        </is>
      </c>
      <c r="G490" s="3" t="inlineStr">
        <is>
          <t>Musical instruments</t>
        </is>
      </c>
      <c r="H490" s="3" t="inlineStr">
        <is>
          <t>no</t>
        </is>
      </c>
      <c r="I490" s="3" t="inlineStr">
        <is>
          <t>no</t>
        </is>
      </c>
    </row>
    <row r="491">
      <c r="A491" s="3" t="inlineStr">
        <is>
          <t>054000</t>
        </is>
      </c>
      <c r="B491" s="11" t="n">
        <v>-0.1399</v>
      </c>
      <c r="C491" s="11" t="n">
        <v>3.27</v>
      </c>
      <c r="D491" s="3" t="inlineStr">
        <is>
          <t>Beni industriali</t>
        </is>
      </c>
      <c r="E491" s="3" t="inlineStr">
        <is>
          <t>Mobili e articoli per la casa</t>
        </is>
      </c>
      <c r="F491" s="3" t="inlineStr">
        <is>
          <t>sotto 1,5%</t>
        </is>
      </c>
      <c r="G491" s="3" t="inlineStr">
        <is>
          <t>Glassware, tableware and household utensils</t>
        </is>
      </c>
      <c r="H491" s="3" t="inlineStr">
        <is>
          <t>no</t>
        </is>
      </c>
      <c r="I491" s="3" t="inlineStr">
        <is>
          <t>si</t>
        </is>
      </c>
    </row>
    <row r="492">
      <c r="A492" s="3" t="inlineStr">
        <is>
          <t>056100</t>
        </is>
      </c>
      <c r="B492" s="11" t="n">
        <v>-0.1601</v>
      </c>
      <c r="C492" s="11" t="n">
        <v>9.699999999999999</v>
      </c>
      <c r="D492" s="3" t="inlineStr">
        <is>
          <t>Beni industriali</t>
        </is>
      </c>
      <c r="E492" s="3" t="inlineStr">
        <is>
          <t>Mobili e articoli per la casa</t>
        </is>
      </c>
      <c r="F492" s="3" t="inlineStr">
        <is>
          <t>sotto 1,5%</t>
        </is>
      </c>
      <c r="G492" s="3" t="inlineStr">
        <is>
          <t>Non-durable household goods</t>
        </is>
      </c>
      <c r="H492" s="3" t="inlineStr">
        <is>
          <t>no</t>
        </is>
      </c>
      <c r="I492" s="3" t="inlineStr">
        <is>
          <t>si</t>
        </is>
      </c>
    </row>
    <row r="493">
      <c r="A493" s="3" t="inlineStr">
        <is>
          <t>012900</t>
        </is>
      </c>
      <c r="B493" s="11" t="n">
        <v>-0.1795</v>
      </c>
      <c r="C493" s="11" t="n">
        <v>1.38</v>
      </c>
      <c r="D493" s="3" t="inlineStr">
        <is>
          <t>Alimentari</t>
        </is>
      </c>
      <c r="E493" s="3" t="inlineStr">
        <is>
          <t>Alimentari e bevande analcoliche</t>
        </is>
      </c>
      <c r="F493" s="3" t="inlineStr">
        <is>
          <t>sotto 1,5%</t>
        </is>
      </c>
      <c r="G493" s="3" t="inlineStr"/>
      <c r="H493" s="3" t="inlineStr"/>
      <c r="I493" s="3" t="inlineStr"/>
    </row>
    <row r="494">
      <c r="A494" s="3" t="inlineStr">
        <is>
          <t>031200</t>
        </is>
      </c>
      <c r="B494" s="11" t="n">
        <v>-0.2948</v>
      </c>
      <c r="C494" s="11" t="n">
        <v>26.36</v>
      </c>
      <c r="D494" s="3" t="inlineStr">
        <is>
          <t>Beni industriali</t>
        </is>
      </c>
      <c r="E494" s="3" t="inlineStr">
        <is>
          <t>Abbigliamento e calzature</t>
        </is>
      </c>
      <c r="F494" s="3" t="inlineStr">
        <is>
          <t>sotto 1,5%</t>
        </is>
      </c>
      <c r="G494" s="3" t="inlineStr">
        <is>
          <t>Garments</t>
        </is>
      </c>
      <c r="H494" s="3" t="inlineStr">
        <is>
          <t>no</t>
        </is>
      </c>
      <c r="I494" s="3" t="inlineStr">
        <is>
          <t>no</t>
        </is>
      </c>
    </row>
    <row r="495">
      <c r="A495" s="3" t="inlineStr">
        <is>
          <t>091200</t>
        </is>
      </c>
      <c r="B495" s="11" t="n">
        <v>-0.3306</v>
      </c>
      <c r="C495" s="11" t="n">
        <v>6.41</v>
      </c>
      <c r="D495" s="3" t="inlineStr">
        <is>
          <t>Beni industriali</t>
        </is>
      </c>
      <c r="E495" s="3" t="inlineStr">
        <is>
          <t>Ricreazione, sport e cultura</t>
        </is>
      </c>
      <c r="F495" s="3" t="inlineStr">
        <is>
          <t>sotto 1,5%</t>
        </is>
      </c>
      <c r="G495" s="3" t="inlineStr">
        <is>
          <t>Major recreational durables</t>
        </is>
      </c>
      <c r="H495" s="3" t="inlineStr">
        <is>
          <t>no</t>
        </is>
      </c>
      <c r="I495" s="3" t="inlineStr">
        <is>
          <t>no</t>
        </is>
      </c>
    </row>
    <row r="496">
      <c r="A496" s="3" t="inlineStr">
        <is>
          <t>011100</t>
        </is>
      </c>
      <c r="B496" s="11" t="n">
        <v>-0.3588</v>
      </c>
      <c r="C496" s="11" t="n">
        <v>28.01</v>
      </c>
      <c r="D496" s="3" t="inlineStr">
        <is>
          <t>Alimentari</t>
        </is>
      </c>
      <c r="E496" s="3" t="inlineStr">
        <is>
          <t>Alimentari e bevande analcoliche</t>
        </is>
      </c>
      <c r="F496" s="3" t="inlineStr">
        <is>
          <t>sotto 1,5%</t>
        </is>
      </c>
      <c r="G496" s="3" t="inlineStr"/>
      <c r="H496" s="3" t="inlineStr"/>
      <c r="I496" s="3" t="inlineStr"/>
    </row>
    <row r="497">
      <c r="A497" s="3" t="inlineStr">
        <is>
          <t>011900</t>
        </is>
      </c>
      <c r="B497" s="11" t="n">
        <v>-0.3907</v>
      </c>
      <c r="C497" s="11" t="n">
        <v>16.3</v>
      </c>
      <c r="D497" s="3" t="inlineStr">
        <is>
          <t>Alimentari</t>
        </is>
      </c>
      <c r="E497" s="3" t="inlineStr">
        <is>
          <t>Alimentari e bevande analcoliche</t>
        </is>
      </c>
      <c r="F497" s="3" t="inlineStr">
        <is>
          <t>sotto 1,5%</t>
        </is>
      </c>
      <c r="G497" s="3" t="inlineStr"/>
      <c r="H497" s="3" t="inlineStr"/>
      <c r="I497" s="3" t="inlineStr"/>
    </row>
    <row r="498">
      <c r="A498" s="3" t="inlineStr">
        <is>
          <t>092100</t>
        </is>
      </c>
      <c r="B498" s="11" t="n">
        <v>-0.4383</v>
      </c>
      <c r="C498" s="11" t="n">
        <v>6.38</v>
      </c>
      <c r="D498" s="3" t="inlineStr">
        <is>
          <t>Beni industriali</t>
        </is>
      </c>
      <c r="E498" s="3" t="inlineStr">
        <is>
          <t>Ricreazione, sport e cultura</t>
        </is>
      </c>
      <c r="F498" s="3" t="inlineStr">
        <is>
          <t>sotto 1,5%</t>
        </is>
      </c>
      <c r="G498" s="3" t="inlineStr">
        <is>
          <t>Games, toys and hobby-related articles</t>
        </is>
      </c>
      <c r="H498" s="3" t="inlineStr">
        <is>
          <t>no</t>
        </is>
      </c>
      <c r="I498" s="3" t="inlineStr">
        <is>
          <t>no</t>
        </is>
      </c>
    </row>
    <row r="499">
      <c r="A499" s="3" t="inlineStr">
        <is>
          <t>052100</t>
        </is>
      </c>
      <c r="B499" s="11" t="n">
        <v>-0.4967</v>
      </c>
      <c r="C499" s="11" t="n">
        <v>1.55</v>
      </c>
      <c r="D499" s="3" t="inlineStr">
        <is>
          <t>Beni industriali</t>
        </is>
      </c>
      <c r="E499" s="3" t="inlineStr">
        <is>
          <t>Mobili e articoli per la casa</t>
        </is>
      </c>
      <c r="F499" s="3" t="inlineStr">
        <is>
          <t>sotto 1,5%</t>
        </is>
      </c>
      <c r="G499" s="3" t="inlineStr">
        <is>
          <t>Household textiles</t>
        </is>
      </c>
      <c r="H499" s="3" t="inlineStr">
        <is>
          <t>no</t>
        </is>
      </c>
      <c r="I499" s="3" t="inlineStr">
        <is>
          <t>no</t>
        </is>
      </c>
    </row>
    <row r="500">
      <c r="A500" s="3" t="inlineStr">
        <is>
          <t>093200</t>
        </is>
      </c>
      <c r="B500" s="11" t="n">
        <v>-0.7941</v>
      </c>
      <c r="C500" s="11" t="n">
        <v>6.39</v>
      </c>
      <c r="D500" s="3" t="inlineStr">
        <is>
          <t>Beni industriali</t>
        </is>
      </c>
      <c r="E500" s="3" t="inlineStr">
        <is>
          <t>Ricreazione, sport e cultura</t>
        </is>
      </c>
      <c r="F500" s="3" t="inlineStr">
        <is>
          <t>sotto 1,5%</t>
        </is>
      </c>
      <c r="G500" s="3" t="inlineStr">
        <is>
          <t>Pets and pet products</t>
        </is>
      </c>
      <c r="H500" s="3" t="inlineStr">
        <is>
          <t>no</t>
        </is>
      </c>
      <c r="I500" s="3" t="inlineStr">
        <is>
          <t>si</t>
        </is>
      </c>
    </row>
    <row r="501">
      <c r="A501" s="3" t="inlineStr">
        <is>
          <t>055100</t>
        </is>
      </c>
      <c r="B501" s="11" t="n">
        <v>-0.8142</v>
      </c>
      <c r="C501" s="11" t="n">
        <v>1.19</v>
      </c>
      <c r="D501" s="3" t="inlineStr">
        <is>
          <t>Beni industriali</t>
        </is>
      </c>
      <c r="E501" s="3" t="inlineStr">
        <is>
          <t>Mobili e articoli per la casa</t>
        </is>
      </c>
      <c r="F501" s="3" t="inlineStr">
        <is>
          <t>sotto 1,5%</t>
        </is>
      </c>
      <c r="G501" s="3" t="inlineStr">
        <is>
          <t>Motorized tools and equipment</t>
        </is>
      </c>
      <c r="H501" s="3" t="inlineStr">
        <is>
          <t>no</t>
        </is>
      </c>
      <c r="I501" s="3" t="inlineStr">
        <is>
          <t>no</t>
        </is>
      </c>
    </row>
    <row r="502">
      <c r="A502" s="3" t="inlineStr">
        <is>
          <t>061200</t>
        </is>
      </c>
      <c r="B502" s="11" t="n">
        <v>-0.8205</v>
      </c>
      <c r="C502" s="11" t="n">
        <v>1.36</v>
      </c>
      <c r="D502" s="3" t="inlineStr">
        <is>
          <t>Beni industriali</t>
        </is>
      </c>
      <c r="E502" s="3" t="inlineStr">
        <is>
          <t>Salute</t>
        </is>
      </c>
      <c r="F502" s="3" t="inlineStr">
        <is>
          <t>sotto 1,5%</t>
        </is>
      </c>
      <c r="G502" s="3" t="inlineStr">
        <is>
          <t>Medical products</t>
        </is>
      </c>
      <c r="H502" s="3" t="inlineStr">
        <is>
          <t>no</t>
        </is>
      </c>
      <c r="I502" s="3" t="inlineStr">
        <is>
          <t>no</t>
        </is>
      </c>
    </row>
    <row r="503">
      <c r="A503" s="3" t="inlineStr">
        <is>
          <t>072100</t>
        </is>
      </c>
      <c r="B503" s="11" t="n">
        <v>-1.0472</v>
      </c>
      <c r="C503" s="11" t="n">
        <v>28.05</v>
      </c>
      <c r="D503" s="3" t="inlineStr">
        <is>
          <t>Beni industriali</t>
        </is>
      </c>
      <c r="E503" s="3" t="inlineStr">
        <is>
          <t>Trasporti</t>
        </is>
      </c>
      <c r="F503" s="3" t="inlineStr">
        <is>
          <t>sotto 1,5%</t>
        </is>
      </c>
      <c r="G503" s="3" t="inlineStr">
        <is>
          <t>Parts and accessories for personal transport equipment</t>
        </is>
      </c>
      <c r="H503" s="3" t="inlineStr">
        <is>
          <t>no</t>
        </is>
      </c>
      <c r="I503" s="3" t="inlineStr">
        <is>
          <t>si</t>
        </is>
      </c>
    </row>
    <row r="504">
      <c r="A504" s="3" t="inlineStr">
        <is>
          <t>012100</t>
        </is>
      </c>
      <c r="B504" s="11" t="n">
        <v>-1.112</v>
      </c>
      <c r="C504" s="11" t="n">
        <v>2.43</v>
      </c>
      <c r="D504" s="3" t="inlineStr">
        <is>
          <t>Alimentari</t>
        </is>
      </c>
      <c r="E504" s="3" t="inlineStr">
        <is>
          <t>Alimentari e bevande analcoliche</t>
        </is>
      </c>
      <c r="F504" s="3" t="inlineStr">
        <is>
          <t>sotto 1,5%</t>
        </is>
      </c>
      <c r="G504" s="3" t="inlineStr"/>
      <c r="H504" s="3" t="inlineStr"/>
      <c r="I504" s="3" t="inlineStr"/>
    </row>
    <row r="505">
      <c r="A505" s="3" t="inlineStr">
        <is>
          <t>071200</t>
        </is>
      </c>
      <c r="B505" s="11" t="n">
        <v>-1.1694</v>
      </c>
      <c r="C505" s="11" t="n">
        <v>2.49</v>
      </c>
      <c r="D505" s="3" t="inlineStr">
        <is>
          <t>Beni industriali</t>
        </is>
      </c>
      <c r="E505" s="3" t="inlineStr">
        <is>
          <t>Trasporti</t>
        </is>
      </c>
      <c r="F505" s="3" t="inlineStr">
        <is>
          <t>sotto 1,5%</t>
        </is>
      </c>
      <c r="G505" s="3" t="inlineStr">
        <is>
          <t>Motorcycles</t>
        </is>
      </c>
      <c r="H505" s="3" t="inlineStr">
        <is>
          <t>no</t>
        </is>
      </c>
      <c r="I505" s="3" t="inlineStr">
        <is>
          <t>no</t>
        </is>
      </c>
    </row>
    <row r="506">
      <c r="A506" s="3" t="inlineStr">
        <is>
          <t>011500</t>
        </is>
      </c>
      <c r="B506" s="11" t="n">
        <v>-1.2032</v>
      </c>
      <c r="C506" s="11" t="n">
        <v>3.3</v>
      </c>
      <c r="D506" s="3" t="inlineStr">
        <is>
          <t>Alimentari</t>
        </is>
      </c>
      <c r="E506" s="3" t="inlineStr">
        <is>
          <t>Alimentari e bevande analcoliche</t>
        </is>
      </c>
      <c r="F506" s="3" t="inlineStr">
        <is>
          <t>sotto 1,5%</t>
        </is>
      </c>
      <c r="G506" s="3" t="inlineStr"/>
      <c r="H506" s="3" t="inlineStr"/>
      <c r="I506" s="3" t="inlineStr"/>
    </row>
    <row r="507">
      <c r="A507" s="3" t="inlineStr">
        <is>
          <t>097300</t>
        </is>
      </c>
      <c r="B507" s="11" t="n">
        <v>-1.3526</v>
      </c>
      <c r="C507" s="11" t="n">
        <v>0.48</v>
      </c>
      <c r="D507" s="3" t="inlineStr">
        <is>
          <t>Beni industriali</t>
        </is>
      </c>
      <c r="E507" s="3" t="inlineStr">
        <is>
          <t>Ricreazione, sport e cultura</t>
        </is>
      </c>
      <c r="F507" s="3" t="inlineStr">
        <is>
          <t>sotto 1,5%</t>
        </is>
      </c>
      <c r="G507" s="3" t="inlineStr">
        <is>
          <t>Miscellaneous printed matter</t>
        </is>
      </c>
      <c r="H507" s="3" t="inlineStr">
        <is>
          <t>no</t>
        </is>
      </c>
      <c r="I507" s="3" t="inlineStr">
        <is>
          <t>no</t>
        </is>
      </c>
    </row>
    <row r="508">
      <c r="A508" s="3" t="inlineStr">
        <is>
          <t>055200</t>
        </is>
      </c>
      <c r="B508" s="11" t="n">
        <v>-1.4872</v>
      </c>
      <c r="C508" s="11" t="n">
        <v>1.91</v>
      </c>
      <c r="D508" s="3" t="inlineStr">
        <is>
          <t>Beni industriali</t>
        </is>
      </c>
      <c r="E508" s="3" t="inlineStr">
        <is>
          <t>Mobili e articoli per la casa</t>
        </is>
      </c>
      <c r="F508" s="3" t="inlineStr">
        <is>
          <t>sotto 1,5%</t>
        </is>
      </c>
      <c r="G508" s="3" t="inlineStr">
        <is>
          <t>Non-motorized tools and miscellaneous accessories</t>
        </is>
      </c>
      <c r="H508" s="3" t="inlineStr">
        <is>
          <t>no</t>
        </is>
      </c>
      <c r="I508" s="3" t="inlineStr">
        <is>
          <t>si</t>
        </is>
      </c>
    </row>
    <row r="509">
      <c r="A509" s="3" t="inlineStr">
        <is>
          <t>091100</t>
        </is>
      </c>
      <c r="B509" s="11" t="n">
        <v>-1.5395</v>
      </c>
      <c r="C509" s="11" t="n">
        <v>0.45</v>
      </c>
      <c r="D509" s="3" t="inlineStr">
        <is>
          <t>Beni industriali</t>
        </is>
      </c>
      <c r="E509" s="3" t="inlineStr">
        <is>
          <t>Ricreazione, sport e cultura</t>
        </is>
      </c>
      <c r="F509" s="3" t="inlineStr">
        <is>
          <t>sotto 1,5%</t>
        </is>
      </c>
      <c r="G509" s="3" t="inlineStr">
        <is>
          <t>Photographic and cinematographic equipment and optical instruments</t>
        </is>
      </c>
      <c r="H509" s="3" t="inlineStr">
        <is>
          <t>no</t>
        </is>
      </c>
      <c r="I509" s="3" t="inlineStr">
        <is>
          <t>no</t>
        </is>
      </c>
    </row>
    <row r="510">
      <c r="A510" s="3" t="inlineStr">
        <is>
          <t>012300</t>
        </is>
      </c>
      <c r="B510" s="11" t="n">
        <v>-1.8656</v>
      </c>
      <c r="C510" s="11" t="n">
        <v>0.57</v>
      </c>
      <c r="D510" s="3" t="inlineStr">
        <is>
          <t>Alimentari</t>
        </is>
      </c>
      <c r="E510" s="3" t="inlineStr">
        <is>
          <t>Alimentari e bevande analcoliche</t>
        </is>
      </c>
      <c r="F510" s="3" t="inlineStr">
        <is>
          <t>sotto 1,5%</t>
        </is>
      </c>
      <c r="G510" s="3" t="inlineStr"/>
      <c r="H510" s="3" t="inlineStr"/>
      <c r="I510" s="3" t="inlineStr"/>
    </row>
    <row r="511">
      <c r="A511" s="3" t="inlineStr">
        <is>
          <t>092200</t>
        </is>
      </c>
      <c r="B511" s="11" t="n">
        <v>-1.9014</v>
      </c>
      <c r="C511" s="11" t="n">
        <v>6.26</v>
      </c>
      <c r="D511" s="3" t="inlineStr">
        <is>
          <t>Beni industriali</t>
        </is>
      </c>
      <c r="E511" s="3" t="inlineStr">
        <is>
          <t>Ricreazione, sport e cultura</t>
        </is>
      </c>
      <c r="F511" s="3" t="inlineStr">
        <is>
          <t>sotto 1,5%</t>
        </is>
      </c>
      <c r="G511" s="3" t="inlineStr">
        <is>
          <t>Sporting, camping and open-air recreation equipment</t>
        </is>
      </c>
      <c r="H511" s="3" t="inlineStr">
        <is>
          <t>no</t>
        </is>
      </c>
      <c r="I511" s="3" t="inlineStr">
        <is>
          <t>no</t>
        </is>
      </c>
    </row>
    <row r="512">
      <c r="A512" s="3" t="inlineStr">
        <is>
          <t>096100</t>
        </is>
      </c>
      <c r="B512" s="11" t="n">
        <v>-1.9663</v>
      </c>
      <c r="C512" s="11" t="n">
        <v>7.61</v>
      </c>
      <c r="D512" s="3" t="inlineStr">
        <is>
          <t>Servizi</t>
        </is>
      </c>
      <c r="E512" s="3" t="inlineStr">
        <is>
          <t>Ricreazione, sport e cultura</t>
        </is>
      </c>
      <c r="F512" s="3" t="inlineStr">
        <is>
          <t>sotto 1,5%</t>
        </is>
      </c>
      <c r="G512" s="3" t="inlineStr">
        <is>
          <t>Services provided by cinemas, theatres and concert venues</t>
        </is>
      </c>
      <c r="H512" s="3" t="inlineStr">
        <is>
          <t>no</t>
        </is>
      </c>
      <c r="I512" s="3" t="inlineStr">
        <is>
          <t>no</t>
        </is>
      </c>
    </row>
    <row r="513">
      <c r="A513" s="3" t="inlineStr">
        <is>
          <t>081100</t>
        </is>
      </c>
      <c r="B513" s="11" t="n">
        <v>-2.373</v>
      </c>
      <c r="C513" s="11" t="n">
        <v>0.07000000000000001</v>
      </c>
      <c r="D513" s="3" t="inlineStr">
        <is>
          <t>Beni industriali</t>
        </is>
      </c>
      <c r="E513" s="3" t="inlineStr">
        <is>
          <t>Informazione e comunicazione</t>
        </is>
      </c>
      <c r="F513" s="3" t="inlineStr">
        <is>
          <t>sotto 1,5%</t>
        </is>
      </c>
      <c r="G513" s="3" t="inlineStr">
        <is>
          <t>Fixed telephone equipment</t>
        </is>
      </c>
      <c r="H513" s="3" t="inlineStr">
        <is>
          <t>no</t>
        </is>
      </c>
      <c r="I513" s="3" t="inlineStr">
        <is>
          <t>no</t>
        </is>
      </c>
    </row>
    <row r="514">
      <c r="A514" s="3" t="inlineStr">
        <is>
          <t>053100</t>
        </is>
      </c>
      <c r="B514" s="11" t="n">
        <v>-2.4031</v>
      </c>
      <c r="C514" s="11" t="n">
        <v>7</v>
      </c>
      <c r="D514" s="3" t="inlineStr">
        <is>
          <t>Beni industriali</t>
        </is>
      </c>
      <c r="E514" s="3" t="inlineStr">
        <is>
          <t>Mobili e articoli per la casa</t>
        </is>
      </c>
      <c r="F514" s="3" t="inlineStr">
        <is>
          <t>sotto 1,5%</t>
        </is>
      </c>
      <c r="G514" s="3" t="inlineStr">
        <is>
          <t>Major electric and other household appliances</t>
        </is>
      </c>
      <c r="H514" s="3" t="inlineStr">
        <is>
          <t>no</t>
        </is>
      </c>
      <c r="I514" s="3" t="inlineStr">
        <is>
          <t>si</t>
        </is>
      </c>
    </row>
    <row r="515">
      <c r="A515" s="3" t="inlineStr">
        <is>
          <t>061100</t>
        </is>
      </c>
      <c r="B515" s="11" t="n">
        <v>-2.4363</v>
      </c>
      <c r="C515" s="11" t="n">
        <v>7.59</v>
      </c>
      <c r="D515" s="3" t="inlineStr">
        <is>
          <t>Beni industriali</t>
        </is>
      </c>
      <c r="E515" s="3" t="inlineStr">
        <is>
          <t>Salute</t>
        </is>
      </c>
      <c r="F515" s="3" t="inlineStr">
        <is>
          <t>sotto 1,5%</t>
        </is>
      </c>
      <c r="G515" s="3" t="inlineStr">
        <is>
          <t>Medicines</t>
        </is>
      </c>
      <c r="H515" s="3" t="inlineStr">
        <is>
          <t>no</t>
        </is>
      </c>
      <c r="I515" s="3" t="inlineStr">
        <is>
          <t>no</t>
        </is>
      </c>
    </row>
    <row r="516">
      <c r="A516" s="3" t="inlineStr">
        <is>
          <t>111200</t>
        </is>
      </c>
      <c r="B516" s="11" t="n">
        <v>-2.9506</v>
      </c>
      <c r="C516" s="11" t="n">
        <v>10.39</v>
      </c>
      <c r="D516" s="3" t="inlineStr">
        <is>
          <t>Servizi</t>
        </is>
      </c>
      <c r="E516" s="3" t="inlineStr">
        <is>
          <t>Ristorazione e alloggio</t>
        </is>
      </c>
      <c r="F516" s="3" t="inlineStr">
        <is>
          <t>sotto 1,5%</t>
        </is>
      </c>
      <c r="G516" s="3" t="inlineStr">
        <is>
          <t>Canteens, cafeterias and refectories</t>
        </is>
      </c>
      <c r="H516" s="3" t="inlineStr">
        <is>
          <t>si</t>
        </is>
      </c>
      <c r="I516" s="3" t="inlineStr">
        <is>
          <t>si</t>
        </is>
      </c>
    </row>
    <row r="517">
      <c r="A517" s="3" t="inlineStr">
        <is>
          <t>032100</t>
        </is>
      </c>
      <c r="B517" s="11" t="n">
        <v>-3.1183</v>
      </c>
      <c r="C517" s="11" t="n">
        <v>5.87</v>
      </c>
      <c r="D517" s="3" t="inlineStr">
        <is>
          <t>Beni industriali</t>
        </is>
      </c>
      <c r="E517" s="3" t="inlineStr">
        <is>
          <t>Abbigliamento e calzature</t>
        </is>
      </c>
      <c r="F517" s="3" t="inlineStr">
        <is>
          <t>sotto 1,5%</t>
        </is>
      </c>
      <c r="G517" s="3" t="inlineStr">
        <is>
          <t>Shoes and other footwear</t>
        </is>
      </c>
      <c r="H517" s="3" t="inlineStr">
        <is>
          <t>no</t>
        </is>
      </c>
      <c r="I517" s="3" t="inlineStr">
        <is>
          <t>no</t>
        </is>
      </c>
    </row>
    <row r="518">
      <c r="A518" s="3" t="inlineStr">
        <is>
          <t>071300</t>
        </is>
      </c>
      <c r="B518" s="11" t="n">
        <v>-3.586</v>
      </c>
      <c r="C518" s="11" t="n">
        <v>1.51</v>
      </c>
      <c r="D518" s="3" t="inlineStr">
        <is>
          <t>Beni industriali</t>
        </is>
      </c>
      <c r="E518" s="3" t="inlineStr">
        <is>
          <t>Trasporti</t>
        </is>
      </c>
      <c r="F518" s="3" t="inlineStr">
        <is>
          <t>sotto 1,5%</t>
        </is>
      </c>
      <c r="G518" s="3" t="inlineStr">
        <is>
          <t>Bicycles</t>
        </is>
      </c>
      <c r="H518" s="3" t="inlineStr">
        <is>
          <t>no</t>
        </is>
      </c>
      <c r="I518" s="3" t="inlineStr">
        <is>
          <t>no</t>
        </is>
      </c>
    </row>
    <row r="519">
      <c r="A519" s="3" t="inlineStr">
        <is>
          <t>053200</t>
        </is>
      </c>
      <c r="B519" s="11" t="n">
        <v>-3.6034</v>
      </c>
      <c r="C519" s="11" t="n">
        <v>1.77</v>
      </c>
      <c r="D519" s="3" t="inlineStr">
        <is>
          <t>Beni industriali</t>
        </is>
      </c>
      <c r="E519" s="3" t="inlineStr">
        <is>
          <t>Mobili e articoli per la casa</t>
        </is>
      </c>
      <c r="F519" s="3" t="inlineStr">
        <is>
          <t>sotto 1,5%</t>
        </is>
      </c>
      <c r="G519" s="3" t="inlineStr">
        <is>
          <t>Small household appliances</t>
        </is>
      </c>
      <c r="H519" s="3" t="inlineStr">
        <is>
          <t>no</t>
        </is>
      </c>
      <c r="I519" s="3" t="inlineStr">
        <is>
          <t>si</t>
        </is>
      </c>
    </row>
    <row r="520">
      <c r="A520" s="3" t="inlineStr">
        <is>
          <t>083400</t>
        </is>
      </c>
      <c r="B520" s="11" t="n">
        <v>-3.7814</v>
      </c>
      <c r="C520" s="11" t="n">
        <v>5.9</v>
      </c>
      <c r="D520" s="3" t="inlineStr">
        <is>
          <t>Servizi</t>
        </is>
      </c>
      <c r="E520" s="3" t="inlineStr">
        <is>
          <t>Informazione e comunicazione</t>
        </is>
      </c>
      <c r="F520" s="3" t="inlineStr">
        <is>
          <t>sotto 1,5%</t>
        </is>
      </c>
      <c r="G520" s="3" t="inlineStr">
        <is>
          <t>Bundled telecommunication services</t>
        </is>
      </c>
      <c r="H520" s="3" t="inlineStr">
        <is>
          <t>si</t>
        </is>
      </c>
      <c r="I520" s="3" t="inlineStr">
        <is>
          <t>no</t>
        </is>
      </c>
    </row>
    <row r="521">
      <c r="A521" s="3" t="inlineStr">
        <is>
          <t>131100</t>
        </is>
      </c>
      <c r="B521" s="11" t="n">
        <v>-3.7885</v>
      </c>
      <c r="C521" s="11" t="n">
        <v>0.68</v>
      </c>
      <c r="D521" s="3" t="inlineStr">
        <is>
          <t>Beni industriali</t>
        </is>
      </c>
      <c r="E521" s="3" t="inlineStr">
        <is>
          <t>Cura della persona e altri</t>
        </is>
      </c>
      <c r="F521" s="3" t="inlineStr">
        <is>
          <t>sotto 1,5%</t>
        </is>
      </c>
      <c r="G521" s="3" t="inlineStr">
        <is>
          <t>Electric appliances for personal care</t>
        </is>
      </c>
      <c r="H521" s="3" t="inlineStr">
        <is>
          <t>no</t>
        </is>
      </c>
      <c r="I521" s="3" t="inlineStr">
        <is>
          <t>no</t>
        </is>
      </c>
    </row>
    <row r="522">
      <c r="A522" s="3" t="inlineStr">
        <is>
          <t>081200</t>
        </is>
      </c>
      <c r="B522" s="11" t="n">
        <v>-3.961</v>
      </c>
      <c r="C522" s="11" t="n">
        <v>3.68</v>
      </c>
      <c r="D522" s="3" t="inlineStr">
        <is>
          <t>Beni industriali</t>
        </is>
      </c>
      <c r="E522" s="3" t="inlineStr">
        <is>
          <t>Informazione e comunicazione</t>
        </is>
      </c>
      <c r="F522" s="3" t="inlineStr">
        <is>
          <t>sotto 1,5%</t>
        </is>
      </c>
      <c r="G522" s="3" t="inlineStr">
        <is>
          <t>Mobile telephone equipment</t>
        </is>
      </c>
      <c r="H522" s="3" t="inlineStr">
        <is>
          <t>no</t>
        </is>
      </c>
      <c r="I522" s="3" t="inlineStr">
        <is>
          <t>no</t>
        </is>
      </c>
    </row>
    <row r="523">
      <c r="A523" s="3" t="inlineStr">
        <is>
          <t>081400</t>
        </is>
      </c>
      <c r="B523" s="11" t="n">
        <v>-5.0372</v>
      </c>
      <c r="C523" s="11" t="n">
        <v>2.97</v>
      </c>
      <c r="D523" s="3" t="inlineStr">
        <is>
          <t>Beni industriali</t>
        </is>
      </c>
      <c r="E523" s="3" t="inlineStr">
        <is>
          <t>Informazione e comunicazione</t>
        </is>
      </c>
      <c r="F523" s="3" t="inlineStr">
        <is>
          <t>sotto 1,5%</t>
        </is>
      </c>
      <c r="G523" s="3" t="inlineStr">
        <is>
          <t>Equipment for the reception, recording and reproduction of sound and vision</t>
        </is>
      </c>
      <c r="H523" s="3" t="inlineStr">
        <is>
          <t>no</t>
        </is>
      </c>
      <c r="I523" s="3" t="inlineStr">
        <is>
          <t>no</t>
        </is>
      </c>
    </row>
    <row r="524">
      <c r="A524" s="3" t="inlineStr">
        <is>
          <t>095200</t>
        </is>
      </c>
      <c r="B524" s="11" t="n">
        <v>-5.7578</v>
      </c>
      <c r="C524" s="11" t="n">
        <v>0.33</v>
      </c>
      <c r="D524" s="3" t="inlineStr">
        <is>
          <t>Beni industriali</t>
        </is>
      </c>
      <c r="E524" s="3" t="inlineStr">
        <is>
          <t>Ricreazione, sport e cultura</t>
        </is>
      </c>
      <c r="F524" s="3" t="inlineStr">
        <is>
          <t>sotto 1,5%</t>
        </is>
      </c>
      <c r="G524" s="3" t="inlineStr">
        <is>
          <t>Audiovisual media</t>
        </is>
      </c>
      <c r="H524" s="3" t="inlineStr">
        <is>
          <t>no</t>
        </is>
      </c>
      <c r="I524" s="3" t="inlineStr">
        <is>
          <t>no</t>
        </is>
      </c>
    </row>
    <row r="525">
      <c r="A525" s="3" t="inlineStr">
        <is>
          <t>094200</t>
        </is>
      </c>
      <c r="B525" s="11" t="n">
        <v>-8.1753</v>
      </c>
      <c r="C525" s="11" t="n">
        <v>0.33</v>
      </c>
      <c r="D525" s="3" t="inlineStr">
        <is>
          <t>Servizi</t>
        </is>
      </c>
      <c r="E525" s="3" t="inlineStr">
        <is>
          <t>Ricreazione, sport e cultura</t>
        </is>
      </c>
      <c r="F525" s="3" t="inlineStr">
        <is>
          <t>sotto 1,5%</t>
        </is>
      </c>
      <c r="G525" s="3" t="inlineStr">
        <is>
          <t>Hire, maintenance and repair of major recreational durables</t>
        </is>
      </c>
      <c r="H525" s="3" t="inlineStr">
        <is>
          <t>si</t>
        </is>
      </c>
      <c r="I525" s="3" t="inlineStr">
        <is>
          <t>no</t>
        </is>
      </c>
    </row>
    <row r="528">
      <c r="A528" s="13" t="inlineStr">
        <is>
          <t>Spagna - voci elementari a 2026-09, ordinate per inflazione annua</t>
        </is>
      </c>
    </row>
    <row r="529">
      <c r="A529" s="5" t="inlineStr">
        <is>
          <t>Voce</t>
        </is>
      </c>
      <c r="B529" s="5" t="inlineStr">
        <is>
          <t>a/a %</t>
        </is>
      </c>
      <c r="C529" s="5" t="inlineStr">
        <is>
          <t>peso per mille</t>
        </is>
      </c>
      <c r="D529" s="5" t="inlineStr">
        <is>
          <t>macro</t>
        </is>
      </c>
      <c r="E529" s="5" t="inlineStr">
        <is>
          <t>divisione</t>
        </is>
      </c>
      <c r="F529" s="5" t="inlineStr">
        <is>
          <t>fascia</t>
        </is>
      </c>
      <c r="G529" s="5" t="inlineStr">
        <is>
          <t>descrizione (BCE)</t>
        </is>
      </c>
      <c r="H529" s="5" t="inlineStr">
        <is>
          <t>domestica</t>
        </is>
      </c>
      <c r="I529" s="5" t="inlineStr">
        <is>
          <t>supercore</t>
        </is>
      </c>
    </row>
    <row r="530">
      <c r="A530" s="3" t="inlineStr">
        <is>
          <t>045300</t>
        </is>
      </c>
      <c r="B530" s="11" t="n">
        <v>64.664</v>
      </c>
      <c r="C530" s="11" t="n">
        <v>2.95</v>
      </c>
      <c r="D530" s="3" t="inlineStr">
        <is>
          <t>Energia</t>
        </is>
      </c>
      <c r="E530" s="3" t="inlineStr">
        <is>
          <t>Abitazione e utenze</t>
        </is>
      </c>
      <c r="F530" s="3" t="inlineStr">
        <is>
          <t>oltre 5%</t>
        </is>
      </c>
      <c r="G530" s="3" t="inlineStr"/>
      <c r="H530" s="3" t="inlineStr"/>
      <c r="I530" s="3" t="inlineStr"/>
    </row>
    <row r="531">
      <c r="A531" s="3" t="inlineStr">
        <is>
          <t>072200</t>
        </is>
      </c>
      <c r="B531" s="11" t="n">
        <v>30.829</v>
      </c>
      <c r="C531" s="11" t="n">
        <v>42.68</v>
      </c>
      <c r="D531" s="3" t="inlineStr">
        <is>
          <t>Energia</t>
        </is>
      </c>
      <c r="E531" s="3" t="inlineStr">
        <is>
          <t>Trasporti</t>
        </is>
      </c>
      <c r="F531" s="3" t="inlineStr">
        <is>
          <t>oltre 5%</t>
        </is>
      </c>
      <c r="G531" s="3" t="inlineStr"/>
      <c r="H531" s="3" t="inlineStr"/>
      <c r="I531" s="3" t="inlineStr"/>
    </row>
    <row r="532">
      <c r="A532" s="3" t="inlineStr">
        <is>
          <t>132100</t>
        </is>
      </c>
      <c r="B532" s="11" t="n">
        <v>22.7908</v>
      </c>
      <c r="C532" s="11" t="n">
        <v>2.66</v>
      </c>
      <c r="D532" s="3" t="inlineStr">
        <is>
          <t>Beni industriali</t>
        </is>
      </c>
      <c r="E532" s="3" t="inlineStr">
        <is>
          <t>Cura della persona e altri</t>
        </is>
      </c>
      <c r="F532" s="3" t="inlineStr">
        <is>
          <t>oltre 5%</t>
        </is>
      </c>
      <c r="G532" s="3" t="inlineStr">
        <is>
          <t>Jewellery and watches</t>
        </is>
      </c>
      <c r="H532" s="3" t="inlineStr">
        <is>
          <t>no</t>
        </is>
      </c>
      <c r="I532" s="3" t="inlineStr">
        <is>
          <t>si</t>
        </is>
      </c>
    </row>
    <row r="533">
      <c r="A533" s="3" t="inlineStr">
        <is>
          <t>072400</t>
        </is>
      </c>
      <c r="B533" s="11" t="n">
        <v>13.2218</v>
      </c>
      <c r="C533" s="11" t="n">
        <v>8.960000000000001</v>
      </c>
      <c r="D533" s="3" t="inlineStr">
        <is>
          <t>Servizi</t>
        </is>
      </c>
      <c r="E533" s="3" t="inlineStr">
        <is>
          <t>Trasporti</t>
        </is>
      </c>
      <c r="F533" s="3" t="inlineStr">
        <is>
          <t>oltre 5%</t>
        </is>
      </c>
      <c r="G533" s="3" t="inlineStr">
        <is>
          <t>Other services related to personal transport equipment</t>
        </is>
      </c>
      <c r="H533" s="3" t="inlineStr">
        <is>
          <t>si</t>
        </is>
      </c>
      <c r="I533" s="3" t="inlineStr">
        <is>
          <t>si</t>
        </is>
      </c>
    </row>
    <row r="534">
      <c r="A534" s="3" t="inlineStr">
        <is>
          <t>081300</t>
        </is>
      </c>
      <c r="B534" s="11" t="n">
        <v>11.8468</v>
      </c>
      <c r="C534" s="11" t="n">
        <v>3.36</v>
      </c>
      <c r="D534" s="3" t="inlineStr">
        <is>
          <t>Beni industriali</t>
        </is>
      </c>
      <c r="E534" s="3" t="inlineStr">
        <is>
          <t>Informazione e comunicazione</t>
        </is>
      </c>
      <c r="F534" s="3" t="inlineStr">
        <is>
          <t>oltre 5%</t>
        </is>
      </c>
      <c r="G534" s="3" t="inlineStr">
        <is>
          <t>Information processing equipment</t>
        </is>
      </c>
      <c r="H534" s="3" t="inlineStr">
        <is>
          <t>no</t>
        </is>
      </c>
      <c r="I534" s="3" t="inlineStr">
        <is>
          <t>no</t>
        </is>
      </c>
    </row>
    <row r="535">
      <c r="A535" s="3" t="inlineStr">
        <is>
          <t>045100</t>
        </is>
      </c>
      <c r="B535" s="11" t="n">
        <v>11.3582</v>
      </c>
      <c r="C535" s="11" t="n">
        <v>32.44</v>
      </c>
      <c r="D535" s="3" t="inlineStr">
        <is>
          <t>Energia</t>
        </is>
      </c>
      <c r="E535" s="3" t="inlineStr">
        <is>
          <t>Abitazione e utenze</t>
        </is>
      </c>
      <c r="F535" s="3" t="inlineStr">
        <is>
          <t>oltre 5%</t>
        </is>
      </c>
      <c r="G535" s="3" t="inlineStr"/>
      <c r="H535" s="3" t="inlineStr"/>
      <c r="I535" s="3" t="inlineStr"/>
    </row>
    <row r="536">
      <c r="A536" s="3" t="inlineStr">
        <is>
          <t>112000</t>
        </is>
      </c>
      <c r="B536" s="11" t="n">
        <v>10.7549</v>
      </c>
      <c r="C536" s="11" t="n">
        <v>22.27</v>
      </c>
      <c r="D536" s="3" t="inlineStr">
        <is>
          <t>Servizi</t>
        </is>
      </c>
      <c r="E536" s="3" t="inlineStr">
        <is>
          <t>Ristorazione e alloggio</t>
        </is>
      </c>
      <c r="F536" s="3" t="inlineStr">
        <is>
          <t>oltre 5%</t>
        </is>
      </c>
      <c r="G536" s="3" t="inlineStr">
        <is>
          <t>Accommodation services</t>
        </is>
      </c>
      <c r="H536" s="3" t="inlineStr">
        <is>
          <t>si</t>
        </is>
      </c>
      <c r="I536" s="3" t="inlineStr">
        <is>
          <t>no</t>
        </is>
      </c>
    </row>
    <row r="537">
      <c r="A537" s="3" t="inlineStr">
        <is>
          <t>121200</t>
        </is>
      </c>
      <c r="B537" s="11" t="n">
        <v>8.903499999999999</v>
      </c>
      <c r="C537" s="11" t="n">
        <v>3.08</v>
      </c>
      <c r="D537" s="3" t="inlineStr">
        <is>
          <t>Servizi</t>
        </is>
      </c>
      <c r="E537" s="3" t="inlineStr">
        <is>
          <t>Assicurazioni e servizi finanziari</t>
        </is>
      </c>
      <c r="F537" s="3" t="inlineStr">
        <is>
          <t>oltre 5%</t>
        </is>
      </c>
      <c r="G537" s="3" t="inlineStr">
        <is>
          <t>Insurance connected with health</t>
        </is>
      </c>
      <c r="H537" s="3" t="inlineStr">
        <is>
          <t>si</t>
        </is>
      </c>
      <c r="I537" s="3" t="inlineStr">
        <is>
          <t>no</t>
        </is>
      </c>
    </row>
    <row r="538">
      <c r="A538" s="3" t="inlineStr">
        <is>
          <t>011600</t>
        </is>
      </c>
      <c r="B538" s="11" t="n">
        <v>7.8725</v>
      </c>
      <c r="C538" s="11" t="n">
        <v>15.43</v>
      </c>
      <c r="D538" s="3" t="inlineStr">
        <is>
          <t>Alimentari</t>
        </is>
      </c>
      <c r="E538" s="3" t="inlineStr">
        <is>
          <t>Alimentari e bevande analcoliche</t>
        </is>
      </c>
      <c r="F538" s="3" t="inlineStr">
        <is>
          <t>oltre 5%</t>
        </is>
      </c>
      <c r="G538" s="3" t="inlineStr"/>
      <c r="H538" s="3" t="inlineStr"/>
      <c r="I538" s="3" t="inlineStr"/>
    </row>
    <row r="539">
      <c r="A539" s="3" t="inlineStr">
        <is>
          <t>081200</t>
        </is>
      </c>
      <c r="B539" s="11" t="n">
        <v>7.5926</v>
      </c>
      <c r="C539" s="11" t="n">
        <v>2.47</v>
      </c>
      <c r="D539" s="3" t="inlineStr">
        <is>
          <t>Beni industriali</t>
        </is>
      </c>
      <c r="E539" s="3" t="inlineStr">
        <is>
          <t>Informazione e comunicazione</t>
        </is>
      </c>
      <c r="F539" s="3" t="inlineStr">
        <is>
          <t>oltre 5%</t>
        </is>
      </c>
      <c r="G539" s="3" t="inlineStr">
        <is>
          <t>Mobile telephone equipment</t>
        </is>
      </c>
      <c r="H539" s="3" t="inlineStr">
        <is>
          <t>no</t>
        </is>
      </c>
      <c r="I539" s="3" t="inlineStr">
        <is>
          <t>no</t>
        </is>
      </c>
    </row>
    <row r="540">
      <c r="A540" s="3" t="inlineStr">
        <is>
          <t>044200</t>
        </is>
      </c>
      <c r="B540" s="11" t="n">
        <v>6.9364</v>
      </c>
      <c r="C540" s="11" t="n">
        <v>3.2</v>
      </c>
      <c r="D540" s="3" t="inlineStr">
        <is>
          <t>Servizi</t>
        </is>
      </c>
      <c r="E540" s="3" t="inlineStr">
        <is>
          <t>Abitazione e utenze</t>
        </is>
      </c>
      <c r="F540" s="3" t="inlineStr">
        <is>
          <t>oltre 5%</t>
        </is>
      </c>
      <c r="G540" s="3" t="inlineStr">
        <is>
          <t>Refuse collection</t>
        </is>
      </c>
      <c r="H540" s="3" t="inlineStr">
        <is>
          <t>si</t>
        </is>
      </c>
      <c r="I540" s="3" t="inlineStr">
        <is>
          <t>no</t>
        </is>
      </c>
    </row>
    <row r="541">
      <c r="A541" s="3" t="inlineStr">
        <is>
          <t>121100</t>
        </is>
      </c>
      <c r="B541" s="11" t="n">
        <v>6.6088</v>
      </c>
      <c r="C541" s="11" t="n">
        <v>1.94</v>
      </c>
      <c r="D541" s="3" t="inlineStr">
        <is>
          <t>Servizi</t>
        </is>
      </c>
      <c r="E541" s="3" t="inlineStr">
        <is>
          <t>Assicurazioni e servizi finanziari</t>
        </is>
      </c>
      <c r="F541" s="3" t="inlineStr">
        <is>
          <t>oltre 5%</t>
        </is>
      </c>
      <c r="G541" s="3" t="inlineStr">
        <is>
          <t>Life and accident insurance</t>
        </is>
      </c>
      <c r="H541" s="3" t="inlineStr">
        <is>
          <t>si</t>
        </is>
      </c>
      <c r="I541" s="3" t="inlineStr">
        <is>
          <t>no</t>
        </is>
      </c>
    </row>
    <row r="542">
      <c r="A542" s="3" t="inlineStr">
        <is>
          <t>081900</t>
        </is>
      </c>
      <c r="B542" s="11" t="n">
        <v>6.0663</v>
      </c>
      <c r="C542" s="11" t="n">
        <v>1.86</v>
      </c>
      <c r="D542" s="3" t="inlineStr">
        <is>
          <t>Beni industriali</t>
        </is>
      </c>
      <c r="E542" s="3" t="inlineStr">
        <is>
          <t>Informazione e comunicazione</t>
        </is>
      </c>
      <c r="F542" s="3" t="inlineStr">
        <is>
          <t>oltre 5%</t>
        </is>
      </c>
      <c r="G542" s="3" t="inlineStr">
        <is>
          <t>Other information and communication equipment and accessories</t>
        </is>
      </c>
      <c r="H542" s="3" t="inlineStr">
        <is>
          <t>no</t>
        </is>
      </c>
      <c r="I542" s="3" t="inlineStr">
        <is>
          <t>no</t>
        </is>
      </c>
    </row>
    <row r="543">
      <c r="A543" s="3" t="inlineStr">
        <is>
          <t>083900</t>
        </is>
      </c>
      <c r="B543" s="11" t="n">
        <v>6.009</v>
      </c>
      <c r="C543" s="11" t="n">
        <v>1.71</v>
      </c>
      <c r="D543" s="3" t="inlineStr">
        <is>
          <t>Servizi</t>
        </is>
      </c>
      <c r="E543" s="3" t="inlineStr">
        <is>
          <t>Informazione e comunicazione</t>
        </is>
      </c>
      <c r="F543" s="3" t="inlineStr">
        <is>
          <t>oltre 5%</t>
        </is>
      </c>
      <c r="G543" s="3" t="inlineStr">
        <is>
          <t>Other information and communication services</t>
        </is>
      </c>
      <c r="H543" s="3" t="inlineStr">
        <is>
          <t>si</t>
        </is>
      </c>
      <c r="I543" s="3" t="inlineStr">
        <is>
          <t>no</t>
        </is>
      </c>
    </row>
    <row r="544">
      <c r="A544" s="3" t="inlineStr">
        <is>
          <t>011700</t>
        </is>
      </c>
      <c r="B544" s="11" t="n">
        <v>5.7229</v>
      </c>
      <c r="C544" s="11" t="n">
        <v>17.15</v>
      </c>
      <c r="D544" s="3" t="inlineStr">
        <is>
          <t>Alimentari</t>
        </is>
      </c>
      <c r="E544" s="3" t="inlineStr">
        <is>
          <t>Alimentari e bevande analcoliche</t>
        </is>
      </c>
      <c r="F544" s="3" t="inlineStr">
        <is>
          <t>oltre 5%</t>
        </is>
      </c>
      <c r="G544" s="3" t="inlineStr"/>
      <c r="H544" s="3" t="inlineStr"/>
      <c r="I544" s="3" t="inlineStr"/>
    </row>
    <row r="545">
      <c r="A545" s="3" t="inlineStr">
        <is>
          <t>045200</t>
        </is>
      </c>
      <c r="B545" s="11" t="n">
        <v>5.3874</v>
      </c>
      <c r="C545" s="11" t="n">
        <v>10.31</v>
      </c>
      <c r="D545" s="3" t="inlineStr">
        <is>
          <t>Energia</t>
        </is>
      </c>
      <c r="E545" s="3" t="inlineStr">
        <is>
          <t>Abitazione e utenze</t>
        </is>
      </c>
      <c r="F545" s="3" t="inlineStr">
        <is>
          <t>oltre 5%</t>
        </is>
      </c>
      <c r="G545" s="3" t="inlineStr"/>
      <c r="H545" s="3" t="inlineStr"/>
      <c r="I545" s="3" t="inlineStr"/>
    </row>
    <row r="546">
      <c r="A546" s="3" t="inlineStr">
        <is>
          <t>098000</t>
        </is>
      </c>
      <c r="B546" s="11" t="n">
        <v>5.2436</v>
      </c>
      <c r="C546" s="11" t="n">
        <v>17.13</v>
      </c>
      <c r="D546" s="3" t="inlineStr">
        <is>
          <t>Servizi</t>
        </is>
      </c>
      <c r="E546" s="3" t="inlineStr">
        <is>
          <t>Ricreazione, sport e cultura</t>
        </is>
      </c>
      <c r="F546" s="3" t="inlineStr">
        <is>
          <t>oltre 5%</t>
        </is>
      </c>
      <c r="G546" s="3" t="inlineStr">
        <is>
          <t>Package holidays</t>
        </is>
      </c>
      <c r="H546" s="3" t="inlineStr">
        <is>
          <t>no</t>
        </is>
      </c>
      <c r="I546" s="3" t="inlineStr">
        <is>
          <t>no</t>
        </is>
      </c>
    </row>
    <row r="547">
      <c r="A547" s="3" t="inlineStr">
        <is>
          <t>043200</t>
        </is>
      </c>
      <c r="B547" s="11" t="n">
        <v>4.7742</v>
      </c>
      <c r="C547" s="11" t="n">
        <v>6.19</v>
      </c>
      <c r="D547" s="3" t="inlineStr">
        <is>
          <t>Servizi</t>
        </is>
      </c>
      <c r="E547" s="3" t="inlineStr">
        <is>
          <t>Abitazione e utenze</t>
        </is>
      </c>
      <c r="F547" s="3" t="inlineStr">
        <is>
          <t>3-5%</t>
        </is>
      </c>
      <c r="G547" s="3" t="inlineStr">
        <is>
          <t>Services for the maintenance, repair and security of the dwelling</t>
        </is>
      </c>
      <c r="H547" s="3" t="inlineStr">
        <is>
          <t>si</t>
        </is>
      </c>
      <c r="I547" s="3" t="inlineStr">
        <is>
          <t>si</t>
        </is>
      </c>
    </row>
    <row r="548">
      <c r="A548" s="3" t="inlineStr">
        <is>
          <t>094500</t>
        </is>
      </c>
      <c r="B548" s="11" t="n">
        <v>4.7514</v>
      </c>
      <c r="C548" s="11" t="n">
        <v>3.77</v>
      </c>
      <c r="D548" s="3" t="inlineStr">
        <is>
          <t>Servizi</t>
        </is>
      </c>
      <c r="E548" s="3" t="inlineStr">
        <is>
          <t>Ricreazione, sport e cultura</t>
        </is>
      </c>
      <c r="F548" s="3" t="inlineStr">
        <is>
          <t>3-5%</t>
        </is>
      </c>
      <c r="G548" s="3" t="inlineStr">
        <is>
          <t>Veterinary and other services for pets</t>
        </is>
      </c>
      <c r="H548" s="3" t="inlineStr">
        <is>
          <t>si</t>
        </is>
      </c>
      <c r="I548" s="3" t="inlineStr">
        <is>
          <t>si</t>
        </is>
      </c>
    </row>
    <row r="549">
      <c r="A549" s="3" t="inlineStr">
        <is>
          <t>044100</t>
        </is>
      </c>
      <c r="B549" s="11" t="n">
        <v>4.582</v>
      </c>
      <c r="C549" s="11" t="n">
        <v>4.98</v>
      </c>
      <c r="D549" s="3" t="inlineStr">
        <is>
          <t>Beni industriali</t>
        </is>
      </c>
      <c r="E549" s="3" t="inlineStr">
        <is>
          <t>Abitazione e utenze</t>
        </is>
      </c>
      <c r="F549" s="3" t="inlineStr">
        <is>
          <t>3-5%</t>
        </is>
      </c>
      <c r="G549" s="3" t="inlineStr">
        <is>
          <t>Water supply</t>
        </is>
      </c>
      <c r="H549" s="3" t="inlineStr">
        <is>
          <t>si</t>
        </is>
      </c>
      <c r="I549" s="3" t="inlineStr">
        <is>
          <t>no</t>
        </is>
      </c>
    </row>
    <row r="550">
      <c r="A550" s="3" t="inlineStr">
        <is>
          <t>121400</t>
        </is>
      </c>
      <c r="B550" s="11" t="n">
        <v>4.5024</v>
      </c>
      <c r="C550" s="11" t="n">
        <v>5.22</v>
      </c>
      <c r="D550" s="3" t="inlineStr">
        <is>
          <t>Servizi</t>
        </is>
      </c>
      <c r="E550" s="3" t="inlineStr">
        <is>
          <t>Assicurazioni e servizi finanziari</t>
        </is>
      </c>
      <c r="F550" s="3" t="inlineStr">
        <is>
          <t>3-5%</t>
        </is>
      </c>
      <c r="G550" s="3" t="inlineStr">
        <is>
          <t>Insurance connected with transport</t>
        </is>
      </c>
      <c r="H550" s="3" t="inlineStr">
        <is>
          <t>si</t>
        </is>
      </c>
      <c r="I550" s="3" t="inlineStr">
        <is>
          <t>no</t>
        </is>
      </c>
    </row>
    <row r="551">
      <c r="A551" s="3" t="inlineStr">
        <is>
          <t>111100</t>
        </is>
      </c>
      <c r="B551" s="11" t="n">
        <v>4.3767</v>
      </c>
      <c r="C551" s="11" t="n">
        <v>154.45</v>
      </c>
      <c r="D551" s="3" t="inlineStr">
        <is>
          <t>Servizi</t>
        </is>
      </c>
      <c r="E551" s="3" t="inlineStr">
        <is>
          <t>Ristorazione e alloggio</t>
        </is>
      </c>
      <c r="F551" s="3" t="inlineStr">
        <is>
          <t>3-5%</t>
        </is>
      </c>
      <c r="G551" s="3" t="inlineStr">
        <is>
          <t>Restaurants, cafés and the like</t>
        </is>
      </c>
      <c r="H551" s="3" t="inlineStr">
        <is>
          <t>si</t>
        </is>
      </c>
      <c r="I551" s="3" t="inlineStr">
        <is>
          <t>si</t>
        </is>
      </c>
    </row>
    <row r="552">
      <c r="A552" s="3" t="inlineStr">
        <is>
          <t>096300</t>
        </is>
      </c>
      <c r="B552" s="11" t="n">
        <v>4.3655</v>
      </c>
      <c r="C552" s="11" t="n">
        <v>1.48</v>
      </c>
      <c r="D552" s="3" t="inlineStr">
        <is>
          <t>Servizi</t>
        </is>
      </c>
      <c r="E552" s="3" t="inlineStr">
        <is>
          <t>Ricreazione, sport e cultura</t>
        </is>
      </c>
      <c r="F552" s="3" t="inlineStr">
        <is>
          <t>3-5%</t>
        </is>
      </c>
      <c r="G552" s="3" t="inlineStr">
        <is>
          <t>Photographic services</t>
        </is>
      </c>
      <c r="H552" s="3" t="inlineStr">
        <is>
          <t>no</t>
        </is>
      </c>
      <c r="I552" s="3" t="inlineStr">
        <is>
          <t>no</t>
        </is>
      </c>
    </row>
    <row r="553">
      <c r="A553" s="3" t="inlineStr">
        <is>
          <t>023000</t>
        </is>
      </c>
      <c r="B553" s="11" t="n">
        <v>4.356</v>
      </c>
      <c r="C553" s="11" t="n">
        <v>18.9</v>
      </c>
      <c r="D553" s="3" t="inlineStr">
        <is>
          <t>Alimentari</t>
        </is>
      </c>
      <c r="E553" s="3" t="inlineStr">
        <is>
          <t>Alcolici e tabacchi</t>
        </is>
      </c>
      <c r="F553" s="3" t="inlineStr">
        <is>
          <t>3-5%</t>
        </is>
      </c>
      <c r="G553" s="3" t="inlineStr"/>
      <c r="H553" s="3" t="inlineStr"/>
      <c r="I553" s="3" t="inlineStr"/>
    </row>
    <row r="554">
      <c r="A554" s="3" t="inlineStr">
        <is>
          <t>093100</t>
        </is>
      </c>
      <c r="B554" s="11" t="n">
        <v>4.1887</v>
      </c>
      <c r="C554" s="11" t="n">
        <v>1.34</v>
      </c>
      <c r="D554" s="3" t="inlineStr">
        <is>
          <t>Beni industriali</t>
        </is>
      </c>
      <c r="E554" s="3" t="inlineStr">
        <is>
          <t>Ricreazione, sport e cultura</t>
        </is>
      </c>
      <c r="F554" s="3" t="inlineStr">
        <is>
          <t>3-5%</t>
        </is>
      </c>
      <c r="G554" s="3" t="inlineStr">
        <is>
          <t>Garden products, plants and flowers</t>
        </is>
      </c>
      <c r="H554" s="3" t="inlineStr">
        <is>
          <t>no</t>
        </is>
      </c>
      <c r="I554" s="3" t="inlineStr">
        <is>
          <t>no</t>
        </is>
      </c>
    </row>
    <row r="555">
      <c r="A555" s="3" t="inlineStr">
        <is>
          <t>072300</t>
        </is>
      </c>
      <c r="B555" s="11" t="n">
        <v>4.1331</v>
      </c>
      <c r="C555" s="11" t="n">
        <v>26.34</v>
      </c>
      <c r="D555" s="3" t="inlineStr">
        <is>
          <t>Servizi</t>
        </is>
      </c>
      <c r="E555" s="3" t="inlineStr">
        <is>
          <t>Trasporti</t>
        </is>
      </c>
      <c r="F555" s="3" t="inlineStr">
        <is>
          <t>3-5%</t>
        </is>
      </c>
      <c r="G555" s="3" t="inlineStr">
        <is>
          <t>Maintenance and repair of personal transport equipment</t>
        </is>
      </c>
      <c r="H555" s="3" t="inlineStr">
        <is>
          <t>si</t>
        </is>
      </c>
      <c r="I555" s="3" t="inlineStr">
        <is>
          <t>si</t>
        </is>
      </c>
    </row>
    <row r="556">
      <c r="A556" s="3" t="inlineStr">
        <is>
          <t>131300</t>
        </is>
      </c>
      <c r="B556" s="11" t="n">
        <v>4.1086</v>
      </c>
      <c r="C556" s="11" t="n">
        <v>13.08</v>
      </c>
      <c r="D556" s="3" t="inlineStr">
        <is>
          <t>Servizi</t>
        </is>
      </c>
      <c r="E556" s="3" t="inlineStr">
        <is>
          <t>Cura della persona e altri</t>
        </is>
      </c>
      <c r="F556" s="3" t="inlineStr">
        <is>
          <t>3-5%</t>
        </is>
      </c>
      <c r="G556" s="3" t="inlineStr">
        <is>
          <t>Hairdressing salons and personal grooming establishments</t>
        </is>
      </c>
      <c r="H556" s="3" t="inlineStr">
        <is>
          <t>si</t>
        </is>
      </c>
      <c r="I556" s="3" t="inlineStr">
        <is>
          <t>si</t>
        </is>
      </c>
    </row>
    <row r="557">
      <c r="A557" s="3" t="inlineStr">
        <is>
          <t>133000</t>
        </is>
      </c>
      <c r="B557" s="11" t="n">
        <v>4.0462</v>
      </c>
      <c r="C557" s="11" t="n">
        <v>11.27</v>
      </c>
      <c r="D557" s="3" t="inlineStr">
        <is>
          <t>Servizi</t>
        </is>
      </c>
      <c r="E557" s="3" t="inlineStr">
        <is>
          <t>Cura della persona e altri</t>
        </is>
      </c>
      <c r="F557" s="3" t="inlineStr">
        <is>
          <t>3-5%</t>
        </is>
      </c>
      <c r="G557" s="3" t="inlineStr">
        <is>
          <t>Social protection</t>
        </is>
      </c>
      <c r="H557" s="3" t="inlineStr">
        <is>
          <t>si</t>
        </is>
      </c>
      <c r="I557" s="3" t="inlineStr">
        <is>
          <t>no</t>
        </is>
      </c>
    </row>
    <row r="558">
      <c r="A558" s="3" t="inlineStr">
        <is>
          <t>044300</t>
        </is>
      </c>
      <c r="B558" s="11" t="n">
        <v>3.5508</v>
      </c>
      <c r="C558" s="11" t="n">
        <v>1.9</v>
      </c>
      <c r="D558" s="3" t="inlineStr">
        <is>
          <t>Servizi</t>
        </is>
      </c>
      <c r="E558" s="3" t="inlineStr">
        <is>
          <t>Abitazione e utenze</t>
        </is>
      </c>
      <c r="F558" s="3" t="inlineStr">
        <is>
          <t>3-5%</t>
        </is>
      </c>
      <c r="G558" s="3" t="inlineStr">
        <is>
          <t>Sewage collection</t>
        </is>
      </c>
      <c r="H558" s="3" t="inlineStr">
        <is>
          <t>si</t>
        </is>
      </c>
      <c r="I558" s="3" t="inlineStr">
        <is>
          <t>no</t>
        </is>
      </c>
    </row>
    <row r="559">
      <c r="A559" s="3" t="inlineStr">
        <is>
          <t>096100</t>
        </is>
      </c>
      <c r="B559" s="11" t="n">
        <v>3.484</v>
      </c>
      <c r="C559" s="11" t="n">
        <v>5.39</v>
      </c>
      <c r="D559" s="3" t="inlineStr">
        <is>
          <t>Servizi</t>
        </is>
      </c>
      <c r="E559" s="3" t="inlineStr">
        <is>
          <t>Ricreazione, sport e cultura</t>
        </is>
      </c>
      <c r="F559" s="3" t="inlineStr">
        <is>
          <t>3-5%</t>
        </is>
      </c>
      <c r="G559" s="3" t="inlineStr">
        <is>
          <t>Services provided by cinemas, theatres and concert venues</t>
        </is>
      </c>
      <c r="H559" s="3" t="inlineStr">
        <is>
          <t>no</t>
        </is>
      </c>
      <c r="I559" s="3" t="inlineStr">
        <is>
          <t>no</t>
        </is>
      </c>
    </row>
    <row r="560">
      <c r="A560" s="3" t="inlineStr">
        <is>
          <t>011300</t>
        </is>
      </c>
      <c r="B560" s="11" t="n">
        <v>3.464</v>
      </c>
      <c r="C560" s="11" t="n">
        <v>17.54</v>
      </c>
      <c r="D560" s="3" t="inlineStr">
        <is>
          <t>Alimentari</t>
        </is>
      </c>
      <c r="E560" s="3" t="inlineStr">
        <is>
          <t>Alimentari e bevande analcoliche</t>
        </is>
      </c>
      <c r="F560" s="3" t="inlineStr">
        <is>
          <t>3-5%</t>
        </is>
      </c>
      <c r="G560" s="3" t="inlineStr"/>
      <c r="H560" s="3" t="inlineStr"/>
      <c r="I560" s="3" t="inlineStr"/>
    </row>
    <row r="561">
      <c r="A561" s="3" t="inlineStr">
        <is>
          <t>012100</t>
        </is>
      </c>
      <c r="B561" s="11" t="n">
        <v>3.281</v>
      </c>
      <c r="C561" s="11" t="n">
        <v>1.24</v>
      </c>
      <c r="D561" s="3" t="inlineStr">
        <is>
          <t>Alimentari</t>
        </is>
      </c>
      <c r="E561" s="3" t="inlineStr">
        <is>
          <t>Alimentari e bevande analcoliche</t>
        </is>
      </c>
      <c r="F561" s="3" t="inlineStr">
        <is>
          <t>3-5%</t>
        </is>
      </c>
      <c r="G561" s="3" t="inlineStr"/>
      <c r="H561" s="3" t="inlineStr"/>
      <c r="I561" s="3" t="inlineStr"/>
    </row>
    <row r="562">
      <c r="A562" s="3" t="inlineStr">
        <is>
          <t>111200</t>
        </is>
      </c>
      <c r="B562" s="11" t="n">
        <v>3.0836</v>
      </c>
      <c r="C562" s="11" t="n">
        <v>4.33</v>
      </c>
      <c r="D562" s="3" t="inlineStr">
        <is>
          <t>Servizi</t>
        </is>
      </c>
      <c r="E562" s="3" t="inlineStr">
        <is>
          <t>Ristorazione e alloggio</t>
        </is>
      </c>
      <c r="F562" s="3" t="inlineStr">
        <is>
          <t>3-5%</t>
        </is>
      </c>
      <c r="G562" s="3" t="inlineStr">
        <is>
          <t>Canteens, cafeterias and refectories</t>
        </is>
      </c>
      <c r="H562" s="3" t="inlineStr">
        <is>
          <t>si</t>
        </is>
      </c>
      <c r="I562" s="3" t="inlineStr">
        <is>
          <t>si</t>
        </is>
      </c>
    </row>
    <row r="563">
      <c r="A563" s="3" t="inlineStr">
        <is>
          <t>062200</t>
        </is>
      </c>
      <c r="B563" s="11" t="n">
        <v>3.0222</v>
      </c>
      <c r="C563" s="11" t="n">
        <v>15.21</v>
      </c>
      <c r="D563" s="3" t="inlineStr">
        <is>
          <t>Servizi</t>
        </is>
      </c>
      <c r="E563" s="3" t="inlineStr">
        <is>
          <t>Salute</t>
        </is>
      </c>
      <c r="F563" s="3" t="inlineStr">
        <is>
          <t>3-5%</t>
        </is>
      </c>
      <c r="G563" s="3" t="inlineStr">
        <is>
          <t>Outpatient dental services</t>
        </is>
      </c>
      <c r="H563" s="3" t="inlineStr">
        <is>
          <t>si</t>
        </is>
      </c>
      <c r="I563" s="3" t="inlineStr">
        <is>
          <t>no</t>
        </is>
      </c>
    </row>
    <row r="564">
      <c r="A564" s="3" t="inlineStr">
        <is>
          <t>073200</t>
        </is>
      </c>
      <c r="B564" s="11" t="n">
        <v>2.9931</v>
      </c>
      <c r="C564" s="11" t="n">
        <v>9</v>
      </c>
      <c r="D564" s="3" t="inlineStr">
        <is>
          <t>Servizi</t>
        </is>
      </c>
      <c r="E564" s="3" t="inlineStr">
        <is>
          <t>Trasporti</t>
        </is>
      </c>
      <c r="F564" s="3" t="inlineStr">
        <is>
          <t>2-3%</t>
        </is>
      </c>
      <c r="G564" s="3" t="inlineStr">
        <is>
          <t>Passenger transport by road</t>
        </is>
      </c>
      <c r="H564" s="3" t="inlineStr">
        <is>
          <t>no</t>
        </is>
      </c>
      <c r="I564" s="3" t="inlineStr">
        <is>
          <t>no</t>
        </is>
      </c>
    </row>
    <row r="565">
      <c r="A565" s="3" t="inlineStr">
        <is>
          <t>044400</t>
        </is>
      </c>
      <c r="B565" s="11" t="n">
        <v>2.9687</v>
      </c>
      <c r="C565" s="11" t="n">
        <v>15.22</v>
      </c>
      <c r="D565" s="3" t="inlineStr">
        <is>
          <t>Servizi</t>
        </is>
      </c>
      <c r="E565" s="3" t="inlineStr">
        <is>
          <t>Abitazione e utenze</t>
        </is>
      </c>
      <c r="F565" s="3" t="inlineStr">
        <is>
          <t>2-3%</t>
        </is>
      </c>
      <c r="G565" s="3" t="inlineStr">
        <is>
          <t>Other services related to the dwelling</t>
        </is>
      </c>
      <c r="H565" s="3" t="inlineStr">
        <is>
          <t>si</t>
        </is>
      </c>
      <c r="I565" s="3" t="inlineStr">
        <is>
          <t>no</t>
        </is>
      </c>
    </row>
    <row r="566">
      <c r="A566" s="3" t="inlineStr">
        <is>
          <t>056200</t>
        </is>
      </c>
      <c r="B566" s="11" t="n">
        <v>2.8987</v>
      </c>
      <c r="C566" s="11" t="n">
        <v>13.08</v>
      </c>
      <c r="D566" s="3" t="inlineStr">
        <is>
          <t>Servizi</t>
        </is>
      </c>
      <c r="E566" s="3" t="inlineStr">
        <is>
          <t>Mobili e articoli per la casa</t>
        </is>
      </c>
      <c r="F566" s="3" t="inlineStr">
        <is>
          <t>2-3%</t>
        </is>
      </c>
      <c r="G566" s="3" t="inlineStr">
        <is>
          <t>Domestic services and household services</t>
        </is>
      </c>
      <c r="H566" s="3" t="inlineStr">
        <is>
          <t>si</t>
        </is>
      </c>
      <c r="I566" s="3" t="inlineStr">
        <is>
          <t>si</t>
        </is>
      </c>
    </row>
    <row r="567">
      <c r="A567" s="3" t="inlineStr">
        <is>
          <t>021200</t>
        </is>
      </c>
      <c r="B567" s="11" t="n">
        <v>2.7797</v>
      </c>
      <c r="C567" s="11" t="n">
        <v>4.12</v>
      </c>
      <c r="D567" s="3" t="inlineStr">
        <is>
          <t>Alimentari</t>
        </is>
      </c>
      <c r="E567" s="3" t="inlineStr">
        <is>
          <t>Alcolici e tabacchi</t>
        </is>
      </c>
      <c r="F567" s="3" t="inlineStr">
        <is>
          <t>2-3%</t>
        </is>
      </c>
      <c r="G567" s="3" t="inlineStr"/>
      <c r="H567" s="3" t="inlineStr"/>
      <c r="I567" s="3" t="inlineStr"/>
    </row>
    <row r="568">
      <c r="A568" s="3" t="inlineStr">
        <is>
          <t>053300</t>
        </is>
      </c>
      <c r="B568" s="11" t="n">
        <v>2.7322</v>
      </c>
      <c r="C568" s="11" t="n">
        <v>0.6</v>
      </c>
      <c r="D568" s="3" t="inlineStr">
        <is>
          <t>Servizi</t>
        </is>
      </c>
      <c r="E568" s="3" t="inlineStr">
        <is>
          <t>Mobili e articoli per la casa</t>
        </is>
      </c>
      <c r="F568" s="3" t="inlineStr">
        <is>
          <t>2-3%</t>
        </is>
      </c>
      <c r="G568" s="3" t="inlineStr">
        <is>
          <t>Repair, installation and hire of household appliances</t>
        </is>
      </c>
      <c r="H568" s="3" t="inlineStr">
        <is>
          <t>si</t>
        </is>
      </c>
      <c r="I568" s="3" t="inlineStr">
        <is>
          <t>no</t>
        </is>
      </c>
    </row>
    <row r="569">
      <c r="A569" s="3" t="inlineStr">
        <is>
          <t>012600</t>
        </is>
      </c>
      <c r="B569" s="11" t="n">
        <v>2.7133</v>
      </c>
      <c r="C569" s="11" t="n">
        <v>4.4</v>
      </c>
      <c r="D569" s="3" t="inlineStr">
        <is>
          <t>Alimentari</t>
        </is>
      </c>
      <c r="E569" s="3" t="inlineStr">
        <is>
          <t>Alimentari e bevande analcoliche</t>
        </is>
      </c>
      <c r="F569" s="3" t="inlineStr">
        <is>
          <t>2-3%</t>
        </is>
      </c>
      <c r="G569" s="3" t="inlineStr"/>
      <c r="H569" s="3" t="inlineStr"/>
      <c r="I569" s="3" t="inlineStr"/>
    </row>
    <row r="570">
      <c r="A570" s="3" t="inlineStr">
        <is>
          <t>062300</t>
        </is>
      </c>
      <c r="B570" s="11" t="n">
        <v>2.658</v>
      </c>
      <c r="C570" s="11" t="n">
        <v>7.97</v>
      </c>
      <c r="D570" s="3" t="inlineStr">
        <is>
          <t>Servizi</t>
        </is>
      </c>
      <c r="E570" s="3" t="inlineStr">
        <is>
          <t>Salute</t>
        </is>
      </c>
      <c r="F570" s="3" t="inlineStr">
        <is>
          <t>2-3%</t>
        </is>
      </c>
      <c r="G570" s="3" t="inlineStr">
        <is>
          <t>Other outpatient care services</t>
        </is>
      </c>
      <c r="H570" s="3" t="inlineStr">
        <is>
          <t>si</t>
        </is>
      </c>
      <c r="I570" s="3" t="inlineStr">
        <is>
          <t>no</t>
        </is>
      </c>
    </row>
    <row r="571">
      <c r="A571" s="3" t="inlineStr">
        <is>
          <t>041100</t>
        </is>
      </c>
      <c r="B571" s="11" t="n">
        <v>2.6075</v>
      </c>
      <c r="C571" s="11" t="n">
        <v>30.18</v>
      </c>
      <c r="D571" s="3" t="inlineStr">
        <is>
          <t>Servizi</t>
        </is>
      </c>
      <c r="E571" s="3" t="inlineStr">
        <is>
          <t>Abitazione e utenze</t>
        </is>
      </c>
      <c r="F571" s="3" t="inlineStr">
        <is>
          <t>2-3%</t>
        </is>
      </c>
      <c r="G571" s="3" t="inlineStr">
        <is>
          <t>Actual rental payments made by tenants for main residence</t>
        </is>
      </c>
      <c r="H571" s="3" t="inlineStr">
        <is>
          <t>si</t>
        </is>
      </c>
      <c r="I571" s="3" t="inlineStr">
        <is>
          <t>no</t>
        </is>
      </c>
    </row>
    <row r="572">
      <c r="A572" s="3" t="inlineStr">
        <is>
          <t>094600</t>
        </is>
      </c>
      <c r="B572" s="11" t="n">
        <v>2.4985</v>
      </c>
      <c r="C572" s="11" t="n">
        <v>21.49</v>
      </c>
      <c r="D572" s="3" t="inlineStr">
        <is>
          <t>Servizi</t>
        </is>
      </c>
      <c r="E572" s="3" t="inlineStr">
        <is>
          <t>Ricreazione, sport e cultura</t>
        </is>
      </c>
      <c r="F572" s="3" t="inlineStr">
        <is>
          <t>2-3%</t>
        </is>
      </c>
      <c r="G572" s="3" t="inlineStr">
        <is>
          <t>Recreational and sporting services</t>
        </is>
      </c>
      <c r="H572" s="3" t="inlineStr">
        <is>
          <t>si</t>
        </is>
      </c>
      <c r="I572" s="3" t="inlineStr">
        <is>
          <t>si</t>
        </is>
      </c>
    </row>
    <row r="573">
      <c r="A573" s="3" t="inlineStr">
        <is>
          <t>097100</t>
        </is>
      </c>
      <c r="B573" s="11" t="n">
        <v>2.4983</v>
      </c>
      <c r="C573" s="11" t="n">
        <v>3.43</v>
      </c>
      <c r="D573" s="3" t="inlineStr">
        <is>
          <t>Beni industriali</t>
        </is>
      </c>
      <c r="E573" s="3" t="inlineStr">
        <is>
          <t>Ricreazione, sport e cultura</t>
        </is>
      </c>
      <c r="F573" s="3" t="inlineStr">
        <is>
          <t>2-3%</t>
        </is>
      </c>
      <c r="G573" s="3" t="inlineStr">
        <is>
          <t>Books</t>
        </is>
      </c>
      <c r="H573" s="3" t="inlineStr">
        <is>
          <t>no</t>
        </is>
      </c>
      <c r="I573" s="3" t="inlineStr">
        <is>
          <t>no</t>
        </is>
      </c>
    </row>
    <row r="574">
      <c r="A574" s="3" t="inlineStr">
        <is>
          <t>071100</t>
        </is>
      </c>
      <c r="B574" s="11" t="n">
        <v>2.4798</v>
      </c>
      <c r="C574" s="11" t="n">
        <v>38.51</v>
      </c>
      <c r="D574" s="3" t="inlineStr">
        <is>
          <t>Beni industriali</t>
        </is>
      </c>
      <c r="E574" s="3" t="inlineStr">
        <is>
          <t>Trasporti</t>
        </is>
      </c>
      <c r="F574" s="3" t="inlineStr">
        <is>
          <t>2-3%</t>
        </is>
      </c>
      <c r="G574" s="3" t="inlineStr">
        <is>
          <t>Motor cars</t>
        </is>
      </c>
      <c r="H574" s="3" t="inlineStr">
        <is>
          <t>no</t>
        </is>
      </c>
      <c r="I574" s="3" t="inlineStr">
        <is>
          <t>no</t>
        </is>
      </c>
    </row>
    <row r="575">
      <c r="A575" s="3" t="inlineStr">
        <is>
          <t>105000</t>
        </is>
      </c>
      <c r="B575" s="11" t="n">
        <v>2.4536</v>
      </c>
      <c r="C575" s="11" t="n">
        <v>5.36</v>
      </c>
      <c r="D575" s="3" t="inlineStr">
        <is>
          <t>Servizi</t>
        </is>
      </c>
      <c r="E575" s="3" t="inlineStr">
        <is>
          <t>Istruzione</t>
        </is>
      </c>
      <c r="F575" s="3" t="inlineStr">
        <is>
          <t>2-3%</t>
        </is>
      </c>
      <c r="G575" s="3" t="inlineStr">
        <is>
          <t>Education not defined by level</t>
        </is>
      </c>
      <c r="H575" s="3" t="inlineStr">
        <is>
          <t>si</t>
        </is>
      </c>
      <c r="I575" s="3" t="inlineStr">
        <is>
          <t>no</t>
        </is>
      </c>
    </row>
    <row r="576">
      <c r="A576" s="3" t="inlineStr">
        <is>
          <t>012500</t>
        </is>
      </c>
      <c r="B576" s="11" t="n">
        <v>2.4034</v>
      </c>
      <c r="C576" s="11" t="n">
        <v>2.91</v>
      </c>
      <c r="D576" s="3" t="inlineStr">
        <is>
          <t>Alimentari</t>
        </is>
      </c>
      <c r="E576" s="3" t="inlineStr">
        <is>
          <t>Alimentari e bevande analcoliche</t>
        </is>
      </c>
      <c r="F576" s="3" t="inlineStr">
        <is>
          <t>2-3%</t>
        </is>
      </c>
      <c r="G576" s="3" t="inlineStr"/>
      <c r="H576" s="3" t="inlineStr"/>
      <c r="I576" s="3" t="inlineStr"/>
    </row>
    <row r="577">
      <c r="A577" s="3" t="inlineStr">
        <is>
          <t>011200</t>
        </is>
      </c>
      <c r="B577" s="11" t="n">
        <v>2.4031</v>
      </c>
      <c r="C577" s="11" t="n">
        <v>40.41</v>
      </c>
      <c r="D577" s="3" t="inlineStr">
        <is>
          <t>Alimentari</t>
        </is>
      </c>
      <c r="E577" s="3" t="inlineStr">
        <is>
          <t>Alimentari e bevande analcoliche</t>
        </is>
      </c>
      <c r="F577" s="3" t="inlineStr">
        <is>
          <t>2-3%</t>
        </is>
      </c>
      <c r="G577" s="3" t="inlineStr"/>
      <c r="H577" s="3" t="inlineStr"/>
      <c r="I577" s="3" t="inlineStr"/>
    </row>
    <row r="578">
      <c r="A578" s="3" t="inlineStr">
        <is>
          <t>083400</t>
        </is>
      </c>
      <c r="B578" s="11" t="n">
        <v>2.3356</v>
      </c>
      <c r="C578" s="11" t="n">
        <v>20.96</v>
      </c>
      <c r="D578" s="3" t="inlineStr">
        <is>
          <t>Servizi</t>
        </is>
      </c>
      <c r="E578" s="3" t="inlineStr">
        <is>
          <t>Informazione e comunicazione</t>
        </is>
      </c>
      <c r="F578" s="3" t="inlineStr">
        <is>
          <t>2-3%</t>
        </is>
      </c>
      <c r="G578" s="3" t="inlineStr">
        <is>
          <t>Bundled telecommunication services</t>
        </is>
      </c>
      <c r="H578" s="3" t="inlineStr">
        <is>
          <t>si</t>
        </is>
      </c>
      <c r="I578" s="3" t="inlineStr">
        <is>
          <t>no</t>
        </is>
      </c>
    </row>
    <row r="579">
      <c r="A579" s="3" t="inlineStr">
        <is>
          <t>011500</t>
        </is>
      </c>
      <c r="B579" s="11" t="n">
        <v>2.2852</v>
      </c>
      <c r="C579" s="11" t="n">
        <v>6.7</v>
      </c>
      <c r="D579" s="3" t="inlineStr">
        <is>
          <t>Alimentari</t>
        </is>
      </c>
      <c r="E579" s="3" t="inlineStr">
        <is>
          <t>Alimentari e bevande analcoliche</t>
        </is>
      </c>
      <c r="F579" s="3" t="inlineStr">
        <is>
          <t>2-3%</t>
        </is>
      </c>
      <c r="G579" s="3" t="inlineStr"/>
      <c r="H579" s="3" t="inlineStr"/>
      <c r="I579" s="3" t="inlineStr"/>
    </row>
    <row r="580">
      <c r="A580" s="3" t="inlineStr">
        <is>
          <t>041200</t>
        </is>
      </c>
      <c r="B580" s="11" t="n">
        <v>2.12</v>
      </c>
      <c r="C580" s="11" t="n">
        <v>4.92</v>
      </c>
      <c r="D580" s="3" t="inlineStr">
        <is>
          <t>Servizi</t>
        </is>
      </c>
      <c r="E580" s="3" t="inlineStr">
        <is>
          <t>Abitazione e utenze</t>
        </is>
      </c>
      <c r="F580" s="3" t="inlineStr">
        <is>
          <t>2-3%</t>
        </is>
      </c>
      <c r="G580" s="3" t="inlineStr">
        <is>
          <t>Other actual rental payments</t>
        </is>
      </c>
      <c r="H580" s="3" t="inlineStr">
        <is>
          <t>si</t>
        </is>
      </c>
      <c r="I580" s="3" t="inlineStr">
        <is>
          <t>no</t>
        </is>
      </c>
    </row>
    <row r="581">
      <c r="A581" s="3" t="inlineStr">
        <is>
          <t>051100</t>
        </is>
      </c>
      <c r="B581" s="11" t="n">
        <v>2.0987</v>
      </c>
      <c r="C581" s="11" t="n">
        <v>12.88</v>
      </c>
      <c r="D581" s="3" t="inlineStr">
        <is>
          <t>Beni industriali</t>
        </is>
      </c>
      <c r="E581" s="3" t="inlineStr">
        <is>
          <t>Mobili e articoli per la casa</t>
        </is>
      </c>
      <c r="F581" s="3" t="inlineStr">
        <is>
          <t>2-3%</t>
        </is>
      </c>
      <c r="G581" s="3" t="inlineStr">
        <is>
          <t>Furniture, furnishings and loose carpets</t>
        </is>
      </c>
      <c r="H581" s="3" t="inlineStr">
        <is>
          <t>no</t>
        </is>
      </c>
      <c r="I581" s="3" t="inlineStr">
        <is>
          <t>si</t>
        </is>
      </c>
    </row>
    <row r="582">
      <c r="A582" s="3" t="inlineStr">
        <is>
          <t>096200</t>
        </is>
      </c>
      <c r="B582" s="11" t="n">
        <v>2.0532</v>
      </c>
      <c r="C582" s="11" t="n">
        <v>1.64</v>
      </c>
      <c r="D582" s="3" t="inlineStr">
        <is>
          <t>Servizi</t>
        </is>
      </c>
      <c r="E582" s="3" t="inlineStr">
        <is>
          <t>Ricreazione, sport e cultura</t>
        </is>
      </c>
      <c r="F582" s="3" t="inlineStr">
        <is>
          <t>2-3%</t>
        </is>
      </c>
      <c r="G582" s="3" t="inlineStr">
        <is>
          <t>Services provided by museums, libraries and cultural sites</t>
        </is>
      </c>
      <c r="H582" s="3" t="inlineStr">
        <is>
          <t>no</t>
        </is>
      </c>
      <c r="I582" s="3" t="inlineStr">
        <is>
          <t>no</t>
        </is>
      </c>
    </row>
    <row r="583">
      <c r="A583" s="3" t="inlineStr">
        <is>
          <t>101000</t>
        </is>
      </c>
      <c r="B583" s="11" t="n">
        <v>2.049</v>
      </c>
      <c r="C583" s="11" t="n">
        <v>2.75</v>
      </c>
      <c r="D583" s="3" t="inlineStr">
        <is>
          <t>Servizi</t>
        </is>
      </c>
      <c r="E583" s="3" t="inlineStr">
        <is>
          <t>Istruzione</t>
        </is>
      </c>
      <c r="F583" s="3" t="inlineStr">
        <is>
          <t>2-3%</t>
        </is>
      </c>
      <c r="G583" s="3" t="inlineStr">
        <is>
          <t>Early childhood and primary education</t>
        </is>
      </c>
      <c r="H583" s="3" t="inlineStr">
        <is>
          <t>si</t>
        </is>
      </c>
      <c r="I583" s="3" t="inlineStr">
        <is>
          <t>no</t>
        </is>
      </c>
    </row>
    <row r="584">
      <c r="A584" s="3" t="inlineStr">
        <is>
          <t>061100</t>
        </is>
      </c>
      <c r="B584" s="11" t="n">
        <v>2.0359</v>
      </c>
      <c r="C584" s="11" t="n">
        <v>7.83</v>
      </c>
      <c r="D584" s="3" t="inlineStr">
        <is>
          <t>Beni industriali</t>
        </is>
      </c>
      <c r="E584" s="3" t="inlineStr">
        <is>
          <t>Salute</t>
        </is>
      </c>
      <c r="F584" s="3" t="inlineStr">
        <is>
          <t>2-3%</t>
        </is>
      </c>
      <c r="G584" s="3" t="inlineStr">
        <is>
          <t>Medicines</t>
        </is>
      </c>
      <c r="H584" s="3" t="inlineStr">
        <is>
          <t>no</t>
        </is>
      </c>
      <c r="I584" s="3" t="inlineStr">
        <is>
          <t>no</t>
        </is>
      </c>
    </row>
    <row r="585">
      <c r="A585" s="3" t="inlineStr">
        <is>
          <t>102000</t>
        </is>
      </c>
      <c r="B585" s="11" t="n">
        <v>2.0258</v>
      </c>
      <c r="C585" s="11" t="n">
        <v>2.21</v>
      </c>
      <c r="D585" s="3" t="inlineStr">
        <is>
          <t>Servizi</t>
        </is>
      </c>
      <c r="E585" s="3" t="inlineStr">
        <is>
          <t>Istruzione</t>
        </is>
      </c>
      <c r="F585" s="3" t="inlineStr">
        <is>
          <t>2-3%</t>
        </is>
      </c>
      <c r="G585" s="3" t="inlineStr">
        <is>
          <t>Secondary education</t>
        </is>
      </c>
      <c r="H585" s="3" t="inlineStr">
        <is>
          <t>si</t>
        </is>
      </c>
      <c r="I585" s="3" t="inlineStr">
        <is>
          <t>si</t>
        </is>
      </c>
    </row>
    <row r="586">
      <c r="A586" s="3" t="inlineStr">
        <is>
          <t>011400</t>
        </is>
      </c>
      <c r="B586" s="11" t="n">
        <v>1.9056</v>
      </c>
      <c r="C586" s="11" t="n">
        <v>16.88</v>
      </c>
      <c r="D586" s="3" t="inlineStr">
        <is>
          <t>Alimentari</t>
        </is>
      </c>
      <c r="E586" s="3" t="inlineStr">
        <is>
          <t>Alimentari e bevande analcoliche</t>
        </is>
      </c>
      <c r="F586" s="3" t="inlineStr">
        <is>
          <t>1,5-2%</t>
        </is>
      </c>
      <c r="G586" s="3" t="inlineStr"/>
      <c r="H586" s="3" t="inlineStr"/>
      <c r="I586" s="3" t="inlineStr"/>
    </row>
    <row r="587">
      <c r="A587" s="3" t="inlineStr">
        <is>
          <t>011900</t>
        </is>
      </c>
      <c r="B587" s="11" t="n">
        <v>1.8917</v>
      </c>
      <c r="C587" s="11" t="n">
        <v>12.49</v>
      </c>
      <c r="D587" s="3" t="inlineStr">
        <is>
          <t>Alimentari</t>
        </is>
      </c>
      <c r="E587" s="3" t="inlineStr">
        <is>
          <t>Alimentari e bevande analcoliche</t>
        </is>
      </c>
      <c r="F587" s="3" t="inlineStr">
        <is>
          <t>1,5-2%</t>
        </is>
      </c>
      <c r="G587" s="3" t="inlineStr"/>
      <c r="H587" s="3" t="inlineStr"/>
      <c r="I587" s="3" t="inlineStr"/>
    </row>
    <row r="588">
      <c r="A588" s="3" t="inlineStr">
        <is>
          <t>063100</t>
        </is>
      </c>
      <c r="B588" s="11" t="n">
        <v>1.6589</v>
      </c>
      <c r="C588" s="11" t="n">
        <v>1.73</v>
      </c>
      <c r="D588" s="3" t="inlineStr">
        <is>
          <t>Servizi</t>
        </is>
      </c>
      <c r="E588" s="3" t="inlineStr">
        <is>
          <t>Salute</t>
        </is>
      </c>
      <c r="F588" s="3" t="inlineStr">
        <is>
          <t>1,5-2%</t>
        </is>
      </c>
      <c r="G588" s="3" t="inlineStr">
        <is>
          <t>Inpatient curative and rehabilitative services</t>
        </is>
      </c>
      <c r="H588" s="3" t="inlineStr">
        <is>
          <t>si</t>
        </is>
      </c>
      <c r="I588" s="3" t="inlineStr">
        <is>
          <t>no</t>
        </is>
      </c>
    </row>
    <row r="589">
      <c r="A589" s="3" t="inlineStr">
        <is>
          <t>139000</t>
        </is>
      </c>
      <c r="B589" s="11" t="n">
        <v>1.5973</v>
      </c>
      <c r="C589" s="11" t="n">
        <v>8.470000000000001</v>
      </c>
      <c r="D589" s="3" t="inlineStr">
        <is>
          <t>Servizi</t>
        </is>
      </c>
      <c r="E589" s="3" t="inlineStr">
        <is>
          <t>Cura della persona e altri</t>
        </is>
      </c>
      <c r="F589" s="3" t="inlineStr">
        <is>
          <t>1,5-2%</t>
        </is>
      </c>
      <c r="G589" s="3" t="inlineStr">
        <is>
          <t>Other services</t>
        </is>
      </c>
      <c r="H589" s="3" t="inlineStr">
        <is>
          <t>si</t>
        </is>
      </c>
      <c r="I589" s="3" t="inlineStr">
        <is>
          <t>no</t>
        </is>
      </c>
    </row>
    <row r="590">
      <c r="A590" s="3" t="inlineStr">
        <is>
          <t>056100</t>
        </is>
      </c>
      <c r="B590" s="11" t="n">
        <v>1.5649</v>
      </c>
      <c r="C590" s="11" t="n">
        <v>8.25</v>
      </c>
      <c r="D590" s="3" t="inlineStr">
        <is>
          <t>Beni industriali</t>
        </is>
      </c>
      <c r="E590" s="3" t="inlineStr">
        <is>
          <t>Mobili e articoli per la casa</t>
        </is>
      </c>
      <c r="F590" s="3" t="inlineStr">
        <is>
          <t>1,5-2%</t>
        </is>
      </c>
      <c r="G590" s="3" t="inlineStr">
        <is>
          <t>Non-durable household goods</t>
        </is>
      </c>
      <c r="H590" s="3" t="inlineStr">
        <is>
          <t>no</t>
        </is>
      </c>
      <c r="I590" s="3" t="inlineStr">
        <is>
          <t>si</t>
        </is>
      </c>
    </row>
    <row r="591">
      <c r="A591" s="3" t="inlineStr">
        <is>
          <t>073300</t>
        </is>
      </c>
      <c r="B591" s="11" t="n">
        <v>1.5532</v>
      </c>
      <c r="C591" s="11" t="n">
        <v>5.91</v>
      </c>
      <c r="D591" s="3" t="inlineStr">
        <is>
          <t>Servizi</t>
        </is>
      </c>
      <c r="E591" s="3" t="inlineStr">
        <is>
          <t>Trasporti</t>
        </is>
      </c>
      <c r="F591" s="3" t="inlineStr">
        <is>
          <t>1,5-2%</t>
        </is>
      </c>
      <c r="G591" s="3" t="inlineStr">
        <is>
          <t>Passenger transport by air</t>
        </is>
      </c>
      <c r="H591" s="3" t="inlineStr">
        <is>
          <t>no</t>
        </is>
      </c>
      <c r="I591" s="3" t="inlineStr">
        <is>
          <t>no</t>
        </is>
      </c>
    </row>
    <row r="592">
      <c r="A592" s="3" t="inlineStr">
        <is>
          <t>093200</t>
        </is>
      </c>
      <c r="B592" s="11" t="n">
        <v>1.4477</v>
      </c>
      <c r="C592" s="11" t="n">
        <v>4.08</v>
      </c>
      <c r="D592" s="3" t="inlineStr">
        <is>
          <t>Beni industriali</t>
        </is>
      </c>
      <c r="E592" s="3" t="inlineStr">
        <is>
          <t>Ricreazione, sport e cultura</t>
        </is>
      </c>
      <c r="F592" s="3" t="inlineStr">
        <is>
          <t>sotto 1,5%</t>
        </is>
      </c>
      <c r="G592" s="3" t="inlineStr">
        <is>
          <t>Pets and pet products</t>
        </is>
      </c>
      <c r="H592" s="3" t="inlineStr">
        <is>
          <t>no</t>
        </is>
      </c>
      <c r="I592" s="3" t="inlineStr">
        <is>
          <t>si</t>
        </is>
      </c>
    </row>
    <row r="593">
      <c r="A593" s="3" t="inlineStr">
        <is>
          <t>104000</t>
        </is>
      </c>
      <c r="B593" s="11" t="n">
        <v>1.2841</v>
      </c>
      <c r="C593" s="11" t="n">
        <v>4.41</v>
      </c>
      <c r="D593" s="3" t="inlineStr">
        <is>
          <t>Servizi</t>
        </is>
      </c>
      <c r="E593" s="3" t="inlineStr">
        <is>
          <t>Istruzione</t>
        </is>
      </c>
      <c r="F593" s="3" t="inlineStr">
        <is>
          <t>sotto 1,5%</t>
        </is>
      </c>
      <c r="G593" s="3" t="inlineStr">
        <is>
          <t>Tertiary education</t>
        </is>
      </c>
      <c r="H593" s="3" t="inlineStr">
        <is>
          <t>si</t>
        </is>
      </c>
      <c r="I593" s="3" t="inlineStr">
        <is>
          <t>si</t>
        </is>
      </c>
    </row>
    <row r="594">
      <c r="A594" s="3" t="inlineStr">
        <is>
          <t>012300</t>
        </is>
      </c>
      <c r="B594" s="11" t="n">
        <v>1</v>
      </c>
      <c r="C594" s="11" t="n">
        <v>0.83</v>
      </c>
      <c r="D594" s="3" t="inlineStr">
        <is>
          <t>Alimentari</t>
        </is>
      </c>
      <c r="E594" s="3" t="inlineStr">
        <is>
          <t>Alimentari e bevande analcoliche</t>
        </is>
      </c>
      <c r="F594" s="3" t="inlineStr">
        <is>
          <t>sotto 1,5%</t>
        </is>
      </c>
      <c r="G594" s="3" t="inlineStr"/>
      <c r="H594" s="3" t="inlineStr"/>
      <c r="I594" s="3" t="inlineStr"/>
    </row>
    <row r="595">
      <c r="A595" s="3" t="inlineStr">
        <is>
          <t>071200</t>
        </is>
      </c>
      <c r="B595" s="11" t="n">
        <v>0.955</v>
      </c>
      <c r="C595" s="11" t="n">
        <v>1.2</v>
      </c>
      <c r="D595" s="3" t="inlineStr">
        <is>
          <t>Beni industriali</t>
        </is>
      </c>
      <c r="E595" s="3" t="inlineStr">
        <is>
          <t>Trasporti</t>
        </is>
      </c>
      <c r="F595" s="3" t="inlineStr">
        <is>
          <t>sotto 1,5%</t>
        </is>
      </c>
      <c r="G595" s="3" t="inlineStr">
        <is>
          <t>Motorcycles</t>
        </is>
      </c>
      <c r="H595" s="3" t="inlineStr">
        <is>
          <t>no</t>
        </is>
      </c>
      <c r="I595" s="3" t="inlineStr">
        <is>
          <t>no</t>
        </is>
      </c>
    </row>
    <row r="596">
      <c r="A596" s="3" t="inlineStr">
        <is>
          <t>043100</t>
        </is>
      </c>
      <c r="B596" s="11" t="n">
        <v>0.9095</v>
      </c>
      <c r="C596" s="11" t="n">
        <v>4.34</v>
      </c>
      <c r="D596" s="3" t="inlineStr">
        <is>
          <t>Beni industriali</t>
        </is>
      </c>
      <c r="E596" s="3" t="inlineStr">
        <is>
          <t>Abitazione e utenze</t>
        </is>
      </c>
      <c r="F596" s="3" t="inlineStr">
        <is>
          <t>sotto 1,5%</t>
        </is>
      </c>
      <c r="G596" s="3" t="inlineStr">
        <is>
          <t>Security equipment and materials for dwelling maintenance and repair</t>
        </is>
      </c>
      <c r="H596" s="3" t="inlineStr">
        <is>
          <t>no</t>
        </is>
      </c>
      <c r="I596" s="3" t="inlineStr">
        <is>
          <t>si</t>
        </is>
      </c>
    </row>
    <row r="597">
      <c r="A597" s="3" t="inlineStr">
        <is>
          <t>032100</t>
        </is>
      </c>
      <c r="B597" s="11" t="n">
        <v>0.8282</v>
      </c>
      <c r="C597" s="11" t="n">
        <v>9.9</v>
      </c>
      <c r="D597" s="3" t="inlineStr">
        <is>
          <t>Beni industriali</t>
        </is>
      </c>
      <c r="E597" s="3" t="inlineStr">
        <is>
          <t>Abbigliamento e calzature</t>
        </is>
      </c>
      <c r="F597" s="3" t="inlineStr">
        <is>
          <t>sotto 1,5%</t>
        </is>
      </c>
      <c r="G597" s="3" t="inlineStr">
        <is>
          <t>Shoes and other footwear</t>
        </is>
      </c>
      <c r="H597" s="3" t="inlineStr">
        <is>
          <t>no</t>
        </is>
      </c>
      <c r="I597" s="3" t="inlineStr">
        <is>
          <t>no</t>
        </is>
      </c>
    </row>
    <row r="598">
      <c r="A598" s="3" t="inlineStr">
        <is>
          <t>021300</t>
        </is>
      </c>
      <c r="B598" s="11" t="n">
        <v>0.8226</v>
      </c>
      <c r="C598" s="11" t="n">
        <v>5.84</v>
      </c>
      <c r="D598" s="3" t="inlineStr">
        <is>
          <t>Alimentari</t>
        </is>
      </c>
      <c r="E598" s="3" t="inlineStr">
        <is>
          <t>Alcolici e tabacchi</t>
        </is>
      </c>
      <c r="F598" s="3" t="inlineStr">
        <is>
          <t>sotto 1,5%</t>
        </is>
      </c>
      <c r="G598" s="3" t="inlineStr"/>
      <c r="H598" s="3" t="inlineStr"/>
      <c r="I598" s="3" t="inlineStr"/>
    </row>
    <row r="599">
      <c r="A599" s="3" t="inlineStr">
        <is>
          <t>073500</t>
        </is>
      </c>
      <c r="B599" s="11" t="n">
        <v>0.7632</v>
      </c>
      <c r="C599" s="11" t="n">
        <v>2.36</v>
      </c>
      <c r="D599" s="3" t="inlineStr">
        <is>
          <t>Servizi</t>
        </is>
      </c>
      <c r="E599" s="3" t="inlineStr">
        <is>
          <t>Trasporti</t>
        </is>
      </c>
      <c r="F599" s="3" t="inlineStr">
        <is>
          <t>sotto 1,5%</t>
        </is>
      </c>
      <c r="G599" s="3" t="inlineStr">
        <is>
          <t>Combined passenger transport</t>
        </is>
      </c>
      <c r="H599" s="3" t="inlineStr">
        <is>
          <t>no</t>
        </is>
      </c>
      <c r="I599" s="3" t="inlineStr">
        <is>
          <t>no</t>
        </is>
      </c>
    </row>
    <row r="600">
      <c r="A600" s="3" t="inlineStr">
        <is>
          <t>097400</t>
        </is>
      </c>
      <c r="B600" s="11" t="n">
        <v>0.6539</v>
      </c>
      <c r="C600" s="11" t="n">
        <v>1.24</v>
      </c>
      <c r="D600" s="3" t="inlineStr">
        <is>
          <t>Beni industriali</t>
        </is>
      </c>
      <c r="E600" s="3" t="inlineStr">
        <is>
          <t>Ricreazione, sport e cultura</t>
        </is>
      </c>
      <c r="F600" s="3" t="inlineStr">
        <is>
          <t>sotto 1,5%</t>
        </is>
      </c>
      <c r="G600" s="3" t="inlineStr">
        <is>
          <t>Stationery and drawing materials</t>
        </is>
      </c>
      <c r="H600" s="3" t="inlineStr">
        <is>
          <t>no</t>
        </is>
      </c>
      <c r="I600" s="3" t="inlineStr">
        <is>
          <t>si</t>
        </is>
      </c>
    </row>
    <row r="601">
      <c r="A601" s="3" t="inlineStr">
        <is>
          <t>083200</t>
        </is>
      </c>
      <c r="B601" s="11" t="n">
        <v>0.5561</v>
      </c>
      <c r="C601" s="11" t="n">
        <v>2.4</v>
      </c>
      <c r="D601" s="3" t="inlineStr">
        <is>
          <t>Servizi</t>
        </is>
      </c>
      <c r="E601" s="3" t="inlineStr">
        <is>
          <t>Informazione e comunicazione</t>
        </is>
      </c>
      <c r="F601" s="3" t="inlineStr">
        <is>
          <t>sotto 1,5%</t>
        </is>
      </c>
      <c r="G601" s="3" t="inlineStr">
        <is>
          <t>Mobile communication services</t>
        </is>
      </c>
      <c r="H601" s="3" t="inlineStr">
        <is>
          <t>si</t>
        </is>
      </c>
      <c r="I601" s="3" t="inlineStr">
        <is>
          <t>no</t>
        </is>
      </c>
    </row>
    <row r="602">
      <c r="A602" s="3" t="inlineStr">
        <is>
          <t>083100</t>
        </is>
      </c>
      <c r="B602" s="11" t="n">
        <v>0.53</v>
      </c>
      <c r="C602" s="11" t="n">
        <v>0.33</v>
      </c>
      <c r="D602" s="3" t="inlineStr">
        <is>
          <t>Servizi</t>
        </is>
      </c>
      <c r="E602" s="3" t="inlineStr">
        <is>
          <t>Informazione e comunicazione</t>
        </is>
      </c>
      <c r="F602" s="3" t="inlineStr">
        <is>
          <t>sotto 1,5%</t>
        </is>
      </c>
      <c r="G602" s="3" t="inlineStr">
        <is>
          <t>Fixed communication services</t>
        </is>
      </c>
      <c r="H602" s="3" t="inlineStr">
        <is>
          <t>si</t>
        </is>
      </c>
      <c r="I602" s="3" t="inlineStr">
        <is>
          <t>no</t>
        </is>
      </c>
    </row>
    <row r="603">
      <c r="A603" s="3" t="inlineStr">
        <is>
          <t>052100</t>
        </is>
      </c>
      <c r="B603" s="11" t="n">
        <v>0.5164</v>
      </c>
      <c r="C603" s="11" t="n">
        <v>3.11</v>
      </c>
      <c r="D603" s="3" t="inlineStr">
        <is>
          <t>Beni industriali</t>
        </is>
      </c>
      <c r="E603" s="3" t="inlineStr">
        <is>
          <t>Mobili e articoli per la casa</t>
        </is>
      </c>
      <c r="F603" s="3" t="inlineStr">
        <is>
          <t>sotto 1,5%</t>
        </is>
      </c>
      <c r="G603" s="3" t="inlineStr">
        <is>
          <t>Household textiles</t>
        </is>
      </c>
      <c r="H603" s="3" t="inlineStr">
        <is>
          <t>no</t>
        </is>
      </c>
      <c r="I603" s="3" t="inlineStr">
        <is>
          <t>no</t>
        </is>
      </c>
    </row>
    <row r="604">
      <c r="A604" s="3" t="inlineStr">
        <is>
          <t>054000</t>
        </is>
      </c>
      <c r="B604" s="11" t="n">
        <v>0.3999</v>
      </c>
      <c r="C604" s="11" t="n">
        <v>1.36</v>
      </c>
      <c r="D604" s="3" t="inlineStr">
        <is>
          <t>Beni industriali</t>
        </is>
      </c>
      <c r="E604" s="3" t="inlineStr">
        <is>
          <t>Mobili e articoli per la casa</t>
        </is>
      </c>
      <c r="F604" s="3" t="inlineStr">
        <is>
          <t>sotto 1,5%</t>
        </is>
      </c>
      <c r="G604" s="3" t="inlineStr">
        <is>
          <t>Glassware, tableware and household utensils</t>
        </is>
      </c>
      <c r="H604" s="3" t="inlineStr">
        <is>
          <t>no</t>
        </is>
      </c>
      <c r="I604" s="3" t="inlineStr">
        <is>
          <t>si</t>
        </is>
      </c>
    </row>
    <row r="605">
      <c r="A605" s="3" t="inlineStr">
        <is>
          <t>011100</t>
        </is>
      </c>
      <c r="B605" s="11" t="n">
        <v>0.2003</v>
      </c>
      <c r="C605" s="11" t="n">
        <v>20.64</v>
      </c>
      <c r="D605" s="3" t="inlineStr">
        <is>
          <t>Alimentari</t>
        </is>
      </c>
      <c r="E605" s="3" t="inlineStr">
        <is>
          <t>Alimentari e bevande analcoliche</t>
        </is>
      </c>
      <c r="F605" s="3" t="inlineStr">
        <is>
          <t>sotto 1,5%</t>
        </is>
      </c>
      <c r="G605" s="3" t="inlineStr"/>
      <c r="H605" s="3" t="inlineStr"/>
      <c r="I605" s="3" t="inlineStr"/>
    </row>
    <row r="606">
      <c r="A606" s="3" t="inlineStr">
        <is>
          <t>131200</t>
        </is>
      </c>
      <c r="B606" s="11" t="n">
        <v>0.18</v>
      </c>
      <c r="C606" s="11" t="n">
        <v>15.75</v>
      </c>
      <c r="D606" s="3" t="inlineStr">
        <is>
          <t>Beni industriali</t>
        </is>
      </c>
      <c r="E606" s="3" t="inlineStr">
        <is>
          <t>Cura della persona e altri</t>
        </is>
      </c>
      <c r="F606" s="3" t="inlineStr">
        <is>
          <t>sotto 1,5%</t>
        </is>
      </c>
      <c r="G606" s="3" t="inlineStr">
        <is>
          <t>Other appliances, articles and products for personal care</t>
        </is>
      </c>
      <c r="H606" s="3" t="inlineStr">
        <is>
          <t>no</t>
        </is>
      </c>
      <c r="I606" s="3" t="inlineStr">
        <is>
          <t>si</t>
        </is>
      </c>
    </row>
    <row r="607">
      <c r="A607" s="3" t="inlineStr">
        <is>
          <t>072100</t>
        </is>
      </c>
      <c r="B607" s="11" t="n">
        <v>0.1796</v>
      </c>
      <c r="C607" s="11" t="n">
        <v>4.83</v>
      </c>
      <c r="D607" s="3" t="inlineStr">
        <is>
          <t>Beni industriali</t>
        </is>
      </c>
      <c r="E607" s="3" t="inlineStr">
        <is>
          <t>Trasporti</t>
        </is>
      </c>
      <c r="F607" s="3" t="inlineStr">
        <is>
          <t>sotto 1,5%</t>
        </is>
      </c>
      <c r="G607" s="3" t="inlineStr">
        <is>
          <t>Parts and accessories for personal transport equipment</t>
        </is>
      </c>
      <c r="H607" s="3" t="inlineStr">
        <is>
          <t>no</t>
        </is>
      </c>
      <c r="I607" s="3" t="inlineStr">
        <is>
          <t>si</t>
        </is>
      </c>
    </row>
    <row r="608">
      <c r="A608" s="3" t="inlineStr">
        <is>
          <t>012900</t>
        </is>
      </c>
      <c r="B608" s="11" t="n">
        <v>0.0701</v>
      </c>
      <c r="C608" s="11" t="n">
        <v>0.57</v>
      </c>
      <c r="D608" s="3" t="inlineStr">
        <is>
          <t>Alimentari</t>
        </is>
      </c>
      <c r="E608" s="3" t="inlineStr">
        <is>
          <t>Alimentari e bevande analcoliche</t>
        </is>
      </c>
      <c r="F608" s="3" t="inlineStr">
        <is>
          <t>sotto 1,5%</t>
        </is>
      </c>
      <c r="G608" s="3" t="inlineStr"/>
      <c r="H608" s="3" t="inlineStr"/>
      <c r="I608" s="3" t="inlineStr"/>
    </row>
    <row r="609">
      <c r="A609" s="3" t="inlineStr">
        <is>
          <t>122200</t>
        </is>
      </c>
      <c r="B609" s="11" t="n">
        <v>0</v>
      </c>
      <c r="C609" s="11" t="n">
        <v>7.91</v>
      </c>
      <c r="D609" s="3" t="inlineStr">
        <is>
          <t>Servizi</t>
        </is>
      </c>
      <c r="E609" s="3" t="inlineStr">
        <is>
          <t>Assicurazioni e servizi finanziari</t>
        </is>
      </c>
      <c r="F609" s="3" t="inlineStr">
        <is>
          <t>sotto 1,5%</t>
        </is>
      </c>
      <c r="G609" s="3" t="inlineStr">
        <is>
          <t>Explicit charges by deposit-taking corporations</t>
        </is>
      </c>
      <c r="H609" s="3" t="inlineStr">
        <is>
          <t>no</t>
        </is>
      </c>
      <c r="I609" s="3" t="inlineStr">
        <is>
          <t>no</t>
        </is>
      </c>
    </row>
    <row r="610">
      <c r="A610" s="3" t="inlineStr">
        <is>
          <t>061200</t>
        </is>
      </c>
      <c r="B610" s="11" t="n">
        <v>-0.02</v>
      </c>
      <c r="C610" s="11" t="n">
        <v>1.52</v>
      </c>
      <c r="D610" s="3" t="inlineStr">
        <is>
          <t>Beni industriali</t>
        </is>
      </c>
      <c r="E610" s="3" t="inlineStr">
        <is>
          <t>Salute</t>
        </is>
      </c>
      <c r="F610" s="3" t="inlineStr">
        <is>
          <t>sotto 1,5%</t>
        </is>
      </c>
      <c r="G610" s="3" t="inlineStr">
        <is>
          <t>Medical products</t>
        </is>
      </c>
      <c r="H610" s="3" t="inlineStr">
        <is>
          <t>no</t>
        </is>
      </c>
      <c r="I610" s="3" t="inlineStr">
        <is>
          <t>no</t>
        </is>
      </c>
    </row>
    <row r="611">
      <c r="A611" s="3" t="inlineStr">
        <is>
          <t>061300</t>
        </is>
      </c>
      <c r="B611" s="11" t="n">
        <v>-0.251</v>
      </c>
      <c r="C611" s="11" t="n">
        <v>10.2</v>
      </c>
      <c r="D611" s="3" t="inlineStr">
        <is>
          <t>Beni industriali</t>
        </is>
      </c>
      <c r="E611" s="3" t="inlineStr">
        <is>
          <t>Salute</t>
        </is>
      </c>
      <c r="F611" s="3" t="inlineStr">
        <is>
          <t>sotto 1,5%</t>
        </is>
      </c>
      <c r="G611" s="3" t="inlineStr">
        <is>
          <t>Assistive products</t>
        </is>
      </c>
      <c r="H611" s="3" t="inlineStr">
        <is>
          <t>no</t>
        </is>
      </c>
      <c r="I611" s="3" t="inlineStr">
        <is>
          <t>no</t>
        </is>
      </c>
    </row>
    <row r="612">
      <c r="A612" s="3" t="inlineStr">
        <is>
          <t>031200</t>
        </is>
      </c>
      <c r="B612" s="11" t="n">
        <v>-0.3272</v>
      </c>
      <c r="C612" s="11" t="n">
        <v>28.64</v>
      </c>
      <c r="D612" s="3" t="inlineStr">
        <is>
          <t>Beni industriali</t>
        </is>
      </c>
      <c r="E612" s="3" t="inlineStr">
        <is>
          <t>Abbigliamento e calzature</t>
        </is>
      </c>
      <c r="F612" s="3" t="inlineStr">
        <is>
          <t>sotto 1,5%</t>
        </is>
      </c>
      <c r="G612" s="3" t="inlineStr">
        <is>
          <t>Garments</t>
        </is>
      </c>
      <c r="H612" s="3" t="inlineStr">
        <is>
          <t>no</t>
        </is>
      </c>
      <c r="I612" s="3" t="inlineStr">
        <is>
          <t>no</t>
        </is>
      </c>
    </row>
    <row r="613">
      <c r="A613" s="3" t="inlineStr">
        <is>
          <t>011800</t>
        </is>
      </c>
      <c r="B613" s="11" t="n">
        <v>-0.3281</v>
      </c>
      <c r="C613" s="11" t="n">
        <v>7.88</v>
      </c>
      <c r="D613" s="3" t="inlineStr">
        <is>
          <t>Alimentari</t>
        </is>
      </c>
      <c r="E613" s="3" t="inlineStr">
        <is>
          <t>Alimentari e bevande analcoliche</t>
        </is>
      </c>
      <c r="F613" s="3" t="inlineStr">
        <is>
          <t>sotto 1,5%</t>
        </is>
      </c>
      <c r="G613" s="3" t="inlineStr"/>
      <c r="H613" s="3" t="inlineStr"/>
      <c r="I613" s="3" t="inlineStr"/>
    </row>
    <row r="614">
      <c r="A614" s="3" t="inlineStr">
        <is>
          <t>055200</t>
        </is>
      </c>
      <c r="B614" s="11" t="n">
        <v>-0.4991</v>
      </c>
      <c r="C614" s="11" t="n">
        <v>1.91</v>
      </c>
      <c r="D614" s="3" t="inlineStr">
        <is>
          <t>Beni industriali</t>
        </is>
      </c>
      <c r="E614" s="3" t="inlineStr">
        <is>
          <t>Mobili e articoli per la casa</t>
        </is>
      </c>
      <c r="F614" s="3" t="inlineStr">
        <is>
          <t>sotto 1,5%</t>
        </is>
      </c>
      <c r="G614" s="3" t="inlineStr">
        <is>
          <t>Non-motorized tools and miscellaneous accessories</t>
        </is>
      </c>
      <c r="H614" s="3" t="inlineStr">
        <is>
          <t>no</t>
        </is>
      </c>
      <c r="I614" s="3" t="inlineStr">
        <is>
          <t>si</t>
        </is>
      </c>
    </row>
    <row r="615">
      <c r="A615" s="3" t="inlineStr">
        <is>
          <t>071300</t>
        </is>
      </c>
      <c r="B615" s="11" t="n">
        <v>-0.5114</v>
      </c>
      <c r="C615" s="11" t="n">
        <v>1.12</v>
      </c>
      <c r="D615" s="3" t="inlineStr">
        <is>
          <t>Beni industriali</t>
        </is>
      </c>
      <c r="E615" s="3" t="inlineStr">
        <is>
          <t>Trasporti</t>
        </is>
      </c>
      <c r="F615" s="3" t="inlineStr">
        <is>
          <t>sotto 1,5%</t>
        </is>
      </c>
      <c r="G615" s="3" t="inlineStr">
        <is>
          <t>Bicycles</t>
        </is>
      </c>
      <c r="H615" s="3" t="inlineStr">
        <is>
          <t>no</t>
        </is>
      </c>
      <c r="I615" s="3" t="inlineStr">
        <is>
          <t>no</t>
        </is>
      </c>
    </row>
    <row r="616">
      <c r="A616" s="3" t="inlineStr">
        <is>
          <t>092100</t>
        </is>
      </c>
      <c r="B616" s="11" t="n">
        <v>-1.0779</v>
      </c>
      <c r="C616" s="11" t="n">
        <v>3.67</v>
      </c>
      <c r="D616" s="3" t="inlineStr">
        <is>
          <t>Beni industriali</t>
        </is>
      </c>
      <c r="E616" s="3" t="inlineStr">
        <is>
          <t>Ricreazione, sport e cultura</t>
        </is>
      </c>
      <c r="F616" s="3" t="inlineStr">
        <is>
          <t>sotto 1,5%</t>
        </is>
      </c>
      <c r="G616" s="3" t="inlineStr">
        <is>
          <t>Games, toys and hobby-related articles</t>
        </is>
      </c>
      <c r="H616" s="3" t="inlineStr">
        <is>
          <t>no</t>
        </is>
      </c>
      <c r="I616" s="3" t="inlineStr">
        <is>
          <t>no</t>
        </is>
      </c>
    </row>
    <row r="617">
      <c r="A617" s="3" t="inlineStr">
        <is>
          <t>021100</t>
        </is>
      </c>
      <c r="B617" s="11" t="n">
        <v>-1.3789</v>
      </c>
      <c r="C617" s="11" t="n">
        <v>3.44</v>
      </c>
      <c r="D617" s="3" t="inlineStr">
        <is>
          <t>Alimentari</t>
        </is>
      </c>
      <c r="E617" s="3" t="inlineStr">
        <is>
          <t>Alcolici e tabacchi</t>
        </is>
      </c>
      <c r="F617" s="3" t="inlineStr">
        <is>
          <t>sotto 1,5%</t>
        </is>
      </c>
      <c r="G617" s="3" t="inlineStr"/>
      <c r="H617" s="3" t="inlineStr"/>
      <c r="I617" s="3" t="inlineStr"/>
    </row>
    <row r="618">
      <c r="A618" s="3" t="inlineStr">
        <is>
          <t>053100</t>
        </is>
      </c>
      <c r="B618" s="11" t="n">
        <v>-1.654</v>
      </c>
      <c r="C618" s="11" t="n">
        <v>4.75</v>
      </c>
      <c r="D618" s="3" t="inlineStr">
        <is>
          <t>Beni industriali</t>
        </is>
      </c>
      <c r="E618" s="3" t="inlineStr">
        <is>
          <t>Mobili e articoli per la casa</t>
        </is>
      </c>
      <c r="F618" s="3" t="inlineStr">
        <is>
          <t>sotto 1,5%</t>
        </is>
      </c>
      <c r="G618" s="3" t="inlineStr">
        <is>
          <t>Major electric and other household appliances</t>
        </is>
      </c>
      <c r="H618" s="3" t="inlineStr">
        <is>
          <t>no</t>
        </is>
      </c>
      <c r="I618" s="3" t="inlineStr">
        <is>
          <t>si</t>
        </is>
      </c>
    </row>
    <row r="619">
      <c r="A619" s="3" t="inlineStr">
        <is>
          <t>132900</t>
        </is>
      </c>
      <c r="B619" s="11" t="n">
        <v>-1.8961</v>
      </c>
      <c r="C619" s="11" t="n">
        <v>2.53</v>
      </c>
      <c r="D619" s="3" t="inlineStr">
        <is>
          <t>Beni industriali</t>
        </is>
      </c>
      <c r="E619" s="3" t="inlineStr">
        <is>
          <t>Cura della persona e altri</t>
        </is>
      </c>
      <c r="F619" s="3" t="inlineStr">
        <is>
          <t>sotto 1,5%</t>
        </is>
      </c>
      <c r="G619" s="3" t="inlineStr">
        <is>
          <t>Other personal effects n.e.c.</t>
        </is>
      </c>
      <c r="H619" s="3" t="inlineStr">
        <is>
          <t>no</t>
        </is>
      </c>
      <c r="I619" s="3" t="inlineStr">
        <is>
          <t>si</t>
        </is>
      </c>
    </row>
    <row r="620">
      <c r="A620" s="3" t="inlineStr">
        <is>
          <t>053200</t>
        </is>
      </c>
      <c r="B620" s="11" t="n">
        <v>-2.5587</v>
      </c>
      <c r="C620" s="11" t="n">
        <v>1.9</v>
      </c>
      <c r="D620" s="3" t="inlineStr">
        <is>
          <t>Beni industriali</t>
        </is>
      </c>
      <c r="E620" s="3" t="inlineStr">
        <is>
          <t>Mobili e articoli per la casa</t>
        </is>
      </c>
      <c r="F620" s="3" t="inlineStr">
        <is>
          <t>sotto 1,5%</t>
        </is>
      </c>
      <c r="G620" s="3" t="inlineStr">
        <is>
          <t>Small household appliances</t>
        </is>
      </c>
      <c r="H620" s="3" t="inlineStr">
        <is>
          <t>no</t>
        </is>
      </c>
      <c r="I620" s="3" t="inlineStr">
        <is>
          <t>si</t>
        </is>
      </c>
    </row>
    <row r="621">
      <c r="A621" s="3" t="inlineStr">
        <is>
          <t>131100</t>
        </is>
      </c>
      <c r="B621" s="11" t="n">
        <v>-3.0575</v>
      </c>
      <c r="C621" s="11" t="n">
        <v>0.45</v>
      </c>
      <c r="D621" s="3" t="inlineStr">
        <is>
          <t>Beni industriali</t>
        </is>
      </c>
      <c r="E621" s="3" t="inlineStr">
        <is>
          <t>Cura della persona e altri</t>
        </is>
      </c>
      <c r="F621" s="3" t="inlineStr">
        <is>
          <t>sotto 1,5%</t>
        </is>
      </c>
      <c r="G621" s="3" t="inlineStr">
        <is>
          <t>Electric appliances for personal care</t>
        </is>
      </c>
      <c r="H621" s="3" t="inlineStr">
        <is>
          <t>no</t>
        </is>
      </c>
      <c r="I621" s="3" t="inlineStr">
        <is>
          <t>no</t>
        </is>
      </c>
    </row>
    <row r="622">
      <c r="A622" s="3" t="inlineStr">
        <is>
          <t>081400</t>
        </is>
      </c>
      <c r="B622" s="11" t="n">
        <v>-4.1912</v>
      </c>
      <c r="C622" s="11" t="n">
        <v>2.91</v>
      </c>
      <c r="D622" s="3" t="inlineStr">
        <is>
          <t>Beni industriali</t>
        </is>
      </c>
      <c r="E622" s="3" t="inlineStr">
        <is>
          <t>Informazione e comunicazione</t>
        </is>
      </c>
      <c r="F622" s="3" t="inlineStr">
        <is>
          <t>sotto 1,5%</t>
        </is>
      </c>
      <c r="G622" s="3" t="inlineStr">
        <is>
          <t>Equipment for the reception, recording and reproduction of sound and vision</t>
        </is>
      </c>
      <c r="H622" s="3" t="inlineStr">
        <is>
          <t>no</t>
        </is>
      </c>
      <c r="I622" s="3" t="inlineStr">
        <is>
          <t>no</t>
        </is>
      </c>
    </row>
    <row r="623">
      <c r="A623" s="3" t="inlineStr">
        <is>
          <t>012200</t>
        </is>
      </c>
      <c r="B623" s="11" t="n">
        <v>-4.2827</v>
      </c>
      <c r="C623" s="11" t="n">
        <v>4.41</v>
      </c>
      <c r="D623" s="3" t="inlineStr">
        <is>
          <t>Alimentari</t>
        </is>
      </c>
      <c r="E623" s="3" t="inlineStr">
        <is>
          <t>Alimentari e bevande analcoliche</t>
        </is>
      </c>
      <c r="F623" s="3" t="inlineStr">
        <is>
          <t>sotto 1,5%</t>
        </is>
      </c>
      <c r="G623" s="3" t="inlineStr"/>
      <c r="H623" s="3" t="inlineStr"/>
      <c r="I623" s="3" t="inlineStr"/>
    </row>
    <row r="624">
      <c r="A624" s="3" t="inlineStr">
        <is>
          <t>092200</t>
        </is>
      </c>
      <c r="B624" s="11" t="n">
        <v>-4.7088</v>
      </c>
      <c r="C624" s="11" t="n">
        <v>1.25</v>
      </c>
      <c r="D624" s="3" t="inlineStr">
        <is>
          <t>Beni industriali</t>
        </is>
      </c>
      <c r="E624" s="3" t="inlineStr">
        <is>
          <t>Ricreazione, sport e cultura</t>
        </is>
      </c>
      <c r="F624" s="3" t="inlineStr">
        <is>
          <t>sotto 1,5%</t>
        </is>
      </c>
      <c r="G624" s="3" t="inlineStr">
        <is>
          <t>Sporting, camping and open-air recreation equipment</t>
        </is>
      </c>
      <c r="H624" s="3" t="inlineStr">
        <is>
          <t>no</t>
        </is>
      </c>
      <c r="I624" s="3" t="inlineStr">
        <is>
          <t>no</t>
        </is>
      </c>
    </row>
    <row r="625">
      <c r="A625" s="3" t="inlineStr">
        <is>
          <t>097200</t>
        </is>
      </c>
      <c r="B625" s="11" t="n">
        <v>-5.8635</v>
      </c>
      <c r="C625" s="11" t="n">
        <v>0.63</v>
      </c>
      <c r="D625" s="3" t="inlineStr">
        <is>
          <t>Beni industriali</t>
        </is>
      </c>
      <c r="E625" s="3" t="inlineStr">
        <is>
          <t>Ricreazione, sport e cultura</t>
        </is>
      </c>
      <c r="F625" s="3" t="inlineStr">
        <is>
          <t>sotto 1,5%</t>
        </is>
      </c>
      <c r="G625" s="3" t="inlineStr">
        <is>
          <t>Newspapers and periodicals</t>
        </is>
      </c>
      <c r="H625" s="3" t="inlineStr">
        <is>
          <t>no</t>
        </is>
      </c>
      <c r="I625" s="3" t="inlineStr">
        <is>
          <t>no</t>
        </is>
      </c>
    </row>
    <row r="626">
      <c r="A626" s="3" t="inlineStr">
        <is>
          <t>073100</t>
        </is>
      </c>
      <c r="B626" s="11" t="n">
        <v>-6.2207</v>
      </c>
      <c r="C626" s="11" t="n">
        <v>3.78</v>
      </c>
      <c r="D626" s="3" t="inlineStr">
        <is>
          <t>Servizi</t>
        </is>
      </c>
      <c r="E626" s="3" t="inlineStr">
        <is>
          <t>Trasporti</t>
        </is>
      </c>
      <c r="F626" s="3" t="inlineStr">
        <is>
          <t>sotto 1,5%</t>
        </is>
      </c>
      <c r="G626" s="3" t="inlineStr">
        <is>
          <t>Passenger transport by railway</t>
        </is>
      </c>
      <c r="H626" s="3" t="inlineStr">
        <is>
          <t>no</t>
        </is>
      </c>
      <c r="I626" s="3" t="inlineStr">
        <is>
          <t>no</t>
        </is>
      </c>
    </row>
    <row r="627">
      <c r="A627" s="3" t="inlineStr">
        <is>
          <t>073400</t>
        </is>
      </c>
      <c r="B627" s="11" t="n">
        <v>-7.3244</v>
      </c>
      <c r="C627" s="11" t="n">
        <v>0.95</v>
      </c>
      <c r="D627" s="3" t="inlineStr">
        <is>
          <t>Servizi</t>
        </is>
      </c>
      <c r="E627" s="3" t="inlineStr">
        <is>
          <t>Trasporti</t>
        </is>
      </c>
      <c r="F627" s="3" t="inlineStr">
        <is>
          <t>sotto 1,5%</t>
        </is>
      </c>
      <c r="G627" s="3" t="inlineStr">
        <is>
          <t>Passenger transport by sea and inland waterway</t>
        </is>
      </c>
      <c r="H627" s="3" t="inlineStr">
        <is>
          <t>no</t>
        </is>
      </c>
      <c r="I627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2026-10-18T21:56:01Z</dcterms:created>
  <dcterms:modified xsi:type="dcterms:W3CDTF">2026-10-18T21:56:03Z</dcterms:modified>
</cp:coreProperties>
</file>